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안내" sheetId="1" state="visible" r:id="rId3"/>
    <sheet name="고객사" sheetId="2" state="visible" r:id="rId4"/>
    <sheet name="일일계획실적" sheetId="3" state="visible" r:id="rId5"/>
    <sheet name="월간요약" sheetId="4" state="visible" r:id="rId6"/>
    <sheet name="목록" sheetId="5" state="visible" r:id="rId7"/>
  </sheets>
  <definedNames>
    <definedName function="false" hidden="true" localSheetId="2" name="_xlnm._FilterDatabase" vbProcedure="false">일일계획실적!$A$4:$T$2004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Y = </t>
        </r>
        <r>
          <rPr>
            <sz val="10"/>
            <rFont val="Noto Sans CJK SC"/>
            <family val="2"/>
          </rPr>
          <t xml:space="preserve">고객사가 출퇴근 차량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셔틀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또는 교통비를 지원
</t>
        </r>
        <r>
          <rPr>
            <sz val="10"/>
            <rFont val="Arial"/>
            <family val="2"/>
          </rPr>
          <t xml:space="preserve">N = </t>
        </r>
        <r>
          <rPr>
            <sz val="10"/>
            <rFont val="Noto Sans CJK SC"/>
            <family val="2"/>
          </rPr>
          <t xml:space="preserve">미지원 → 자사 차량 운행 시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자사차량비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가 비용으로 잡힙니다</t>
        </r>
        <r>
          <rPr>
            <sz val="10"/>
            <rFont val="Arial"/>
            <family val="2"/>
          </rPr>
          <t xml:space="preserve">.</t>
        </r>
      </text>
    </comment>
    <comment ref="L4" authorId="0">
      <text>
        <r>
          <rPr>
            <sz val="10"/>
            <rFont val="Noto Sans CJK SC"/>
            <family val="2"/>
          </rPr>
          <t xml:space="preserve">자사 차량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대를 하루 운행할 때 드는 비용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렌트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유류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기사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일일계획실적의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자사 차량운행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대</t>
        </r>
        <r>
          <rPr>
            <sz val="10"/>
            <rFont val="Arial"/>
            <family val="2"/>
          </rPr>
          <t xml:space="preserve">)'</t>
        </r>
        <r>
          <rPr>
            <sz val="10"/>
            <rFont val="Noto Sans CJK SC"/>
            <family val="2"/>
          </rPr>
          <t xml:space="preserve">와 곱해집니다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Noto Sans CJK SC"/>
            <family val="2"/>
          </rPr>
          <t xml:space="preserve">해당 월의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일을 입력하세요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2026-10-01).</t>
        </r>
      </text>
    </comment>
  </commentList>
</comments>
</file>

<file path=xl/sharedStrings.xml><?xml version="1.0" encoding="utf-8"?>
<sst xmlns="http://schemas.openxmlformats.org/spreadsheetml/2006/main" count="477" uniqueCount="129">
  <si>
    <r>
      <rPr>
        <b val="true"/>
        <sz val="16"/>
        <color rgb="FF1F3A5F"/>
        <rFont val="Noto Sans CJK SC"/>
        <family val="2"/>
      </rPr>
      <t xml:space="preserve">인력공급 계획</t>
    </r>
    <r>
      <rPr>
        <b val="true"/>
        <sz val="16"/>
        <color rgb="FF1F3A5F"/>
        <rFont val="Arial"/>
        <family val="0"/>
        <charset val="1"/>
      </rPr>
      <t xml:space="preserve">/</t>
    </r>
    <r>
      <rPr>
        <b val="true"/>
        <sz val="16"/>
        <color rgb="FF1F3A5F"/>
        <rFont val="Noto Sans CJK SC"/>
        <family val="2"/>
      </rPr>
      <t xml:space="preserve">실적표 사용법</t>
    </r>
  </si>
  <si>
    <t xml:space="preserve">Hướng dẫn sử dụng — Bảng kế hoạch &amp; thực tế cung ứng lao động</t>
  </si>
  <si>
    <t xml:space="preserve">① 고객사</t>
  </si>
  <si>
    <r>
      <rPr>
        <sz val="10"/>
        <color rgb="FF000000"/>
        <rFont val="Noto Sans CJK SC"/>
        <family val="2"/>
      </rPr>
      <t xml:space="preserve">고객사 코드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차량지원 여부</t>
    </r>
    <r>
      <rPr>
        <sz val="10"/>
        <color rgb="FF000000"/>
        <rFont val="Arial"/>
        <family val="0"/>
        <charset val="1"/>
      </rPr>
      <t xml:space="preserve">(Y/N)</t>
    </r>
    <r>
      <rPr>
        <sz val="10"/>
        <color rgb="FF000000"/>
        <rFont val="Noto Sans CJK SC"/>
        <family val="2"/>
      </rPr>
      <t xml:space="preserve">를 한 번만 등록합니다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지원형태가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자사 차량 운행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이면 자사차량비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를 입력하세요</t>
    </r>
    <r>
      <rPr>
        <sz val="10"/>
        <color rgb="FF000000"/>
        <rFont val="Arial"/>
        <family val="0"/>
        <charset val="1"/>
      </rPr>
      <t xml:space="preserve">.</t>
    </r>
  </si>
  <si>
    <t xml:space="preserve">② 일일계획실적</t>
  </si>
  <si>
    <r>
      <rPr>
        <sz val="10"/>
        <color rgb="FF000000"/>
        <rFont val="Noto Sans CJK SC"/>
        <family val="2"/>
      </rPr>
      <t xml:space="preserve">매일 날짜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고객사코드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드롭다운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직무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교대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계획인원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실적인원을 입력합니다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자사 차량을 운행했다면 대수를 입력하세요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</si>
  <si>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고객사명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달성률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결원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차량지원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인건비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이익은 자동 계산됩니다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달성률 </t>
    </r>
    <r>
      <rPr>
        <sz val="10"/>
        <color rgb="FF000000"/>
        <rFont val="Arial"/>
        <family val="0"/>
        <charset val="1"/>
      </rPr>
      <t xml:space="preserve">90% </t>
    </r>
    <r>
      <rPr>
        <sz val="10"/>
        <color rgb="FF000000"/>
        <rFont val="Noto Sans CJK SC"/>
        <family val="2"/>
      </rPr>
      <t xml:space="preserve">미만</t>
    </r>
    <r>
      <rPr>
        <sz val="10"/>
        <color rgb="FF000000"/>
        <rFont val="Arial"/>
        <family val="0"/>
        <charset val="1"/>
      </rPr>
      <t xml:space="preserve">, '</t>
    </r>
    <r>
      <rPr>
        <sz val="10"/>
        <color rgb="FF000000"/>
        <rFont val="Noto Sans CJK SC"/>
        <family val="2"/>
      </rPr>
      <t xml:space="preserve">차량 미배정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은 빨간색으로 표시됩니다</t>
    </r>
    <r>
      <rPr>
        <sz val="10"/>
        <color rgb="FF000000"/>
        <rFont val="Arial"/>
        <family val="0"/>
        <charset val="1"/>
      </rPr>
      <t xml:space="preserve">.</t>
    </r>
  </si>
  <si>
    <t xml:space="preserve">③ 월간요약</t>
  </si>
  <si>
    <r>
      <rPr>
        <sz val="10"/>
        <color rgb="FF000000"/>
        <rFont val="Arial"/>
        <family val="0"/>
        <charset val="1"/>
      </rPr>
      <t xml:space="preserve">C3 </t>
    </r>
    <r>
      <rPr>
        <sz val="10"/>
        <color rgb="FF000000"/>
        <rFont val="Noto Sans CJK SC"/>
        <family val="2"/>
      </rPr>
      <t xml:space="preserve">기준월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2026-10-01)</t>
    </r>
    <r>
      <rPr>
        <sz val="10"/>
        <color rgb="FF000000"/>
        <rFont val="Noto Sans CJK SC"/>
        <family val="2"/>
      </rPr>
      <t xml:space="preserve">만 바꾸면 고객사별 연인원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달성률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이익과 일자별 추이 차트가 갱신됩니다</t>
    </r>
    <r>
      <rPr>
        <sz val="10"/>
        <color rgb="FF000000"/>
        <rFont val="Arial"/>
        <family val="0"/>
        <charset val="1"/>
      </rPr>
      <t xml:space="preserve">.</t>
    </r>
  </si>
  <si>
    <t xml:space="preserve">④ 목록</t>
  </si>
  <si>
    <r>
      <rPr>
        <sz val="10"/>
        <color rgb="FF000000"/>
        <rFont val="Noto Sans CJK SC"/>
        <family val="2"/>
      </rPr>
      <t xml:space="preserve">직무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교대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지원형태 드롭다운 항목을 추가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수정할 수 있습니다</t>
    </r>
    <r>
      <rPr>
        <sz val="10"/>
        <color rgb="FF000000"/>
        <rFont val="Arial"/>
        <family val="0"/>
        <charset val="1"/>
      </rPr>
      <t xml:space="preserve">.</t>
    </r>
  </si>
  <si>
    <t xml:space="preserve">예시 데이터</t>
  </si>
  <si>
    <r>
      <rPr>
        <sz val="10"/>
        <color rgb="FF000000"/>
        <rFont val="Noto Sans CJK SC"/>
        <family val="2"/>
      </rPr>
      <t xml:space="preserve">고객사 </t>
    </r>
    <r>
      <rPr>
        <sz val="10"/>
        <color rgb="FF000000"/>
        <rFont val="Arial"/>
        <family val="0"/>
        <charset val="1"/>
      </rPr>
      <t xml:space="preserve">C001~C004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월 일일 데이터는 예시입니다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 사용 전 노란 칸의 예시 값을 지우세요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수식 칸은 지우지 마세요</t>
    </r>
    <r>
      <rPr>
        <sz val="10"/>
        <color rgb="FF000000"/>
        <rFont val="Arial"/>
        <family val="0"/>
        <charset val="1"/>
      </rPr>
      <t xml:space="preserve">).</t>
    </r>
  </si>
  <si>
    <t xml:space="preserve">제안서 연결</t>
  </si>
  <si>
    <r>
      <rPr>
        <sz val="10"/>
        <color rgb="FF000000"/>
        <rFont val="Noto Sans CJK SC"/>
        <family val="2"/>
      </rPr>
      <t xml:space="preserve">월간요약의 달성률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연인원을 제안서</t>
    </r>
    <r>
      <rPr>
        <sz val="10"/>
        <color rgb="FF000000"/>
        <rFont val="Arial"/>
        <family val="0"/>
        <charset val="1"/>
      </rPr>
      <t xml:space="preserve">(labor-kit/proposal/data/company.json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performance)</t>
    </r>
    <r>
      <rPr>
        <sz val="10"/>
        <color rgb="FF000000"/>
        <rFont val="Noto Sans CJK SC"/>
        <family val="2"/>
      </rPr>
      <t xml:space="preserve">에 옮기면 제안서 실적 차트에 반영됩니다</t>
    </r>
    <r>
      <rPr>
        <sz val="10"/>
        <color rgb="FF000000"/>
        <rFont val="Arial"/>
        <family val="0"/>
        <charset val="1"/>
      </rPr>
      <t xml:space="preserve">.</t>
    </r>
  </si>
  <si>
    <t xml:space="preserve">색상 범례</t>
  </si>
  <si>
    <r>
      <rPr>
        <sz val="10"/>
        <color rgb="FF000000"/>
        <rFont val="Noto Sans CJK SC"/>
        <family val="2"/>
      </rPr>
      <t xml:space="preserve">입력 칸 — 직접 입력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수정</t>
    </r>
  </si>
  <si>
    <t xml:space="preserve">자동 계산 — 수식이 들어 있으니 지우지 마세요</t>
  </si>
  <si>
    <t xml:space="preserve">합계</t>
  </si>
  <si>
    <r>
      <rPr>
        <b val="true"/>
        <sz val="16"/>
        <color rgb="FF1F3A5F"/>
        <rFont val="Noto Sans CJK SC"/>
        <family val="2"/>
      </rPr>
      <t xml:space="preserve">고객사 마스터 </t>
    </r>
    <r>
      <rPr>
        <b val="true"/>
        <sz val="16"/>
        <color rgb="FF1F3A5F"/>
        <rFont val="Arial"/>
        <family val="0"/>
        <charset val="1"/>
      </rPr>
      <t xml:space="preserve">/ Danh sách khách hàng</t>
    </r>
  </si>
  <si>
    <r>
      <rPr>
        <sz val="9"/>
        <color rgb="FF595959"/>
        <rFont val="Noto Sans CJK SC"/>
        <family val="2"/>
      </rPr>
      <t xml:space="preserve">노란 칸 입력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코드는 중복 없이 입력하세요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일일계획실적에서 코드로 연결됩니다</t>
    </r>
    <r>
      <rPr>
        <sz val="9"/>
        <color rgb="FF595959"/>
        <rFont val="Arial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</si>
  <si>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</rPr>
      <t xml:space="preserve">고객사코드
</t>
    </r>
    <r>
      <rPr>
        <b val="true"/>
        <sz val="10"/>
        <color rgb="FFFFFFFF"/>
        <rFont val="Arial"/>
        <family val="0"/>
        <charset val="1"/>
      </rPr>
      <t xml:space="preserve">Mã KH</t>
    </r>
  </si>
  <si>
    <r>
      <rPr>
        <b val="true"/>
        <sz val="10"/>
        <color rgb="FFFFFFFF"/>
        <rFont val="Noto Sans CJK SC"/>
        <family val="2"/>
      </rPr>
      <t xml:space="preserve">고객사명
</t>
    </r>
    <r>
      <rPr>
        <b val="true"/>
        <sz val="10"/>
        <color rgb="FFFFFFFF"/>
        <rFont val="Arial"/>
        <family val="0"/>
        <charset val="1"/>
      </rPr>
      <t xml:space="preserve">Tên khách hàng</t>
    </r>
  </si>
  <si>
    <r>
      <rPr>
        <b val="true"/>
        <sz val="10"/>
        <color rgb="FFFFFFFF"/>
        <rFont val="Noto Sans CJK SC"/>
        <family val="2"/>
      </rPr>
      <t xml:space="preserve">지역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성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시</t>
    </r>
    <r>
      <rPr>
        <b val="true"/>
        <sz val="10"/>
        <color rgb="FFFFFFFF"/>
        <rFont val="Arial"/>
        <family val="0"/>
        <charset val="1"/>
      </rPr>
      <t xml:space="preserve">)
Tỉnh/TP</t>
    </r>
  </si>
  <si>
    <r>
      <rPr>
        <b val="true"/>
        <sz val="10"/>
        <color rgb="FFFFFFFF"/>
        <rFont val="Noto Sans CJK SC"/>
        <family val="2"/>
      </rPr>
      <t xml:space="preserve">업종
</t>
    </r>
    <r>
      <rPr>
        <b val="true"/>
        <sz val="10"/>
        <color rgb="FFFFFFFF"/>
        <rFont val="Arial"/>
        <family val="0"/>
        <charset val="1"/>
      </rPr>
      <t xml:space="preserve">Ngành</t>
    </r>
  </si>
  <si>
    <r>
      <rPr>
        <b val="true"/>
        <sz val="10"/>
        <color rgb="FFFFFFFF"/>
        <rFont val="Noto Sans CJK SC"/>
        <family val="2"/>
      </rPr>
      <t xml:space="preserve">담당자
</t>
    </r>
    <r>
      <rPr>
        <b val="true"/>
        <sz val="10"/>
        <color rgb="FFFFFFFF"/>
        <rFont val="Arial"/>
        <family val="0"/>
        <charset val="1"/>
      </rPr>
      <t xml:space="preserve">Người phụ trách</t>
    </r>
  </si>
  <si>
    <r>
      <rPr>
        <b val="true"/>
        <sz val="10"/>
        <color rgb="FFFFFFFF"/>
        <rFont val="Noto Sans CJK SC"/>
        <family val="2"/>
      </rPr>
      <t xml:space="preserve">연락처
</t>
    </r>
    <r>
      <rPr>
        <b val="true"/>
        <sz val="10"/>
        <color rgb="FFFFFFFF"/>
        <rFont val="Arial"/>
        <family val="0"/>
        <charset val="1"/>
      </rPr>
      <t xml:space="preserve">SĐT</t>
    </r>
  </si>
  <si>
    <r>
      <rPr>
        <b val="true"/>
        <sz val="10"/>
        <color rgb="FFFFFFFF"/>
        <rFont val="Noto Sans CJK SC"/>
        <family val="2"/>
      </rPr>
      <t xml:space="preserve">고객사 차량지원
</t>
    </r>
    <r>
      <rPr>
        <b val="true"/>
        <sz val="10"/>
        <color rgb="FFFFFFFF"/>
        <rFont val="Arial"/>
        <family val="0"/>
        <charset val="1"/>
      </rPr>
      <t xml:space="preserve">(Y/N)</t>
    </r>
  </si>
  <si>
    <r>
      <rPr>
        <b val="true"/>
        <sz val="10"/>
        <color rgb="FFFFFFFF"/>
        <rFont val="Noto Sans CJK SC"/>
        <family val="2"/>
      </rPr>
      <t xml:space="preserve">지원형태
</t>
    </r>
    <r>
      <rPr>
        <b val="true"/>
        <sz val="10"/>
        <color rgb="FFFFFFFF"/>
        <rFont val="Arial"/>
        <family val="0"/>
        <charset val="1"/>
      </rPr>
      <t xml:space="preserve">Hình thức</t>
    </r>
  </si>
  <si>
    <r>
      <rPr>
        <b val="true"/>
        <sz val="10"/>
        <color rgb="FFFFFFFF"/>
        <rFont val="Noto Sans CJK SC"/>
        <family val="2"/>
      </rPr>
      <t xml:space="preserve">픽업지점
</t>
    </r>
    <r>
      <rPr>
        <b val="true"/>
        <sz val="10"/>
        <color rgb="FFFFFFFF"/>
        <rFont val="Arial"/>
        <family val="0"/>
        <charset val="1"/>
      </rPr>
      <t xml:space="preserve">Điểm đón</t>
    </r>
  </si>
  <si>
    <r>
      <rPr>
        <b val="true"/>
        <sz val="10"/>
        <color rgb="FFFFFFFF"/>
        <rFont val="Noto Sans CJK SC"/>
        <family val="2"/>
      </rPr>
      <t xml:space="preserve">청구단가
</t>
    </r>
    <r>
      <rPr>
        <b val="true"/>
        <sz val="10"/>
        <color rgb="FFFFFFFF"/>
        <rFont val="Arial"/>
        <family val="0"/>
        <charset val="1"/>
      </rPr>
      <t xml:space="preserve">(VND/</t>
    </r>
    <r>
      <rPr>
        <b val="true"/>
        <sz val="10"/>
        <color rgb="FFFFFFFF"/>
        <rFont val="Noto Sans CJK SC"/>
        <family val="2"/>
      </rPr>
      <t xml:space="preserve">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</si>
  <si>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지급임금
</t>
    </r>
    <r>
      <rPr>
        <b val="true"/>
        <sz val="10"/>
        <color rgb="FFFFFFFF"/>
        <rFont val="Arial"/>
        <family val="0"/>
        <charset val="1"/>
      </rPr>
      <t xml:space="preserve">(VND/</t>
    </r>
    <r>
      <rPr>
        <b val="true"/>
        <sz val="10"/>
        <color rgb="FFFFFFFF"/>
        <rFont val="Noto Sans CJK SC"/>
        <family val="2"/>
      </rPr>
      <t xml:space="preserve">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</si>
  <si>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자사차량비
</t>
    </r>
    <r>
      <rPr>
        <b val="true"/>
        <sz val="10"/>
        <color rgb="FFFFFFFF"/>
        <rFont val="Arial"/>
        <family val="0"/>
        <charset val="1"/>
      </rPr>
      <t xml:space="preserve">(VND/</t>
    </r>
    <r>
      <rPr>
        <b val="true"/>
        <sz val="10"/>
        <color rgb="FFFFFFFF"/>
        <rFont val="Noto Sans CJK SC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</si>
  <si>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계약시작
</t>
    </r>
    <r>
      <rPr>
        <b val="true"/>
        <sz val="10"/>
        <color rgb="FFFFFFFF"/>
        <rFont val="Arial"/>
        <family val="0"/>
        <charset val="1"/>
      </rPr>
      <t xml:space="preserve">Bắt đầu</t>
    </r>
  </si>
  <si>
    <r>
      <rPr>
        <b val="true"/>
        <sz val="10"/>
        <color rgb="FFFFFFFF"/>
        <rFont val="Noto Sans CJK SC"/>
        <family val="2"/>
      </rPr>
      <t xml:space="preserve">계약종료
</t>
    </r>
    <r>
      <rPr>
        <b val="true"/>
        <sz val="10"/>
        <color rgb="FFFFFFFF"/>
        <rFont val="Arial"/>
        <family val="0"/>
        <charset val="1"/>
      </rPr>
      <t xml:space="preserve">Kết thúc</t>
    </r>
  </si>
  <si>
    <r>
      <rPr>
        <b val="true"/>
        <sz val="10"/>
        <color rgb="FFFFFFFF"/>
        <rFont val="Noto Sans CJK SC"/>
        <family val="2"/>
      </rPr>
      <t xml:space="preserve">비고
</t>
    </r>
    <r>
      <rPr>
        <b val="true"/>
        <sz val="10"/>
        <color rgb="FFFFFFFF"/>
        <rFont val="Arial"/>
        <family val="0"/>
        <charset val="1"/>
      </rPr>
      <t xml:space="preserve">Ghi chú</t>
    </r>
  </si>
  <si>
    <t xml:space="preserve">C001</t>
  </si>
  <si>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한빛전자 비나</t>
    </r>
  </si>
  <si>
    <t xml:space="preserve">박닌</t>
  </si>
  <si>
    <t xml:space="preserve">전자부품</t>
  </si>
  <si>
    <t xml:space="preserve">Nguyễn Văn A</t>
  </si>
  <si>
    <t xml:space="preserve">0912-000-001</t>
  </si>
  <si>
    <t xml:space="preserve">Y</t>
  </si>
  <si>
    <t xml:space="preserve">고객사 셔틀버스</t>
  </si>
  <si>
    <t xml:space="preserve">박닌 버스터미널</t>
  </si>
  <si>
    <t xml:space="preserve">야간 할증 별도</t>
  </si>
  <si>
    <t xml:space="preserve">C002</t>
  </si>
  <si>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대성섬유 </t>
    </r>
    <r>
      <rPr>
        <sz val="10"/>
        <color rgb="FF000000"/>
        <rFont val="Arial"/>
        <family val="0"/>
        <charset val="1"/>
      </rPr>
      <t xml:space="preserve">VN</t>
    </r>
  </si>
  <si>
    <t xml:space="preserve">동나이</t>
  </si>
  <si>
    <t xml:space="preserve">봉제</t>
  </si>
  <si>
    <t xml:space="preserve">Trần Thị B</t>
  </si>
  <si>
    <t xml:space="preserve">0912-000-002</t>
  </si>
  <si>
    <t xml:space="preserve">N</t>
  </si>
  <si>
    <t xml:space="preserve">자사 차량 운행</t>
  </si>
  <si>
    <t xml:space="preserve">비엔호아 시장</t>
  </si>
  <si>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인승 버스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대</t>
    </r>
  </si>
  <si>
    <t xml:space="preserve">C003</t>
  </si>
  <si>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그린물류 하노이</t>
    </r>
  </si>
  <si>
    <t xml:space="preserve">하노이</t>
  </si>
  <si>
    <t xml:space="preserve">물류</t>
  </si>
  <si>
    <t xml:space="preserve">Lê Văn C</t>
  </si>
  <si>
    <t xml:space="preserve">0912-000-003</t>
  </si>
  <si>
    <r>
      <rPr>
        <sz val="10"/>
        <color rgb="FF000000"/>
        <rFont val="Noto Sans CJK SC"/>
        <family val="2"/>
      </rPr>
      <t xml:space="preserve">미지원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개별 출퇴근</t>
    </r>
    <r>
      <rPr>
        <sz val="10"/>
        <color rgb="FF000000"/>
        <rFont val="Arial"/>
        <family val="0"/>
        <charset val="1"/>
      </rPr>
      <t xml:space="preserve">)</t>
    </r>
  </si>
  <si>
    <t xml:space="preserve">-</t>
  </si>
  <si>
    <t xml:space="preserve">C004</t>
  </si>
  <si>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미래식품 빈즈엉</t>
    </r>
  </si>
  <si>
    <t xml:space="preserve">빈즈엉</t>
  </si>
  <si>
    <t xml:space="preserve">식품</t>
  </si>
  <si>
    <t xml:space="preserve">Phạm Thị D</t>
  </si>
  <si>
    <t xml:space="preserve">0912-000-004</t>
  </si>
  <si>
    <t xml:space="preserve">고객사 교통비 지급</t>
  </si>
  <si>
    <r>
      <rPr>
        <sz val="10"/>
        <color rgb="FF000000"/>
        <rFont val="Noto Sans CJK SC"/>
        <family val="2"/>
      </rPr>
      <t xml:space="preserve">교통비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Arial"/>
        <family val="0"/>
        <charset val="1"/>
      </rPr>
      <t xml:space="preserve">20,000 </t>
    </r>
    <r>
      <rPr>
        <sz val="10"/>
        <color rgb="FF000000"/>
        <rFont val="Noto Sans CJK SC"/>
        <family val="2"/>
      </rPr>
      <t xml:space="preserve">고객사 지급</t>
    </r>
  </si>
  <si>
    <r>
      <rPr>
        <b val="true"/>
        <sz val="16"/>
        <color rgb="FF1F3A5F"/>
        <rFont val="Noto Sans CJK SC"/>
        <family val="2"/>
      </rPr>
      <t xml:space="preserve">일일 계획 </t>
    </r>
    <r>
      <rPr>
        <b val="true"/>
        <sz val="16"/>
        <color rgb="FF1F3A5F"/>
        <rFont val="Arial"/>
        <family val="0"/>
        <charset val="1"/>
      </rPr>
      <t xml:space="preserve">/ </t>
    </r>
    <r>
      <rPr>
        <b val="true"/>
        <sz val="16"/>
        <color rgb="FF1F3A5F"/>
        <rFont val="Noto Sans CJK SC"/>
        <family val="2"/>
      </rPr>
      <t xml:space="preserve">실적 — </t>
    </r>
    <r>
      <rPr>
        <b val="true"/>
        <sz val="16"/>
        <color rgb="FF1F3A5F"/>
        <rFont val="Arial"/>
        <family val="0"/>
        <charset val="1"/>
      </rPr>
      <t xml:space="preserve">Kế hoạch &amp; Thực tế hằng ngày</t>
    </r>
  </si>
  <si>
    <r>
      <rPr>
        <sz val="9"/>
        <color rgb="FF595959"/>
        <rFont val="Noto Sans CJK SC"/>
        <family val="2"/>
      </rPr>
      <t xml:space="preserve">노란 칸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날짜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고객사코드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직무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교대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계획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실적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자사차량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비고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만 입력하면 회색 칸은 자동 계산됩니다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</si>
  <si>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날짜
</t>
    </r>
    <r>
      <rPr>
        <b val="true"/>
        <sz val="10"/>
        <color rgb="FFFFFFFF"/>
        <rFont val="Arial"/>
        <family val="0"/>
        <charset val="1"/>
      </rPr>
      <t xml:space="preserve">Ngày</t>
    </r>
  </si>
  <si>
    <r>
      <rPr>
        <b val="true"/>
        <sz val="10"/>
        <color rgb="FFFFFFFF"/>
        <rFont val="Noto Sans CJK SC"/>
        <family val="2"/>
      </rPr>
      <t xml:space="preserve">고객사명
</t>
    </r>
    <r>
      <rPr>
        <b val="true"/>
        <sz val="10"/>
        <color rgb="FFFFFFFF"/>
        <rFont val="Arial"/>
        <family val="0"/>
        <charset val="1"/>
      </rPr>
      <t xml:space="preserve">Tên KH</t>
    </r>
  </si>
  <si>
    <r>
      <rPr>
        <b val="true"/>
        <sz val="10"/>
        <color rgb="FFFFFFFF"/>
        <rFont val="Noto Sans CJK SC"/>
        <family val="2"/>
      </rPr>
      <t xml:space="preserve">직무
</t>
    </r>
    <r>
      <rPr>
        <b val="true"/>
        <sz val="10"/>
        <color rgb="FFFFFFFF"/>
        <rFont val="Arial"/>
        <family val="0"/>
        <charset val="1"/>
      </rPr>
      <t xml:space="preserve">Công việc</t>
    </r>
  </si>
  <si>
    <r>
      <rPr>
        <b val="true"/>
        <sz val="10"/>
        <color rgb="FFFFFFFF"/>
        <rFont val="Noto Sans CJK SC"/>
        <family val="2"/>
      </rPr>
      <t xml:space="preserve">교대
</t>
    </r>
    <r>
      <rPr>
        <b val="true"/>
        <sz val="10"/>
        <color rgb="FFFFFFFF"/>
        <rFont val="Arial"/>
        <family val="0"/>
        <charset val="1"/>
      </rPr>
      <t xml:space="preserve">Ca</t>
    </r>
  </si>
  <si>
    <r>
      <rPr>
        <b val="true"/>
        <sz val="10"/>
        <color rgb="FFFFFFFF"/>
        <rFont val="Noto Sans CJK SC"/>
        <family val="2"/>
      </rPr>
      <t xml:space="preserve">계획인원
</t>
    </r>
    <r>
      <rPr>
        <b val="true"/>
        <sz val="10"/>
        <color rgb="FFFFFFFF"/>
        <rFont val="Arial"/>
        <family val="0"/>
        <charset val="1"/>
      </rPr>
      <t xml:space="preserve">Kế hoạch</t>
    </r>
  </si>
  <si>
    <r>
      <rPr>
        <b val="true"/>
        <sz val="10"/>
        <color rgb="FFFFFFFF"/>
        <rFont val="Noto Sans CJK SC"/>
        <family val="2"/>
      </rPr>
      <t xml:space="preserve">실적인원
</t>
    </r>
    <r>
      <rPr>
        <b val="true"/>
        <sz val="10"/>
        <color rgb="FFFFFFFF"/>
        <rFont val="Arial"/>
        <family val="0"/>
        <charset val="1"/>
      </rPr>
      <t xml:space="preserve">Thực tế</t>
    </r>
  </si>
  <si>
    <r>
      <rPr>
        <b val="true"/>
        <sz val="10"/>
        <color rgb="FFFFFFFF"/>
        <rFont val="Noto Sans CJK SC"/>
        <family val="2"/>
      </rPr>
      <t xml:space="preserve">달성률
</t>
    </r>
    <r>
      <rPr>
        <b val="true"/>
        <sz val="10"/>
        <color rgb="FFFFFFFF"/>
        <rFont val="Arial"/>
        <family val="0"/>
        <charset val="1"/>
      </rPr>
      <t xml:space="preserve">Tỷ lệ đạt</t>
    </r>
  </si>
  <si>
    <r>
      <rPr>
        <b val="true"/>
        <sz val="10"/>
        <color rgb="FFFFFFFF"/>
        <rFont val="Noto Sans CJK SC"/>
        <family val="2"/>
      </rPr>
      <t xml:space="preserve">결원
</t>
    </r>
    <r>
      <rPr>
        <b val="true"/>
        <sz val="10"/>
        <color rgb="FFFFFFFF"/>
        <rFont val="Arial"/>
        <family val="0"/>
        <charset val="1"/>
      </rPr>
      <t xml:space="preserve">Thiếu</t>
    </r>
  </si>
  <si>
    <r>
      <rPr>
        <b val="true"/>
        <sz val="10"/>
        <color rgb="FFFFFFFF"/>
        <rFont val="Noto Sans CJK SC"/>
        <family val="2"/>
      </rPr>
      <t xml:space="preserve">고객사 차량지원
</t>
    </r>
    <r>
      <rPr>
        <b val="true"/>
        <sz val="10"/>
        <color rgb="FFFFFFFF"/>
        <rFont val="Arial"/>
        <family val="0"/>
        <charset val="1"/>
      </rPr>
      <t xml:space="preserve">KH hỗ trợ xe</t>
    </r>
  </si>
  <si>
    <r>
      <rPr>
        <b val="true"/>
        <sz val="10"/>
        <color rgb="FFFFFFFF"/>
        <rFont val="Noto Sans CJK SC"/>
        <family val="2"/>
      </rPr>
      <t xml:space="preserve">자사 차량운행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)
Xe công ty</t>
    </r>
  </si>
  <si>
    <r>
      <rPr>
        <b val="true"/>
        <sz val="10"/>
        <color rgb="FFFFFFFF"/>
        <rFont val="Noto Sans CJK SC"/>
        <family val="2"/>
      </rPr>
      <t xml:space="preserve">차량비용</t>
    </r>
    <r>
      <rPr>
        <b val="true"/>
        <sz val="10"/>
        <color rgb="FFFFFFFF"/>
        <rFont val="Arial"/>
        <family val="0"/>
        <charset val="1"/>
      </rPr>
      <t xml:space="preserve">(VND)
Chi phí xe</t>
    </r>
  </si>
  <si>
    <r>
      <rPr>
        <b val="true"/>
        <sz val="10"/>
        <color rgb="FFFFFFFF"/>
        <rFont val="Noto Sans CJK SC"/>
        <family val="2"/>
      </rPr>
      <t xml:space="preserve">차량확인
</t>
    </r>
    <r>
      <rPr>
        <b val="true"/>
        <sz val="10"/>
        <color rgb="FFFFFFFF"/>
        <rFont val="Arial"/>
        <family val="0"/>
        <charset val="1"/>
      </rPr>
      <t xml:space="preserve">Kiểm tra xe</t>
    </r>
  </si>
  <si>
    <r>
      <rPr>
        <b val="true"/>
        <sz val="10"/>
        <color rgb="FFFFFFFF"/>
        <rFont val="Noto Sans CJK SC"/>
        <family val="2"/>
      </rPr>
      <t xml:space="preserve">청구단가
</t>
    </r>
    <r>
      <rPr>
        <b val="true"/>
        <sz val="10"/>
        <color rgb="FFFFFFFF"/>
        <rFont val="Arial"/>
        <family val="0"/>
        <charset val="1"/>
      </rPr>
      <t xml:space="preserve">Đơn giá thu</t>
    </r>
  </si>
  <si>
    <r>
      <rPr>
        <b val="true"/>
        <sz val="10"/>
        <color rgb="FFFFFFFF"/>
        <rFont val="Noto Sans CJK SC"/>
        <family val="2"/>
      </rPr>
      <t xml:space="preserve">매출</t>
    </r>
    <r>
      <rPr>
        <b val="true"/>
        <sz val="10"/>
        <color rgb="FFFFFFFF"/>
        <rFont val="Arial"/>
        <family val="0"/>
        <charset val="1"/>
      </rPr>
      <t xml:space="preserve">(VND)
Doanh thu</t>
    </r>
  </si>
  <si>
    <r>
      <rPr>
        <b val="true"/>
        <sz val="10"/>
        <color rgb="FFFFFFFF"/>
        <rFont val="Noto Sans CJK SC"/>
        <family val="2"/>
      </rPr>
      <t xml:space="preserve">지급임금
</t>
    </r>
    <r>
      <rPr>
        <b val="true"/>
        <sz val="10"/>
        <color rgb="FFFFFFFF"/>
        <rFont val="Arial"/>
        <family val="0"/>
        <charset val="1"/>
      </rPr>
      <t xml:space="preserve">Đơn giá lương</t>
    </r>
  </si>
  <si>
    <r>
      <rPr>
        <b val="true"/>
        <sz val="10"/>
        <color rgb="FFFFFFFF"/>
        <rFont val="Noto Sans CJK SC"/>
        <family val="2"/>
      </rPr>
      <t xml:space="preserve">인건비</t>
    </r>
    <r>
      <rPr>
        <b val="true"/>
        <sz val="10"/>
        <color rgb="FFFFFFFF"/>
        <rFont val="Arial"/>
        <family val="0"/>
        <charset val="1"/>
      </rPr>
      <t xml:space="preserve">(VND)
Chi phí lương</t>
    </r>
  </si>
  <si>
    <r>
      <rPr>
        <b val="true"/>
        <sz val="10"/>
        <color rgb="FFFFFFFF"/>
        <rFont val="Noto Sans CJK SC"/>
        <family val="2"/>
      </rPr>
      <t xml:space="preserve">이익</t>
    </r>
    <r>
      <rPr>
        <b val="true"/>
        <sz val="10"/>
        <color rgb="FFFFFFFF"/>
        <rFont val="Arial"/>
        <family val="0"/>
        <charset val="1"/>
      </rPr>
      <t xml:space="preserve">(VND)
Lợi nhuận</t>
    </r>
  </si>
  <si>
    <r>
      <rPr>
        <b val="true"/>
        <sz val="10"/>
        <color rgb="FFFFFFFF"/>
        <rFont val="Noto Sans CJK SC"/>
        <family val="2"/>
      </rPr>
      <t xml:space="preserve">이익률
</t>
    </r>
    <r>
      <rPr>
        <b val="true"/>
        <sz val="10"/>
        <color rgb="FFFFFFFF"/>
        <rFont val="Arial"/>
        <family val="0"/>
        <charset val="1"/>
      </rPr>
      <t xml:space="preserve">Tỷ suất</t>
    </r>
  </si>
  <si>
    <r>
      <rPr>
        <sz val="8"/>
        <color rgb="FF808080"/>
        <rFont val="Noto Sans CJK SC"/>
        <family val="2"/>
      </rPr>
      <t xml:space="preserve">보조</t>
    </r>
    <r>
      <rPr>
        <sz val="8"/>
        <color rgb="FF808080"/>
        <rFont val="Arial"/>
        <family val="0"/>
        <charset val="1"/>
      </rPr>
      <t xml:space="preserve">(</t>
    </r>
    <r>
      <rPr>
        <sz val="8"/>
        <color rgb="FF808080"/>
        <rFont val="Noto Sans CJK SC"/>
        <family val="2"/>
      </rPr>
      <t xml:space="preserve">운영일</t>
    </r>
    <r>
      <rPr>
        <sz val="8"/>
        <color rgb="FF808080"/>
        <rFont val="Arial"/>
        <family val="0"/>
        <charset val="1"/>
      </rPr>
      <t xml:space="preserve">)</t>
    </r>
  </si>
  <si>
    <t xml:space="preserve">생산 라인</t>
  </si>
  <si>
    <t xml:space="preserve">주간</t>
  </si>
  <si>
    <t xml:space="preserve">예시 데이터 — 삭제 후 사용</t>
  </si>
  <si>
    <r>
      <rPr>
        <sz val="10"/>
        <color rgb="FF000000"/>
        <rFont val="Noto Sans CJK SC"/>
        <family val="2"/>
      </rPr>
      <t xml:space="preserve">검사</t>
    </r>
    <r>
      <rPr>
        <sz val="10"/>
        <color rgb="FF000000"/>
        <rFont val="Arial"/>
        <family val="0"/>
        <charset val="1"/>
      </rPr>
      <t xml:space="preserve">(QC)</t>
    </r>
  </si>
  <si>
    <t xml:space="preserve">야간</t>
  </si>
  <si>
    <r>
      <rPr>
        <sz val="10"/>
        <color rgb="FF000000"/>
        <rFont val="Noto Sans CJK SC"/>
        <family val="2"/>
      </rPr>
      <t xml:space="preserve">물류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상하차</t>
    </r>
  </si>
  <si>
    <t xml:space="preserve">포장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</si>
  <si>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교대</t>
    </r>
  </si>
  <si>
    <r>
      <rPr>
        <b val="true"/>
        <sz val="16"/>
        <color rgb="FF1F3A5F"/>
        <rFont val="Noto Sans CJK SC"/>
        <family val="2"/>
      </rPr>
      <t xml:space="preserve">월간 계획 </t>
    </r>
    <r>
      <rPr>
        <b val="true"/>
        <sz val="16"/>
        <color rgb="FF1F3A5F"/>
        <rFont val="Arial"/>
        <family val="0"/>
        <charset val="1"/>
      </rPr>
      <t xml:space="preserve">/ </t>
    </r>
    <r>
      <rPr>
        <b val="true"/>
        <sz val="16"/>
        <color rgb="FF1F3A5F"/>
        <rFont val="Noto Sans CJK SC"/>
        <family val="2"/>
      </rPr>
      <t xml:space="preserve">실적 요약 — </t>
    </r>
    <r>
      <rPr>
        <b val="true"/>
        <sz val="16"/>
        <color rgb="FF1F3A5F"/>
        <rFont val="Arial"/>
        <family val="0"/>
        <charset val="1"/>
      </rPr>
      <t xml:space="preserve">Báo cáo tháng</t>
    </r>
  </si>
  <si>
    <r>
      <rPr>
        <sz val="9"/>
        <color rgb="FF595959"/>
        <rFont val="Arial"/>
        <family val="0"/>
        <charset val="1"/>
      </rPr>
      <t xml:space="preserve">C3 </t>
    </r>
    <r>
      <rPr>
        <sz val="9"/>
        <color rgb="FF595959"/>
        <rFont val="Noto Sans CJK SC"/>
        <family val="2"/>
      </rPr>
      <t xml:space="preserve">기준월만 바꾸면 전체가 다시 계산됩니다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인원은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연인원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인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일</t>
    </r>
    <r>
      <rPr>
        <sz val="9"/>
        <color rgb="FF595959"/>
        <rFont val="Arial"/>
        <family val="0"/>
        <charset val="1"/>
      </rPr>
      <t xml:space="preserve">)' </t>
    </r>
    <r>
      <rPr>
        <sz val="9"/>
        <color rgb="FF595959"/>
        <rFont val="Noto Sans CJK SC"/>
        <family val="2"/>
      </rPr>
      <t xml:space="preserve">기준입니다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</si>
  <si>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기준월 </t>
    </r>
    <r>
      <rPr>
        <b val="true"/>
        <sz val="10"/>
        <color rgb="FF000000"/>
        <rFont val="Arial"/>
        <family val="0"/>
        <charset val="1"/>
      </rPr>
      <t xml:space="preserve">/ Tháng</t>
    </r>
  </si>
  <si>
    <t xml:space="preserve">월 시작</t>
  </si>
  <si>
    <t xml:space="preserve">다음 달 시작</t>
  </si>
  <si>
    <r>
      <rPr>
        <b val="true"/>
        <sz val="10"/>
        <color rgb="FFFFFFFF"/>
        <rFont val="Noto Sans CJK SC"/>
        <family val="2"/>
      </rPr>
      <t xml:space="preserve">차량지원
</t>
    </r>
    <r>
      <rPr>
        <b val="true"/>
        <sz val="10"/>
        <color rgb="FFFFFFFF"/>
        <rFont val="Arial"/>
        <family val="0"/>
        <charset val="1"/>
      </rPr>
      <t xml:space="preserve">Hỗ trợ xe</t>
    </r>
  </si>
  <si>
    <r>
      <rPr>
        <b val="true"/>
        <sz val="10"/>
        <color rgb="FFFFFFFF"/>
        <rFont val="Noto Sans CJK SC"/>
        <family val="2"/>
      </rPr>
      <t xml:space="preserve">운영일수
</t>
    </r>
    <r>
      <rPr>
        <b val="true"/>
        <sz val="10"/>
        <color rgb="FFFFFFFF"/>
        <rFont val="Arial"/>
        <family val="0"/>
        <charset val="1"/>
      </rPr>
      <t xml:space="preserve">Số ngày</t>
    </r>
  </si>
  <si>
    <r>
      <rPr>
        <b val="true"/>
        <sz val="10"/>
        <color rgb="FFFFFFFF"/>
        <rFont val="Noto Sans CJK SC"/>
        <family val="2"/>
      </rPr>
      <t xml:space="preserve">계획 연인원
</t>
    </r>
    <r>
      <rPr>
        <b val="true"/>
        <sz val="10"/>
        <color rgb="FFFFFFFF"/>
        <rFont val="Arial"/>
        <family val="0"/>
        <charset val="1"/>
      </rPr>
      <t xml:space="preserve">Kế hoạch</t>
    </r>
  </si>
  <si>
    <r>
      <rPr>
        <b val="true"/>
        <sz val="10"/>
        <color rgb="FFFFFFFF"/>
        <rFont val="Noto Sans CJK SC"/>
        <family val="2"/>
      </rPr>
      <t xml:space="preserve">실적 연인원
</t>
    </r>
    <r>
      <rPr>
        <b val="true"/>
        <sz val="10"/>
        <color rgb="FFFFFFFF"/>
        <rFont val="Arial"/>
        <family val="0"/>
        <charset val="1"/>
      </rPr>
      <t xml:space="preserve">Thực tế</t>
    </r>
  </si>
  <si>
    <r>
      <rPr>
        <b val="true"/>
        <sz val="10"/>
        <color rgb="FFFFFFFF"/>
        <rFont val="Noto Sans CJK SC"/>
        <family val="2"/>
      </rPr>
      <t xml:space="preserve">결원 합계
</t>
    </r>
    <r>
      <rPr>
        <b val="true"/>
        <sz val="10"/>
        <color rgb="FFFFFFFF"/>
        <rFont val="Arial"/>
        <family val="0"/>
        <charset val="1"/>
      </rPr>
      <t xml:space="preserve">Thiếu</t>
    </r>
  </si>
  <si>
    <r>
      <rPr>
        <b val="true"/>
        <sz val="10"/>
        <color rgb="FFFFFFFF"/>
        <rFont val="Noto Sans CJK SC"/>
        <family val="2"/>
      </rPr>
      <t xml:space="preserve">인건비</t>
    </r>
    <r>
      <rPr>
        <b val="true"/>
        <sz val="10"/>
        <color rgb="FFFFFFFF"/>
        <rFont val="Arial"/>
        <family val="0"/>
        <charset val="1"/>
      </rPr>
      <t xml:space="preserve">(VND)
Lương</t>
    </r>
  </si>
  <si>
    <r>
      <rPr>
        <b val="true"/>
        <sz val="10"/>
        <color rgb="FFFFFFFF"/>
        <rFont val="Noto Sans CJK SC"/>
        <family val="2"/>
      </rPr>
      <t xml:space="preserve">차량비</t>
    </r>
    <r>
      <rPr>
        <b val="true"/>
        <sz val="10"/>
        <color rgb="FFFFFFFF"/>
        <rFont val="Arial"/>
        <family val="0"/>
        <charset val="1"/>
      </rPr>
      <t xml:space="preserve">(VND)
Chi phí xe</t>
    </r>
  </si>
  <si>
    <r>
      <rPr>
        <b val="true"/>
        <sz val="10"/>
        <color rgb="FF000000"/>
        <rFont val="Noto Sans CJK SC"/>
        <family val="2"/>
      </rPr>
      <t xml:space="preserve">합계 </t>
    </r>
    <r>
      <rPr>
        <b val="true"/>
        <sz val="10"/>
        <color rgb="FF000000"/>
        <rFont val="Arial"/>
        <family val="0"/>
        <charset val="1"/>
      </rPr>
      <t xml:space="preserve">/ Tổng</t>
    </r>
  </si>
  <si>
    <r>
      <rPr>
        <b val="true"/>
        <sz val="12"/>
        <color rgb="FF1F3A5F"/>
        <rFont val="Noto Sans CJK SC"/>
        <family val="2"/>
      </rPr>
      <t xml:space="preserve">일자별 추이 </t>
    </r>
    <r>
      <rPr>
        <b val="true"/>
        <sz val="12"/>
        <color rgb="FF1F3A5F"/>
        <rFont val="Arial"/>
        <family val="0"/>
        <charset val="1"/>
      </rPr>
      <t xml:space="preserve">/ Theo ngày</t>
    </r>
  </si>
  <si>
    <r>
      <rPr>
        <b val="true"/>
        <sz val="10"/>
        <color rgb="FFFFFFFF"/>
        <rFont val="Noto Sans CJK SC"/>
        <family val="2"/>
      </rPr>
      <t xml:space="preserve">일자
</t>
    </r>
    <r>
      <rPr>
        <b val="true"/>
        <sz val="10"/>
        <color rgb="FFFFFFFF"/>
        <rFont val="Arial"/>
        <family val="0"/>
        <charset val="1"/>
      </rPr>
      <t xml:space="preserve">Ngày</t>
    </r>
  </si>
  <si>
    <t xml:space="preserve">날짜</t>
  </si>
  <si>
    <r>
      <rPr>
        <b val="true"/>
        <sz val="10"/>
        <color rgb="FFFFFFFF"/>
        <rFont val="Noto Sans CJK SC"/>
        <family val="2"/>
      </rPr>
      <t xml:space="preserve">계획
</t>
    </r>
    <r>
      <rPr>
        <b val="true"/>
        <sz val="10"/>
        <color rgb="FFFFFFFF"/>
        <rFont val="Arial"/>
        <family val="0"/>
        <charset val="1"/>
      </rPr>
      <t xml:space="preserve">Kế hoạch</t>
    </r>
  </si>
  <si>
    <r>
      <rPr>
        <b val="true"/>
        <sz val="10"/>
        <color rgb="FFFFFFFF"/>
        <rFont val="Noto Sans CJK SC"/>
        <family val="2"/>
      </rPr>
      <t xml:space="preserve">실적
</t>
    </r>
    <r>
      <rPr>
        <b val="true"/>
        <sz val="10"/>
        <color rgb="FFFFFFFF"/>
        <rFont val="Arial"/>
        <family val="0"/>
        <charset val="1"/>
      </rPr>
      <t xml:space="preserve">Thực tế</t>
    </r>
  </si>
  <si>
    <r>
      <rPr>
        <b val="true"/>
        <sz val="10"/>
        <color rgb="FFFFFFFF"/>
        <rFont val="Noto Sans CJK SC"/>
        <family val="2"/>
      </rPr>
      <t xml:space="preserve">달성률
</t>
    </r>
    <r>
      <rPr>
        <b val="true"/>
        <sz val="10"/>
        <color rgb="FFFFFFFF"/>
        <rFont val="Arial"/>
        <family val="0"/>
        <charset val="1"/>
      </rPr>
      <t xml:space="preserve">Tỷ lệ</t>
    </r>
  </si>
  <si>
    <r>
      <rPr>
        <b val="true"/>
        <sz val="10"/>
        <color rgb="FFFFFFFF"/>
        <rFont val="Noto Sans CJK SC"/>
        <family val="2"/>
      </rPr>
      <t xml:space="preserve">직무 </t>
    </r>
    <r>
      <rPr>
        <b val="true"/>
        <sz val="10"/>
        <color rgb="FFFFFFFF"/>
        <rFont val="Arial"/>
        <family val="0"/>
        <charset val="1"/>
      </rPr>
      <t xml:space="preserve">/ Công việc</t>
    </r>
  </si>
  <si>
    <r>
      <rPr>
        <b val="true"/>
        <sz val="10"/>
        <color rgb="FFFFFFFF"/>
        <rFont val="Noto Sans CJK SC"/>
        <family val="2"/>
      </rPr>
      <t xml:space="preserve">교대 </t>
    </r>
    <r>
      <rPr>
        <b val="true"/>
        <sz val="10"/>
        <color rgb="FFFFFFFF"/>
        <rFont val="Arial"/>
        <family val="0"/>
        <charset val="1"/>
      </rPr>
      <t xml:space="preserve">/ Ca</t>
    </r>
  </si>
  <si>
    <r>
      <rPr>
        <b val="true"/>
        <sz val="10"/>
        <color rgb="FFFFFFFF"/>
        <rFont val="Noto Sans CJK SC"/>
        <family val="2"/>
      </rPr>
      <t xml:space="preserve">차량지원 </t>
    </r>
    <r>
      <rPr>
        <b val="true"/>
        <sz val="10"/>
        <color rgb="FFFFFFFF"/>
        <rFont val="Arial"/>
        <family val="0"/>
        <charset val="1"/>
      </rPr>
      <t xml:space="preserve">/ Hỗ trợ xe</t>
    </r>
  </si>
  <si>
    <r>
      <rPr>
        <b val="true"/>
        <sz val="10"/>
        <color rgb="FFFFFFFF"/>
        <rFont val="Noto Sans CJK SC"/>
        <family val="2"/>
      </rPr>
      <t xml:space="preserve">지원형태 </t>
    </r>
    <r>
      <rPr>
        <b val="true"/>
        <sz val="10"/>
        <color rgb="FFFFFFFF"/>
        <rFont val="Arial"/>
        <family val="0"/>
        <charset val="1"/>
      </rPr>
      <t xml:space="preserve">/ Hình thức</t>
    </r>
  </si>
  <si>
    <r>
      <rPr>
        <sz val="9"/>
        <color rgb="FF595959"/>
        <rFont val="Noto Sans CJK SC"/>
        <family val="2"/>
      </rPr>
      <t xml:space="preserve">노란 칸에 항목을 추가하면 드롭다운에 바로 반영됩니다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각 열 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행까지</t>
    </r>
    <r>
      <rPr>
        <sz val="9"/>
        <color rgb="FF595959"/>
        <rFont val="Arial"/>
        <family val="0"/>
        <charset val="1"/>
      </rPr>
      <t xml:space="preserve">).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</si>
  <si>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교대</t>
    </r>
  </si>
  <si>
    <t xml:space="preserve">창고 피킹</t>
  </si>
  <si>
    <r>
      <rPr>
        <sz val="10"/>
        <color rgb="FF000000"/>
        <rFont val="Noto Sans CJK SC"/>
        <family val="2"/>
      </rPr>
      <t xml:space="preserve">청소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잡무</t>
    </r>
  </si>
  <si>
    <t xml:space="preserve">기타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</si>
</sst>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yyyy\-mm\-dd"/>
    <numFmt numFmtId="167" formatCode="0.0%;\(0.0%\);\-"/>
    <numFmt numFmtId="168" formatCode="yyyy\-m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Noto Sans CJK SC"/>
      <family val="2"/>
    </font>
    <font>
      <b val="true"/>
      <sz val="16"/>
      <color rgb="FF1F3A5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2"/>
      <color rgb="FF1F3A5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sz val="8"/>
      <color rgb="FF808080"/>
      <name val="Noto Sans CJK SC"/>
      <family val="2"/>
    </font>
    <font>
      <sz val="8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F2F4F7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2E2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FF4C2"/>
      <rgbColor rgb="FFDCE6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9D9D9"/>
      <rgbColor rgb="FFFFFF99"/>
      <rgbColor rgb="FFB7C4D6"/>
      <rgbColor rgb="FFFF99CC"/>
      <rgbColor rgb="FFCC99FF"/>
      <rgbColor rgb="FFFDE2E2"/>
      <rgbColor rgb="FF2E75B6"/>
      <rgbColor rgb="FF33CCCC"/>
      <rgbColor rgb="FF99CC00"/>
      <rgbColor rgb="FFFFCC00"/>
      <rgbColor rgb="FFC9A227"/>
      <rgbColor rgb="FFFF6600"/>
      <rgbColor rgb="FF595959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일자별 계획 vs 실적 (명)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월간요약!C39</c:f>
              <c:strCache>
                <c:ptCount val="1"/>
                <c:pt idx="0">
                  <c:v>계획
Kế hoạch</c:v>
                </c:pt>
              </c:strCache>
            </c:strRef>
          </c:tx>
          <c:spPr>
            <a:solidFill>
              <a:srgbClr val="b7c4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월간요약!$A$40:$A$70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월간요약!$C$40:$C$70</c:f>
              <c:numCache>
                <c:formatCode>#,##0;\(#,##0\);\-</c:formatCode>
                <c:ptCount val="31"/>
                <c:pt idx="0">
                  <c:v>122</c:v>
                </c:pt>
                <c:pt idx="1">
                  <c:v>122</c:v>
                </c:pt>
                <c:pt idx="2">
                  <c:v>122</c:v>
                </c:pt>
                <c:pt idx="3">
                  <c:v>122</c:v>
                </c:pt>
                <c:pt idx="4">
                  <c:v>122</c:v>
                </c:pt>
                <c:pt idx="5">
                  <c:v>0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122</c:v>
                </c:pt>
                <c:pt idx="10">
                  <c:v>122</c:v>
                </c:pt>
                <c:pt idx="11">
                  <c:v>122</c:v>
                </c:pt>
                <c:pt idx="12">
                  <c:v>0</c:v>
                </c:pt>
                <c:pt idx="13">
                  <c:v>122</c:v>
                </c:pt>
                <c:pt idx="14">
                  <c:v>122</c:v>
                </c:pt>
                <c:pt idx="15">
                  <c:v>122</c:v>
                </c:pt>
                <c:pt idx="16">
                  <c:v>122</c:v>
                </c:pt>
                <c:pt idx="17">
                  <c:v>122</c:v>
                </c:pt>
                <c:pt idx="18">
                  <c:v>122</c:v>
                </c:pt>
                <c:pt idx="19">
                  <c:v>0</c:v>
                </c:pt>
                <c:pt idx="20">
                  <c:v>122</c:v>
                </c:pt>
                <c:pt idx="21">
                  <c:v>122</c:v>
                </c:pt>
                <c:pt idx="22">
                  <c:v>122</c:v>
                </c:pt>
                <c:pt idx="23">
                  <c:v>122</c:v>
                </c:pt>
                <c:pt idx="24">
                  <c:v>122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월간요약!D39</c:f>
              <c:strCache>
                <c:ptCount val="1"/>
                <c:pt idx="0">
                  <c:v>실적
Thực tế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월간요약!$A$40:$A$70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월간요약!$D$40:$D$70</c:f>
              <c:numCache>
                <c:formatCode>#,##0;\(#,##0\);\-</c:formatCode>
                <c:ptCount val="31"/>
                <c:pt idx="0">
                  <c:v>117</c:v>
                </c:pt>
                <c:pt idx="1">
                  <c:v>119</c:v>
                </c:pt>
                <c:pt idx="2">
                  <c:v>115</c:v>
                </c:pt>
                <c:pt idx="3">
                  <c:v>118</c:v>
                </c:pt>
                <c:pt idx="4">
                  <c:v>118</c:v>
                </c:pt>
                <c:pt idx="5">
                  <c:v>0</c:v>
                </c:pt>
                <c:pt idx="6">
                  <c:v>118</c:v>
                </c:pt>
                <c:pt idx="7">
                  <c:v>118</c:v>
                </c:pt>
                <c:pt idx="8">
                  <c:v>116</c:v>
                </c:pt>
                <c:pt idx="9">
                  <c:v>105</c:v>
                </c:pt>
                <c:pt idx="10">
                  <c:v>119</c:v>
                </c:pt>
                <c:pt idx="11">
                  <c:v>108</c:v>
                </c:pt>
                <c:pt idx="12">
                  <c:v>0</c:v>
                </c:pt>
                <c:pt idx="13">
                  <c:v>117</c:v>
                </c:pt>
                <c:pt idx="14">
                  <c:v>114</c:v>
                </c:pt>
                <c:pt idx="15">
                  <c:v>106</c:v>
                </c:pt>
                <c:pt idx="16">
                  <c:v>116</c:v>
                </c:pt>
                <c:pt idx="17">
                  <c:v>112</c:v>
                </c:pt>
                <c:pt idx="18">
                  <c:v>113</c:v>
                </c:pt>
                <c:pt idx="19">
                  <c:v>0</c:v>
                </c:pt>
                <c:pt idx="20">
                  <c:v>115</c:v>
                </c:pt>
                <c:pt idx="21">
                  <c:v>110</c:v>
                </c:pt>
                <c:pt idx="22">
                  <c:v>113</c:v>
                </c:pt>
                <c:pt idx="23">
                  <c:v>113</c:v>
                </c:pt>
                <c:pt idx="24">
                  <c:v>118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0"/>
        <c:axId val="4312676"/>
        <c:axId val="7980877"/>
      </c:barChart>
      <c:catAx>
        <c:axId val="43126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877"/>
        <c:crosses val="autoZero"/>
        <c:auto val="1"/>
        <c:lblAlgn val="ctr"/>
        <c:lblOffset val="100"/>
        <c:noMultiLvlLbl val="0"/>
      </c:catAx>
      <c:valAx>
        <c:axId val="7980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인원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2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36</xdr:row>
      <xdr:rowOff>78120</xdr:rowOff>
    </xdr:from>
    <xdr:to>
      <xdr:col>12</xdr:col>
      <xdr:colOff>630000</xdr:colOff>
      <xdr:row>51</xdr:row>
      <xdr:rowOff>14760</xdr:rowOff>
    </xdr:to>
    <xdr:graphicFrame>
      <xdr:nvGraphicFramePr>
        <xdr:cNvPr id="0" name="Chart 1"/>
        <xdr:cNvGraphicFramePr/>
      </xdr:nvGraphicFramePr>
      <xdr:xfrm>
        <a:off x="7023240" y="72579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/>
      <c r="C7" s="4" t="s">
        <v>6</v>
      </c>
    </row>
    <row r="8" customFormat="false" ht="30" hidden="false" customHeight="true" outlineLevel="0" collapsed="false">
      <c r="B8" s="3" t="s">
        <v>7</v>
      </c>
      <c r="C8" s="5" t="s">
        <v>8</v>
      </c>
    </row>
    <row r="9" customFormat="false" ht="30" hidden="false" customHeight="true" outlineLevel="0" collapsed="false">
      <c r="B9" s="3" t="s">
        <v>9</v>
      </c>
      <c r="C9" s="4" t="s">
        <v>10</v>
      </c>
    </row>
    <row r="10" customFormat="false" ht="30" hidden="false" customHeight="true" outlineLevel="0" collapsed="false">
      <c r="B10" s="3" t="s">
        <v>11</v>
      </c>
      <c r="C10" s="4" t="s">
        <v>12</v>
      </c>
    </row>
    <row r="11" customFormat="false" ht="30" hidden="false" customHeight="true" outlineLevel="0" collapsed="false">
      <c r="B11" s="3" t="s">
        <v>13</v>
      </c>
      <c r="C11" s="4" t="s">
        <v>14</v>
      </c>
    </row>
    <row r="13" customFormat="false" ht="15" hidden="false" customHeight="false" outlineLevel="0" collapsed="false">
      <c r="B13" s="6" t="s">
        <v>15</v>
      </c>
    </row>
    <row r="14" customFormat="false" ht="15" hidden="false" customHeight="false" outlineLevel="0" collapsed="false">
      <c r="B14" s="7"/>
      <c r="C14" s="8" t="s">
        <v>16</v>
      </c>
    </row>
    <row r="15" customFormat="false" ht="15" hidden="false" customHeight="false" outlineLevel="0" collapsed="false">
      <c r="B15" s="9"/>
      <c r="C15" s="8" t="s">
        <v>17</v>
      </c>
    </row>
    <row r="16" customFormat="false" ht="15" hidden="false" customHeight="false" outlineLevel="0" collapsed="false">
      <c r="B16" s="10"/>
      <c r="C16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2" min="10" style="0" width="14"/>
    <col collapsed="false" customWidth="true" hidden="false" outlineLevel="0" max="14" min="13" style="0" width="12"/>
    <col collapsed="false" customWidth="true" hidden="false" outlineLevel="0" max="15" min="15" style="0" width="22"/>
  </cols>
  <sheetData>
    <row r="1" customFormat="false" ht="23.85" hidden="false" customHeight="false" outlineLevel="0" collapsed="false">
      <c r="A1" s="1" t="s">
        <v>19</v>
      </c>
    </row>
    <row r="2" customFormat="false" ht="15" hidden="false" customHeight="false" outlineLevel="0" collapsed="false">
      <c r="A2" s="11" t="s">
        <v>20</v>
      </c>
    </row>
    <row r="4" customFormat="false" ht="31.5" hidden="false" customHeight="true" outlineLevel="0" collapsed="false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  <c r="K4" s="12" t="s">
        <v>31</v>
      </c>
      <c r="L4" s="12" t="s">
        <v>32</v>
      </c>
      <c r="M4" s="12" t="s">
        <v>33</v>
      </c>
      <c r="N4" s="12" t="s">
        <v>34</v>
      </c>
      <c r="O4" s="12" t="s">
        <v>35</v>
      </c>
    </row>
    <row r="5" customFormat="false" ht="15" hidden="false" customHeight="false" outlineLevel="0" collapsed="false">
      <c r="A5" s="13" t="s">
        <v>36</v>
      </c>
      <c r="B5" s="14" t="s">
        <v>37</v>
      </c>
      <c r="C5" s="15" t="s">
        <v>38</v>
      </c>
      <c r="D5" s="15" t="s">
        <v>39</v>
      </c>
      <c r="E5" s="13" t="s">
        <v>40</v>
      </c>
      <c r="F5" s="13" t="s">
        <v>41</v>
      </c>
      <c r="G5" s="13" t="s">
        <v>42</v>
      </c>
      <c r="H5" s="14" t="s">
        <v>43</v>
      </c>
      <c r="I5" s="14" t="s">
        <v>44</v>
      </c>
      <c r="J5" s="16" t="n">
        <v>420000</v>
      </c>
      <c r="K5" s="16" t="n">
        <v>330000</v>
      </c>
      <c r="L5" s="16" t="n">
        <v>0</v>
      </c>
      <c r="M5" s="17" t="n">
        <v>46023</v>
      </c>
      <c r="N5" s="17" t="n">
        <v>46387</v>
      </c>
      <c r="O5" s="14" t="s">
        <v>45</v>
      </c>
    </row>
    <row r="6" customFormat="false" ht="15" hidden="false" customHeight="false" outlineLevel="0" collapsed="false">
      <c r="A6" s="13" t="s">
        <v>46</v>
      </c>
      <c r="B6" s="14" t="s">
        <v>47</v>
      </c>
      <c r="C6" s="15" t="s">
        <v>48</v>
      </c>
      <c r="D6" s="15" t="s">
        <v>49</v>
      </c>
      <c r="E6" s="13" t="s">
        <v>50</v>
      </c>
      <c r="F6" s="13" t="s">
        <v>51</v>
      </c>
      <c r="G6" s="13" t="s">
        <v>52</v>
      </c>
      <c r="H6" s="14" t="s">
        <v>53</v>
      </c>
      <c r="I6" s="14" t="s">
        <v>54</v>
      </c>
      <c r="J6" s="16" t="n">
        <v>380000</v>
      </c>
      <c r="K6" s="16" t="n">
        <v>300000</v>
      </c>
      <c r="L6" s="16" t="n">
        <v>1200000</v>
      </c>
      <c r="M6" s="17" t="n">
        <v>46082</v>
      </c>
      <c r="N6" s="17" t="n">
        <v>46446</v>
      </c>
      <c r="O6" s="18" t="s">
        <v>55</v>
      </c>
    </row>
    <row r="7" customFormat="false" ht="15" hidden="false" customHeight="false" outlineLevel="0" collapsed="false">
      <c r="A7" s="13" t="s">
        <v>56</v>
      </c>
      <c r="B7" s="14" t="s">
        <v>57</v>
      </c>
      <c r="C7" s="15" t="s">
        <v>58</v>
      </c>
      <c r="D7" s="15" t="s">
        <v>59</v>
      </c>
      <c r="E7" s="13" t="s">
        <v>60</v>
      </c>
      <c r="F7" s="13" t="s">
        <v>61</v>
      </c>
      <c r="G7" s="13" t="s">
        <v>52</v>
      </c>
      <c r="H7" s="14" t="s">
        <v>62</v>
      </c>
      <c r="I7" s="18" t="s">
        <v>63</v>
      </c>
      <c r="J7" s="16" t="n">
        <v>400000</v>
      </c>
      <c r="K7" s="16" t="n">
        <v>315000</v>
      </c>
      <c r="L7" s="16" t="n">
        <v>0</v>
      </c>
      <c r="M7" s="17" t="n">
        <v>46174</v>
      </c>
      <c r="N7" s="17" t="n">
        <v>46356</v>
      </c>
      <c r="O7" s="14"/>
    </row>
    <row r="8" customFormat="false" ht="15" hidden="false" customHeight="false" outlineLevel="0" collapsed="false">
      <c r="A8" s="13" t="s">
        <v>64</v>
      </c>
      <c r="B8" s="14" t="s">
        <v>65</v>
      </c>
      <c r="C8" s="15" t="s">
        <v>66</v>
      </c>
      <c r="D8" s="15" t="s">
        <v>67</v>
      </c>
      <c r="E8" s="13" t="s">
        <v>68</v>
      </c>
      <c r="F8" s="13" t="s">
        <v>69</v>
      </c>
      <c r="G8" s="13" t="s">
        <v>42</v>
      </c>
      <c r="H8" s="14" t="s">
        <v>70</v>
      </c>
      <c r="I8" s="18" t="s">
        <v>63</v>
      </c>
      <c r="J8" s="16" t="n">
        <v>390000</v>
      </c>
      <c r="K8" s="16" t="n">
        <v>305000</v>
      </c>
      <c r="L8" s="16" t="n">
        <v>0</v>
      </c>
      <c r="M8" s="17" t="n">
        <v>46143</v>
      </c>
      <c r="N8" s="17" t="n">
        <v>46507</v>
      </c>
      <c r="O8" s="14" t="s">
        <v>71</v>
      </c>
    </row>
    <row r="9" customFormat="false" ht="15" hidden="false" customHeight="false" outlineLevel="0" collapsed="false">
      <c r="A9" s="15"/>
      <c r="B9" s="14"/>
      <c r="C9" s="15"/>
      <c r="D9" s="15"/>
      <c r="E9" s="15"/>
      <c r="F9" s="15"/>
      <c r="G9" s="13"/>
      <c r="H9" s="14"/>
      <c r="I9" s="14"/>
      <c r="J9" s="16"/>
      <c r="K9" s="16"/>
      <c r="L9" s="16"/>
      <c r="M9" s="17"/>
      <c r="N9" s="17"/>
      <c r="O9" s="14"/>
    </row>
    <row r="10" customFormat="false" ht="15" hidden="false" customHeight="false" outlineLevel="0" collapsed="false">
      <c r="A10" s="15"/>
      <c r="B10" s="14"/>
      <c r="C10" s="15"/>
      <c r="D10" s="15"/>
      <c r="E10" s="15"/>
      <c r="F10" s="15"/>
      <c r="G10" s="13"/>
      <c r="H10" s="14"/>
      <c r="I10" s="14"/>
      <c r="J10" s="16"/>
      <c r="K10" s="16"/>
      <c r="L10" s="16"/>
      <c r="M10" s="17"/>
      <c r="N10" s="17"/>
      <c r="O10" s="14"/>
    </row>
    <row r="11" customFormat="false" ht="15" hidden="false" customHeight="false" outlineLevel="0" collapsed="false">
      <c r="A11" s="15"/>
      <c r="B11" s="14"/>
      <c r="C11" s="15"/>
      <c r="D11" s="15"/>
      <c r="E11" s="15"/>
      <c r="F11" s="15"/>
      <c r="G11" s="13"/>
      <c r="H11" s="14"/>
      <c r="I11" s="14"/>
      <c r="J11" s="16"/>
      <c r="K11" s="16"/>
      <c r="L11" s="16"/>
      <c r="M11" s="17"/>
      <c r="N11" s="17"/>
      <c r="O11" s="14"/>
    </row>
    <row r="12" customFormat="false" ht="15" hidden="false" customHeight="false" outlineLevel="0" collapsed="false">
      <c r="A12" s="15"/>
      <c r="B12" s="14"/>
      <c r="C12" s="15"/>
      <c r="D12" s="15"/>
      <c r="E12" s="15"/>
      <c r="F12" s="15"/>
      <c r="G12" s="13"/>
      <c r="H12" s="14"/>
      <c r="I12" s="14"/>
      <c r="J12" s="16"/>
      <c r="K12" s="16"/>
      <c r="L12" s="16"/>
      <c r="M12" s="17"/>
      <c r="N12" s="17"/>
      <c r="O12" s="14"/>
    </row>
    <row r="13" customFormat="false" ht="15" hidden="false" customHeight="false" outlineLevel="0" collapsed="false">
      <c r="A13" s="15"/>
      <c r="B13" s="14"/>
      <c r="C13" s="15"/>
      <c r="D13" s="15"/>
      <c r="E13" s="15"/>
      <c r="F13" s="15"/>
      <c r="G13" s="13"/>
      <c r="H13" s="14"/>
      <c r="I13" s="14"/>
      <c r="J13" s="16"/>
      <c r="K13" s="16"/>
      <c r="L13" s="16"/>
      <c r="M13" s="17"/>
      <c r="N13" s="17"/>
      <c r="O13" s="14"/>
    </row>
    <row r="14" customFormat="false" ht="15" hidden="false" customHeight="false" outlineLevel="0" collapsed="false">
      <c r="A14" s="15"/>
      <c r="B14" s="14"/>
      <c r="C14" s="15"/>
      <c r="D14" s="15"/>
      <c r="E14" s="15"/>
      <c r="F14" s="15"/>
      <c r="G14" s="13"/>
      <c r="H14" s="14"/>
      <c r="I14" s="14"/>
      <c r="J14" s="16"/>
      <c r="K14" s="16"/>
      <c r="L14" s="16"/>
      <c r="M14" s="17"/>
      <c r="N14" s="17"/>
      <c r="O14" s="14"/>
    </row>
    <row r="15" customFormat="false" ht="15" hidden="false" customHeight="false" outlineLevel="0" collapsed="false">
      <c r="A15" s="15"/>
      <c r="B15" s="14"/>
      <c r="C15" s="15"/>
      <c r="D15" s="15"/>
      <c r="E15" s="15"/>
      <c r="F15" s="15"/>
      <c r="G15" s="13"/>
      <c r="H15" s="14"/>
      <c r="I15" s="14"/>
      <c r="J15" s="16"/>
      <c r="K15" s="16"/>
      <c r="L15" s="16"/>
      <c r="M15" s="17"/>
      <c r="N15" s="17"/>
      <c r="O15" s="14"/>
    </row>
    <row r="16" customFormat="false" ht="15" hidden="false" customHeight="false" outlineLevel="0" collapsed="false">
      <c r="A16" s="15"/>
      <c r="B16" s="14"/>
      <c r="C16" s="15"/>
      <c r="D16" s="15"/>
      <c r="E16" s="15"/>
      <c r="F16" s="15"/>
      <c r="G16" s="13"/>
      <c r="H16" s="14"/>
      <c r="I16" s="14"/>
      <c r="J16" s="16"/>
      <c r="K16" s="16"/>
      <c r="L16" s="16"/>
      <c r="M16" s="17"/>
      <c r="N16" s="17"/>
      <c r="O16" s="14"/>
    </row>
    <row r="17" customFormat="false" ht="15" hidden="false" customHeight="false" outlineLevel="0" collapsed="false">
      <c r="A17" s="15"/>
      <c r="B17" s="14"/>
      <c r="C17" s="15"/>
      <c r="D17" s="15"/>
      <c r="E17" s="15"/>
      <c r="F17" s="15"/>
      <c r="G17" s="13"/>
      <c r="H17" s="14"/>
      <c r="I17" s="14"/>
      <c r="J17" s="16"/>
      <c r="K17" s="16"/>
      <c r="L17" s="16"/>
      <c r="M17" s="17"/>
      <c r="N17" s="17"/>
      <c r="O17" s="14"/>
    </row>
    <row r="18" customFormat="false" ht="15" hidden="false" customHeight="false" outlineLevel="0" collapsed="false">
      <c r="A18" s="15"/>
      <c r="B18" s="14"/>
      <c r="C18" s="15"/>
      <c r="D18" s="15"/>
      <c r="E18" s="15"/>
      <c r="F18" s="15"/>
      <c r="G18" s="13"/>
      <c r="H18" s="14"/>
      <c r="I18" s="14"/>
      <c r="J18" s="16"/>
      <c r="K18" s="16"/>
      <c r="L18" s="16"/>
      <c r="M18" s="17"/>
      <c r="N18" s="17"/>
      <c r="O18" s="14"/>
    </row>
    <row r="19" customFormat="false" ht="15" hidden="false" customHeight="false" outlineLevel="0" collapsed="false">
      <c r="A19" s="15"/>
      <c r="B19" s="14"/>
      <c r="C19" s="15"/>
      <c r="D19" s="15"/>
      <c r="E19" s="15"/>
      <c r="F19" s="15"/>
      <c r="G19" s="13"/>
      <c r="H19" s="14"/>
      <c r="I19" s="14"/>
      <c r="J19" s="16"/>
      <c r="K19" s="16"/>
      <c r="L19" s="16"/>
      <c r="M19" s="17"/>
      <c r="N19" s="17"/>
      <c r="O19" s="14"/>
    </row>
    <row r="20" customFormat="false" ht="15" hidden="false" customHeight="false" outlineLevel="0" collapsed="false">
      <c r="A20" s="15"/>
      <c r="B20" s="14"/>
      <c r="C20" s="15"/>
      <c r="D20" s="15"/>
      <c r="E20" s="15"/>
      <c r="F20" s="15"/>
      <c r="G20" s="13"/>
      <c r="H20" s="14"/>
      <c r="I20" s="14"/>
      <c r="J20" s="16"/>
      <c r="K20" s="16"/>
      <c r="L20" s="16"/>
      <c r="M20" s="17"/>
      <c r="N20" s="17"/>
      <c r="O20" s="14"/>
    </row>
    <row r="21" customFormat="false" ht="15" hidden="false" customHeight="false" outlineLevel="0" collapsed="false">
      <c r="A21" s="15"/>
      <c r="B21" s="14"/>
      <c r="C21" s="15"/>
      <c r="D21" s="15"/>
      <c r="E21" s="15"/>
      <c r="F21" s="15"/>
      <c r="G21" s="13"/>
      <c r="H21" s="14"/>
      <c r="I21" s="14"/>
      <c r="J21" s="16"/>
      <c r="K21" s="16"/>
      <c r="L21" s="16"/>
      <c r="M21" s="17"/>
      <c r="N21" s="17"/>
      <c r="O21" s="14"/>
    </row>
    <row r="22" customFormat="false" ht="15" hidden="false" customHeight="false" outlineLevel="0" collapsed="false">
      <c r="A22" s="15"/>
      <c r="B22" s="14"/>
      <c r="C22" s="15"/>
      <c r="D22" s="15"/>
      <c r="E22" s="15"/>
      <c r="F22" s="15"/>
      <c r="G22" s="13"/>
      <c r="H22" s="14"/>
      <c r="I22" s="14"/>
      <c r="J22" s="16"/>
      <c r="K22" s="16"/>
      <c r="L22" s="16"/>
      <c r="M22" s="17"/>
      <c r="N22" s="17"/>
      <c r="O22" s="14"/>
    </row>
    <row r="23" customFormat="false" ht="15" hidden="false" customHeight="false" outlineLevel="0" collapsed="false">
      <c r="A23" s="15"/>
      <c r="B23" s="14"/>
      <c r="C23" s="15"/>
      <c r="D23" s="15"/>
      <c r="E23" s="15"/>
      <c r="F23" s="15"/>
      <c r="G23" s="13"/>
      <c r="H23" s="14"/>
      <c r="I23" s="14"/>
      <c r="J23" s="16"/>
      <c r="K23" s="16"/>
      <c r="L23" s="16"/>
      <c r="M23" s="17"/>
      <c r="N23" s="17"/>
      <c r="O23" s="14"/>
    </row>
    <row r="24" customFormat="false" ht="15" hidden="false" customHeight="false" outlineLevel="0" collapsed="false">
      <c r="A24" s="15"/>
      <c r="B24" s="14"/>
      <c r="C24" s="15"/>
      <c r="D24" s="15"/>
      <c r="E24" s="15"/>
      <c r="F24" s="15"/>
      <c r="G24" s="13"/>
      <c r="H24" s="14"/>
      <c r="I24" s="14"/>
      <c r="J24" s="16"/>
      <c r="K24" s="16"/>
      <c r="L24" s="16"/>
      <c r="M24" s="17"/>
      <c r="N24" s="17"/>
      <c r="O24" s="14"/>
    </row>
    <row r="25" customFormat="false" ht="15" hidden="false" customHeight="false" outlineLevel="0" collapsed="false">
      <c r="A25" s="15"/>
      <c r="B25" s="14"/>
      <c r="C25" s="15"/>
      <c r="D25" s="15"/>
      <c r="E25" s="15"/>
      <c r="F25" s="15"/>
      <c r="G25" s="13"/>
      <c r="H25" s="14"/>
      <c r="I25" s="14"/>
      <c r="J25" s="16"/>
      <c r="K25" s="16"/>
      <c r="L25" s="16"/>
      <c r="M25" s="17"/>
      <c r="N25" s="17"/>
      <c r="O25" s="14"/>
    </row>
    <row r="26" customFormat="false" ht="15" hidden="false" customHeight="false" outlineLevel="0" collapsed="false">
      <c r="A26" s="15"/>
      <c r="B26" s="14"/>
      <c r="C26" s="15"/>
      <c r="D26" s="15"/>
      <c r="E26" s="15"/>
      <c r="F26" s="15"/>
      <c r="G26" s="13"/>
      <c r="H26" s="14"/>
      <c r="I26" s="14"/>
      <c r="J26" s="16"/>
      <c r="K26" s="16"/>
      <c r="L26" s="16"/>
      <c r="M26" s="17"/>
      <c r="N26" s="17"/>
      <c r="O26" s="14"/>
    </row>
    <row r="27" customFormat="false" ht="15" hidden="false" customHeight="false" outlineLevel="0" collapsed="false">
      <c r="A27" s="15"/>
      <c r="B27" s="14"/>
      <c r="C27" s="15"/>
      <c r="D27" s="15"/>
      <c r="E27" s="15"/>
      <c r="F27" s="15"/>
      <c r="G27" s="13"/>
      <c r="H27" s="14"/>
      <c r="I27" s="14"/>
      <c r="J27" s="16"/>
      <c r="K27" s="16"/>
      <c r="L27" s="16"/>
      <c r="M27" s="17"/>
      <c r="N27" s="17"/>
      <c r="O27" s="14"/>
    </row>
    <row r="28" customFormat="false" ht="15" hidden="false" customHeight="false" outlineLevel="0" collapsed="false">
      <c r="A28" s="15"/>
      <c r="B28" s="14"/>
      <c r="C28" s="15"/>
      <c r="D28" s="15"/>
      <c r="E28" s="15"/>
      <c r="F28" s="15"/>
      <c r="G28" s="13"/>
      <c r="H28" s="14"/>
      <c r="I28" s="14"/>
      <c r="J28" s="16"/>
      <c r="K28" s="16"/>
      <c r="L28" s="16"/>
      <c r="M28" s="17"/>
      <c r="N28" s="17"/>
      <c r="O28" s="14"/>
    </row>
    <row r="29" customFormat="false" ht="15" hidden="false" customHeight="false" outlineLevel="0" collapsed="false">
      <c r="A29" s="15"/>
      <c r="B29" s="14"/>
      <c r="C29" s="15"/>
      <c r="D29" s="15"/>
      <c r="E29" s="15"/>
      <c r="F29" s="15"/>
      <c r="G29" s="13"/>
      <c r="H29" s="14"/>
      <c r="I29" s="14"/>
      <c r="J29" s="16"/>
      <c r="K29" s="16"/>
      <c r="L29" s="16"/>
      <c r="M29" s="17"/>
      <c r="N29" s="17"/>
      <c r="O29" s="14"/>
    </row>
    <row r="30" customFormat="false" ht="15" hidden="false" customHeight="false" outlineLevel="0" collapsed="false">
      <c r="A30" s="15"/>
      <c r="B30" s="14"/>
      <c r="C30" s="15"/>
      <c r="D30" s="15"/>
      <c r="E30" s="15"/>
      <c r="F30" s="15"/>
      <c r="G30" s="13"/>
      <c r="H30" s="14"/>
      <c r="I30" s="14"/>
      <c r="J30" s="16"/>
      <c r="K30" s="16"/>
      <c r="L30" s="16"/>
      <c r="M30" s="17"/>
      <c r="N30" s="17"/>
      <c r="O30" s="14"/>
    </row>
    <row r="31" customFormat="false" ht="15" hidden="false" customHeight="false" outlineLevel="0" collapsed="false">
      <c r="A31" s="15"/>
      <c r="B31" s="14"/>
      <c r="C31" s="15"/>
      <c r="D31" s="15"/>
      <c r="E31" s="15"/>
      <c r="F31" s="15"/>
      <c r="G31" s="13"/>
      <c r="H31" s="14"/>
      <c r="I31" s="14"/>
      <c r="J31" s="16"/>
      <c r="K31" s="16"/>
      <c r="L31" s="16"/>
      <c r="M31" s="17"/>
      <c r="N31" s="17"/>
      <c r="O31" s="14"/>
    </row>
    <row r="32" customFormat="false" ht="15" hidden="false" customHeight="false" outlineLevel="0" collapsed="false">
      <c r="A32" s="15"/>
      <c r="B32" s="14"/>
      <c r="C32" s="15"/>
      <c r="D32" s="15"/>
      <c r="E32" s="15"/>
      <c r="F32" s="15"/>
      <c r="G32" s="13"/>
      <c r="H32" s="14"/>
      <c r="I32" s="14"/>
      <c r="J32" s="16"/>
      <c r="K32" s="16"/>
      <c r="L32" s="16"/>
      <c r="M32" s="17"/>
      <c r="N32" s="17"/>
      <c r="O32" s="14"/>
    </row>
    <row r="33" customFormat="false" ht="15" hidden="false" customHeight="false" outlineLevel="0" collapsed="false">
      <c r="A33" s="15"/>
      <c r="B33" s="14"/>
      <c r="C33" s="15"/>
      <c r="D33" s="15"/>
      <c r="E33" s="15"/>
      <c r="F33" s="15"/>
      <c r="G33" s="13"/>
      <c r="H33" s="14"/>
      <c r="I33" s="14"/>
      <c r="J33" s="16"/>
      <c r="K33" s="16"/>
      <c r="L33" s="16"/>
      <c r="M33" s="17"/>
      <c r="N33" s="17"/>
      <c r="O33" s="14"/>
    </row>
    <row r="34" customFormat="false" ht="15" hidden="false" customHeight="false" outlineLevel="0" collapsed="false">
      <c r="A34" s="15"/>
      <c r="B34" s="14"/>
      <c r="C34" s="15"/>
      <c r="D34" s="15"/>
      <c r="E34" s="15"/>
      <c r="F34" s="15"/>
      <c r="G34" s="13"/>
      <c r="H34" s="14"/>
      <c r="I34" s="14"/>
      <c r="J34" s="16"/>
      <c r="K34" s="16"/>
      <c r="L34" s="16"/>
      <c r="M34" s="17"/>
      <c r="N34" s="17"/>
      <c r="O34" s="14"/>
    </row>
    <row r="35" customFormat="false" ht="15" hidden="false" customHeight="false" outlineLevel="0" collapsed="false">
      <c r="A35" s="15"/>
      <c r="B35" s="14"/>
      <c r="C35" s="15"/>
      <c r="D35" s="15"/>
      <c r="E35" s="15"/>
      <c r="F35" s="15"/>
      <c r="G35" s="13"/>
      <c r="H35" s="14"/>
      <c r="I35" s="14"/>
      <c r="J35" s="16"/>
      <c r="K35" s="16"/>
      <c r="L35" s="16"/>
      <c r="M35" s="17"/>
      <c r="N35" s="17"/>
      <c r="O35" s="14"/>
    </row>
    <row r="36" customFormat="false" ht="15" hidden="false" customHeight="false" outlineLevel="0" collapsed="false">
      <c r="A36" s="15"/>
      <c r="B36" s="14"/>
      <c r="C36" s="15"/>
      <c r="D36" s="15"/>
      <c r="E36" s="15"/>
      <c r="F36" s="15"/>
      <c r="G36" s="13"/>
      <c r="H36" s="14"/>
      <c r="I36" s="14"/>
      <c r="J36" s="16"/>
      <c r="K36" s="16"/>
      <c r="L36" s="16"/>
      <c r="M36" s="17"/>
      <c r="N36" s="17"/>
      <c r="O36" s="14"/>
    </row>
    <row r="37" customFormat="false" ht="15" hidden="false" customHeight="false" outlineLevel="0" collapsed="false">
      <c r="A37" s="15"/>
      <c r="B37" s="14"/>
      <c r="C37" s="15"/>
      <c r="D37" s="15"/>
      <c r="E37" s="15"/>
      <c r="F37" s="15"/>
      <c r="G37" s="13"/>
      <c r="H37" s="14"/>
      <c r="I37" s="14"/>
      <c r="J37" s="16"/>
      <c r="K37" s="16"/>
      <c r="L37" s="16"/>
      <c r="M37" s="17"/>
      <c r="N37" s="17"/>
      <c r="O37" s="14"/>
    </row>
    <row r="38" customFormat="false" ht="15" hidden="false" customHeight="false" outlineLevel="0" collapsed="false">
      <c r="A38" s="15"/>
      <c r="B38" s="14"/>
      <c r="C38" s="15"/>
      <c r="D38" s="15"/>
      <c r="E38" s="15"/>
      <c r="F38" s="15"/>
      <c r="G38" s="13"/>
      <c r="H38" s="14"/>
      <c r="I38" s="14"/>
      <c r="J38" s="16"/>
      <c r="K38" s="16"/>
      <c r="L38" s="16"/>
      <c r="M38" s="17"/>
      <c r="N38" s="17"/>
      <c r="O38" s="14"/>
    </row>
    <row r="39" customFormat="false" ht="15" hidden="false" customHeight="false" outlineLevel="0" collapsed="false">
      <c r="A39" s="15"/>
      <c r="B39" s="14"/>
      <c r="C39" s="15"/>
      <c r="D39" s="15"/>
      <c r="E39" s="15"/>
      <c r="F39" s="15"/>
      <c r="G39" s="13"/>
      <c r="H39" s="14"/>
      <c r="I39" s="14"/>
      <c r="J39" s="16"/>
      <c r="K39" s="16"/>
      <c r="L39" s="16"/>
      <c r="M39" s="17"/>
      <c r="N39" s="17"/>
      <c r="O39" s="14"/>
    </row>
    <row r="40" customFormat="false" ht="15" hidden="false" customHeight="false" outlineLevel="0" collapsed="false">
      <c r="A40" s="15"/>
      <c r="B40" s="14"/>
      <c r="C40" s="15"/>
      <c r="D40" s="15"/>
      <c r="E40" s="15"/>
      <c r="F40" s="15"/>
      <c r="G40" s="13"/>
      <c r="H40" s="14"/>
      <c r="I40" s="14"/>
      <c r="J40" s="16"/>
      <c r="K40" s="16"/>
      <c r="L40" s="16"/>
      <c r="M40" s="17"/>
      <c r="N40" s="17"/>
      <c r="O40" s="14"/>
    </row>
    <row r="41" customFormat="false" ht="15" hidden="false" customHeight="false" outlineLevel="0" collapsed="false">
      <c r="A41" s="15"/>
      <c r="B41" s="14"/>
      <c r="C41" s="15"/>
      <c r="D41" s="15"/>
      <c r="E41" s="15"/>
      <c r="F41" s="15"/>
      <c r="G41" s="13"/>
      <c r="H41" s="14"/>
      <c r="I41" s="14"/>
      <c r="J41" s="16"/>
      <c r="K41" s="16"/>
      <c r="L41" s="16"/>
      <c r="M41" s="17"/>
      <c r="N41" s="17"/>
      <c r="O41" s="14"/>
    </row>
    <row r="42" customFormat="false" ht="15" hidden="false" customHeight="false" outlineLevel="0" collapsed="false">
      <c r="A42" s="15"/>
      <c r="B42" s="14"/>
      <c r="C42" s="15"/>
      <c r="D42" s="15"/>
      <c r="E42" s="15"/>
      <c r="F42" s="15"/>
      <c r="G42" s="13"/>
      <c r="H42" s="14"/>
      <c r="I42" s="14"/>
      <c r="J42" s="16"/>
      <c r="K42" s="16"/>
      <c r="L42" s="16"/>
      <c r="M42" s="17"/>
      <c r="N42" s="17"/>
      <c r="O42" s="14"/>
    </row>
    <row r="43" customFormat="false" ht="15" hidden="false" customHeight="false" outlineLevel="0" collapsed="false">
      <c r="A43" s="15"/>
      <c r="B43" s="14"/>
      <c r="C43" s="15"/>
      <c r="D43" s="15"/>
      <c r="E43" s="15"/>
      <c r="F43" s="15"/>
      <c r="G43" s="13"/>
      <c r="H43" s="14"/>
      <c r="I43" s="14"/>
      <c r="J43" s="16"/>
      <c r="K43" s="16"/>
      <c r="L43" s="16"/>
      <c r="M43" s="17"/>
      <c r="N43" s="17"/>
      <c r="O43" s="14"/>
    </row>
    <row r="44" customFormat="false" ht="15" hidden="false" customHeight="false" outlineLevel="0" collapsed="false">
      <c r="A44" s="15"/>
      <c r="B44" s="14"/>
      <c r="C44" s="15"/>
      <c r="D44" s="15"/>
      <c r="E44" s="15"/>
      <c r="F44" s="15"/>
      <c r="G44" s="13"/>
      <c r="H44" s="14"/>
      <c r="I44" s="14"/>
      <c r="J44" s="16"/>
      <c r="K44" s="16"/>
      <c r="L44" s="16"/>
      <c r="M44" s="17"/>
      <c r="N44" s="17"/>
      <c r="O44" s="14"/>
    </row>
    <row r="45" customFormat="false" ht="15" hidden="false" customHeight="false" outlineLevel="0" collapsed="false">
      <c r="A45" s="15"/>
      <c r="B45" s="14"/>
      <c r="C45" s="15"/>
      <c r="D45" s="15"/>
      <c r="E45" s="15"/>
      <c r="F45" s="15"/>
      <c r="G45" s="13"/>
      <c r="H45" s="14"/>
      <c r="I45" s="14"/>
      <c r="J45" s="16"/>
      <c r="K45" s="16"/>
      <c r="L45" s="16"/>
      <c r="M45" s="17"/>
      <c r="N45" s="17"/>
      <c r="O45" s="14"/>
    </row>
    <row r="46" customFormat="false" ht="15" hidden="false" customHeight="false" outlineLevel="0" collapsed="false">
      <c r="A46" s="15"/>
      <c r="B46" s="14"/>
      <c r="C46" s="15"/>
      <c r="D46" s="15"/>
      <c r="E46" s="15"/>
      <c r="F46" s="15"/>
      <c r="G46" s="13"/>
      <c r="H46" s="14"/>
      <c r="I46" s="14"/>
      <c r="J46" s="16"/>
      <c r="K46" s="16"/>
      <c r="L46" s="16"/>
      <c r="M46" s="17"/>
      <c r="N46" s="17"/>
      <c r="O46" s="14"/>
    </row>
    <row r="47" customFormat="false" ht="15" hidden="false" customHeight="false" outlineLevel="0" collapsed="false">
      <c r="A47" s="15"/>
      <c r="B47" s="14"/>
      <c r="C47" s="15"/>
      <c r="D47" s="15"/>
      <c r="E47" s="15"/>
      <c r="F47" s="15"/>
      <c r="G47" s="13"/>
      <c r="H47" s="14"/>
      <c r="I47" s="14"/>
      <c r="J47" s="16"/>
      <c r="K47" s="16"/>
      <c r="L47" s="16"/>
      <c r="M47" s="17"/>
      <c r="N47" s="17"/>
      <c r="O47" s="14"/>
    </row>
    <row r="48" customFormat="false" ht="15" hidden="false" customHeight="false" outlineLevel="0" collapsed="false">
      <c r="A48" s="15"/>
      <c r="B48" s="14"/>
      <c r="C48" s="15"/>
      <c r="D48" s="15"/>
      <c r="E48" s="15"/>
      <c r="F48" s="15"/>
      <c r="G48" s="13"/>
      <c r="H48" s="14"/>
      <c r="I48" s="14"/>
      <c r="J48" s="16"/>
      <c r="K48" s="16"/>
      <c r="L48" s="16"/>
      <c r="M48" s="17"/>
      <c r="N48" s="17"/>
      <c r="O48" s="14"/>
    </row>
    <row r="49" customFormat="false" ht="15" hidden="false" customHeight="false" outlineLevel="0" collapsed="false">
      <c r="A49" s="15"/>
      <c r="B49" s="14"/>
      <c r="C49" s="15"/>
      <c r="D49" s="15"/>
      <c r="E49" s="15"/>
      <c r="F49" s="15"/>
      <c r="G49" s="13"/>
      <c r="H49" s="14"/>
      <c r="I49" s="14"/>
      <c r="J49" s="16"/>
      <c r="K49" s="16"/>
      <c r="L49" s="16"/>
      <c r="M49" s="17"/>
      <c r="N49" s="17"/>
      <c r="O49" s="14"/>
    </row>
    <row r="50" customFormat="false" ht="15" hidden="false" customHeight="false" outlineLevel="0" collapsed="false">
      <c r="A50" s="15"/>
      <c r="B50" s="14"/>
      <c r="C50" s="15"/>
      <c r="D50" s="15"/>
      <c r="E50" s="15"/>
      <c r="F50" s="15"/>
      <c r="G50" s="13"/>
      <c r="H50" s="14"/>
      <c r="I50" s="14"/>
      <c r="J50" s="16"/>
      <c r="K50" s="16"/>
      <c r="L50" s="16"/>
      <c r="M50" s="17"/>
      <c r="N50" s="17"/>
      <c r="O50" s="14"/>
    </row>
    <row r="51" customFormat="false" ht="15" hidden="false" customHeight="false" outlineLevel="0" collapsed="false">
      <c r="A51" s="15"/>
      <c r="B51" s="14"/>
      <c r="C51" s="15"/>
      <c r="D51" s="15"/>
      <c r="E51" s="15"/>
      <c r="F51" s="15"/>
      <c r="G51" s="13"/>
      <c r="H51" s="14"/>
      <c r="I51" s="14"/>
      <c r="J51" s="16"/>
      <c r="K51" s="16"/>
      <c r="L51" s="16"/>
      <c r="M51" s="17"/>
      <c r="N51" s="17"/>
      <c r="O51" s="14"/>
    </row>
    <row r="52" customFormat="false" ht="15" hidden="false" customHeight="false" outlineLevel="0" collapsed="false">
      <c r="A52" s="15"/>
      <c r="B52" s="14"/>
      <c r="C52" s="15"/>
      <c r="D52" s="15"/>
      <c r="E52" s="15"/>
      <c r="F52" s="15"/>
      <c r="G52" s="13"/>
      <c r="H52" s="14"/>
      <c r="I52" s="14"/>
      <c r="J52" s="16"/>
      <c r="K52" s="16"/>
      <c r="L52" s="16"/>
      <c r="M52" s="17"/>
      <c r="N52" s="17"/>
      <c r="O52" s="14"/>
    </row>
    <row r="53" customFormat="false" ht="15" hidden="false" customHeight="false" outlineLevel="0" collapsed="false">
      <c r="A53" s="15"/>
      <c r="B53" s="14"/>
      <c r="C53" s="15"/>
      <c r="D53" s="15"/>
      <c r="E53" s="15"/>
      <c r="F53" s="15"/>
      <c r="G53" s="13"/>
      <c r="H53" s="14"/>
      <c r="I53" s="14"/>
      <c r="J53" s="16"/>
      <c r="K53" s="16"/>
      <c r="L53" s="16"/>
      <c r="M53" s="17"/>
      <c r="N53" s="17"/>
      <c r="O53" s="14"/>
    </row>
    <row r="54" customFormat="false" ht="15" hidden="false" customHeight="false" outlineLevel="0" collapsed="false">
      <c r="A54" s="15"/>
      <c r="B54" s="14"/>
      <c r="C54" s="15"/>
      <c r="D54" s="15"/>
      <c r="E54" s="15"/>
      <c r="F54" s="15"/>
      <c r="G54" s="13"/>
      <c r="H54" s="14"/>
      <c r="I54" s="14"/>
      <c r="J54" s="16"/>
      <c r="K54" s="16"/>
      <c r="L54" s="16"/>
      <c r="M54" s="17"/>
      <c r="N54" s="17"/>
      <c r="O54" s="14"/>
    </row>
    <row r="55" customFormat="false" ht="15" hidden="false" customHeight="false" outlineLevel="0" collapsed="false">
      <c r="A55" s="15"/>
      <c r="B55" s="14"/>
      <c r="C55" s="15"/>
      <c r="D55" s="15"/>
      <c r="E55" s="15"/>
      <c r="F55" s="15"/>
      <c r="G55" s="13"/>
      <c r="H55" s="14"/>
      <c r="I55" s="14"/>
      <c r="J55" s="16"/>
      <c r="K55" s="16"/>
      <c r="L55" s="16"/>
      <c r="M55" s="17"/>
      <c r="N55" s="17"/>
      <c r="O55" s="14"/>
    </row>
    <row r="56" customFormat="false" ht="15" hidden="false" customHeight="false" outlineLevel="0" collapsed="false">
      <c r="A56" s="15"/>
      <c r="B56" s="14"/>
      <c r="C56" s="15"/>
      <c r="D56" s="15"/>
      <c r="E56" s="15"/>
      <c r="F56" s="15"/>
      <c r="G56" s="13"/>
      <c r="H56" s="14"/>
      <c r="I56" s="14"/>
      <c r="J56" s="16"/>
      <c r="K56" s="16"/>
      <c r="L56" s="16"/>
      <c r="M56" s="17"/>
      <c r="N56" s="17"/>
      <c r="O56" s="14"/>
    </row>
    <row r="57" customFormat="false" ht="15" hidden="false" customHeight="false" outlineLevel="0" collapsed="false">
      <c r="A57" s="15"/>
      <c r="B57" s="14"/>
      <c r="C57" s="15"/>
      <c r="D57" s="15"/>
      <c r="E57" s="15"/>
      <c r="F57" s="15"/>
      <c r="G57" s="13"/>
      <c r="H57" s="14"/>
      <c r="I57" s="14"/>
      <c r="J57" s="16"/>
      <c r="K57" s="16"/>
      <c r="L57" s="16"/>
      <c r="M57" s="17"/>
      <c r="N57" s="17"/>
      <c r="O57" s="14"/>
    </row>
    <row r="58" customFormat="false" ht="15" hidden="false" customHeight="false" outlineLevel="0" collapsed="false">
      <c r="A58" s="15"/>
      <c r="B58" s="14"/>
      <c r="C58" s="15"/>
      <c r="D58" s="15"/>
      <c r="E58" s="15"/>
      <c r="F58" s="15"/>
      <c r="G58" s="13"/>
      <c r="H58" s="14"/>
      <c r="I58" s="14"/>
      <c r="J58" s="16"/>
      <c r="K58" s="16"/>
      <c r="L58" s="16"/>
      <c r="M58" s="17"/>
      <c r="N58" s="17"/>
      <c r="O58" s="14"/>
    </row>
    <row r="59" customFormat="false" ht="15" hidden="false" customHeight="false" outlineLevel="0" collapsed="false">
      <c r="A59" s="15"/>
      <c r="B59" s="14"/>
      <c r="C59" s="15"/>
      <c r="D59" s="15"/>
      <c r="E59" s="15"/>
      <c r="F59" s="15"/>
      <c r="G59" s="13"/>
      <c r="H59" s="14"/>
      <c r="I59" s="14"/>
      <c r="J59" s="16"/>
      <c r="K59" s="16"/>
      <c r="L59" s="16"/>
      <c r="M59" s="17"/>
      <c r="N59" s="17"/>
      <c r="O59" s="14"/>
    </row>
    <row r="60" customFormat="false" ht="15" hidden="false" customHeight="false" outlineLevel="0" collapsed="false">
      <c r="A60" s="15"/>
      <c r="B60" s="14"/>
      <c r="C60" s="15"/>
      <c r="D60" s="15"/>
      <c r="E60" s="15"/>
      <c r="F60" s="15"/>
      <c r="G60" s="13"/>
      <c r="H60" s="14"/>
      <c r="I60" s="14"/>
      <c r="J60" s="16"/>
      <c r="K60" s="16"/>
      <c r="L60" s="16"/>
      <c r="M60" s="17"/>
      <c r="N60" s="17"/>
      <c r="O60" s="14"/>
    </row>
    <row r="61" customFormat="false" ht="15" hidden="false" customHeight="false" outlineLevel="0" collapsed="false">
      <c r="A61" s="15"/>
      <c r="B61" s="14"/>
      <c r="C61" s="15"/>
      <c r="D61" s="15"/>
      <c r="E61" s="15"/>
      <c r="F61" s="15"/>
      <c r="G61" s="13"/>
      <c r="H61" s="14"/>
      <c r="I61" s="14"/>
      <c r="J61" s="16"/>
      <c r="K61" s="16"/>
      <c r="L61" s="16"/>
      <c r="M61" s="17"/>
      <c r="N61" s="17"/>
      <c r="O61" s="14"/>
    </row>
    <row r="62" customFormat="false" ht="15" hidden="false" customHeight="false" outlineLevel="0" collapsed="false">
      <c r="A62" s="15"/>
      <c r="B62" s="14"/>
      <c r="C62" s="15"/>
      <c r="D62" s="15"/>
      <c r="E62" s="15"/>
      <c r="F62" s="15"/>
      <c r="G62" s="13"/>
      <c r="H62" s="14"/>
      <c r="I62" s="14"/>
      <c r="J62" s="16"/>
      <c r="K62" s="16"/>
      <c r="L62" s="16"/>
      <c r="M62" s="17"/>
      <c r="N62" s="17"/>
      <c r="O62" s="14"/>
    </row>
    <row r="63" customFormat="false" ht="15" hidden="false" customHeight="false" outlineLevel="0" collapsed="false">
      <c r="A63" s="15"/>
      <c r="B63" s="14"/>
      <c r="C63" s="15"/>
      <c r="D63" s="15"/>
      <c r="E63" s="15"/>
      <c r="F63" s="15"/>
      <c r="G63" s="13"/>
      <c r="H63" s="14"/>
      <c r="I63" s="14"/>
      <c r="J63" s="16"/>
      <c r="K63" s="16"/>
      <c r="L63" s="16"/>
      <c r="M63" s="17"/>
      <c r="N63" s="17"/>
      <c r="O63" s="14"/>
    </row>
    <row r="64" customFormat="false" ht="15" hidden="false" customHeight="false" outlineLevel="0" collapsed="false">
      <c r="A64" s="15"/>
      <c r="B64" s="14"/>
      <c r="C64" s="15"/>
      <c r="D64" s="15"/>
      <c r="E64" s="15"/>
      <c r="F64" s="15"/>
      <c r="G64" s="13"/>
      <c r="H64" s="14"/>
      <c r="I64" s="14"/>
      <c r="J64" s="16"/>
      <c r="K64" s="16"/>
      <c r="L64" s="16"/>
      <c r="M64" s="17"/>
      <c r="N64" s="17"/>
      <c r="O64" s="14"/>
    </row>
    <row r="65" customFormat="false" ht="15" hidden="false" customHeight="false" outlineLevel="0" collapsed="false">
      <c r="A65" s="15"/>
      <c r="B65" s="14"/>
      <c r="C65" s="15"/>
      <c r="D65" s="15"/>
      <c r="E65" s="15"/>
      <c r="F65" s="15"/>
      <c r="G65" s="13"/>
      <c r="H65" s="14"/>
      <c r="I65" s="14"/>
      <c r="J65" s="16"/>
      <c r="K65" s="16"/>
      <c r="L65" s="16"/>
      <c r="M65" s="17"/>
      <c r="N65" s="17"/>
      <c r="O65" s="14"/>
    </row>
    <row r="66" customFormat="false" ht="15" hidden="false" customHeight="false" outlineLevel="0" collapsed="false">
      <c r="A66" s="15"/>
      <c r="B66" s="14"/>
      <c r="C66" s="15"/>
      <c r="D66" s="15"/>
      <c r="E66" s="15"/>
      <c r="F66" s="15"/>
      <c r="G66" s="13"/>
      <c r="H66" s="14"/>
      <c r="I66" s="14"/>
      <c r="J66" s="16"/>
      <c r="K66" s="16"/>
      <c r="L66" s="16"/>
      <c r="M66" s="17"/>
      <c r="N66" s="17"/>
      <c r="O66" s="14"/>
    </row>
    <row r="67" customFormat="false" ht="15" hidden="false" customHeight="false" outlineLevel="0" collapsed="false">
      <c r="A67" s="15"/>
      <c r="B67" s="14"/>
      <c r="C67" s="15"/>
      <c r="D67" s="15"/>
      <c r="E67" s="15"/>
      <c r="F67" s="15"/>
      <c r="G67" s="13"/>
      <c r="H67" s="14"/>
      <c r="I67" s="14"/>
      <c r="J67" s="16"/>
      <c r="K67" s="16"/>
      <c r="L67" s="16"/>
      <c r="M67" s="17"/>
      <c r="N67" s="17"/>
      <c r="O67" s="14"/>
    </row>
    <row r="68" customFormat="false" ht="15" hidden="false" customHeight="false" outlineLevel="0" collapsed="false">
      <c r="A68" s="15"/>
      <c r="B68" s="14"/>
      <c r="C68" s="15"/>
      <c r="D68" s="15"/>
      <c r="E68" s="15"/>
      <c r="F68" s="15"/>
      <c r="G68" s="13"/>
      <c r="H68" s="14"/>
      <c r="I68" s="14"/>
      <c r="J68" s="16"/>
      <c r="K68" s="16"/>
      <c r="L68" s="16"/>
      <c r="M68" s="17"/>
      <c r="N68" s="17"/>
      <c r="O68" s="14"/>
    </row>
    <row r="69" customFormat="false" ht="15" hidden="false" customHeight="false" outlineLevel="0" collapsed="false">
      <c r="A69" s="15"/>
      <c r="B69" s="14"/>
      <c r="C69" s="15"/>
      <c r="D69" s="15"/>
      <c r="E69" s="15"/>
      <c r="F69" s="15"/>
      <c r="G69" s="13"/>
      <c r="H69" s="14"/>
      <c r="I69" s="14"/>
      <c r="J69" s="16"/>
      <c r="K69" s="16"/>
      <c r="L69" s="16"/>
      <c r="M69" s="17"/>
      <c r="N69" s="17"/>
      <c r="O69" s="14"/>
    </row>
    <row r="70" customFormat="false" ht="15" hidden="false" customHeight="false" outlineLevel="0" collapsed="false">
      <c r="A70" s="15"/>
      <c r="B70" s="14"/>
      <c r="C70" s="15"/>
      <c r="D70" s="15"/>
      <c r="E70" s="15"/>
      <c r="F70" s="15"/>
      <c r="G70" s="13"/>
      <c r="H70" s="14"/>
      <c r="I70" s="14"/>
      <c r="J70" s="16"/>
      <c r="K70" s="16"/>
      <c r="L70" s="16"/>
      <c r="M70" s="17"/>
      <c r="N70" s="17"/>
      <c r="O70" s="14"/>
    </row>
    <row r="71" customFormat="false" ht="15" hidden="false" customHeight="false" outlineLevel="0" collapsed="false">
      <c r="A71" s="15"/>
      <c r="B71" s="14"/>
      <c r="C71" s="15"/>
      <c r="D71" s="15"/>
      <c r="E71" s="15"/>
      <c r="F71" s="15"/>
      <c r="G71" s="13"/>
      <c r="H71" s="14"/>
      <c r="I71" s="14"/>
      <c r="J71" s="16"/>
      <c r="K71" s="16"/>
      <c r="L71" s="16"/>
      <c r="M71" s="17"/>
      <c r="N71" s="17"/>
      <c r="O71" s="14"/>
    </row>
    <row r="72" customFormat="false" ht="15" hidden="false" customHeight="false" outlineLevel="0" collapsed="false">
      <c r="A72" s="15"/>
      <c r="B72" s="14"/>
      <c r="C72" s="15"/>
      <c r="D72" s="15"/>
      <c r="E72" s="15"/>
      <c r="F72" s="15"/>
      <c r="G72" s="13"/>
      <c r="H72" s="14"/>
      <c r="I72" s="14"/>
      <c r="J72" s="16"/>
      <c r="K72" s="16"/>
      <c r="L72" s="16"/>
      <c r="M72" s="17"/>
      <c r="N72" s="17"/>
      <c r="O72" s="14"/>
    </row>
    <row r="73" customFormat="false" ht="15" hidden="false" customHeight="false" outlineLevel="0" collapsed="false">
      <c r="A73" s="15"/>
      <c r="B73" s="14"/>
      <c r="C73" s="15"/>
      <c r="D73" s="15"/>
      <c r="E73" s="15"/>
      <c r="F73" s="15"/>
      <c r="G73" s="13"/>
      <c r="H73" s="14"/>
      <c r="I73" s="14"/>
      <c r="J73" s="16"/>
      <c r="K73" s="16"/>
      <c r="L73" s="16"/>
      <c r="M73" s="17"/>
      <c r="N73" s="17"/>
      <c r="O73" s="14"/>
    </row>
    <row r="74" customFormat="false" ht="15" hidden="false" customHeight="false" outlineLevel="0" collapsed="false">
      <c r="A74" s="15"/>
      <c r="B74" s="14"/>
      <c r="C74" s="15"/>
      <c r="D74" s="15"/>
      <c r="E74" s="15"/>
      <c r="F74" s="15"/>
      <c r="G74" s="13"/>
      <c r="H74" s="14"/>
      <c r="I74" s="14"/>
      <c r="J74" s="16"/>
      <c r="K74" s="16"/>
      <c r="L74" s="16"/>
      <c r="M74" s="17"/>
      <c r="N74" s="17"/>
      <c r="O74" s="14"/>
    </row>
    <row r="75" customFormat="false" ht="15" hidden="false" customHeight="false" outlineLevel="0" collapsed="false">
      <c r="A75" s="15"/>
      <c r="B75" s="14"/>
      <c r="C75" s="15"/>
      <c r="D75" s="15"/>
      <c r="E75" s="15"/>
      <c r="F75" s="15"/>
      <c r="G75" s="13"/>
      <c r="H75" s="14"/>
      <c r="I75" s="14"/>
      <c r="J75" s="16"/>
      <c r="K75" s="16"/>
      <c r="L75" s="16"/>
      <c r="M75" s="17"/>
      <c r="N75" s="17"/>
      <c r="O75" s="14"/>
    </row>
    <row r="76" customFormat="false" ht="15" hidden="false" customHeight="false" outlineLevel="0" collapsed="false">
      <c r="A76" s="15"/>
      <c r="B76" s="14"/>
      <c r="C76" s="15"/>
      <c r="D76" s="15"/>
      <c r="E76" s="15"/>
      <c r="F76" s="15"/>
      <c r="G76" s="13"/>
      <c r="H76" s="14"/>
      <c r="I76" s="14"/>
      <c r="J76" s="16"/>
      <c r="K76" s="16"/>
      <c r="L76" s="16"/>
      <c r="M76" s="17"/>
      <c r="N76" s="17"/>
      <c r="O76" s="14"/>
    </row>
    <row r="77" customFormat="false" ht="15" hidden="false" customHeight="false" outlineLevel="0" collapsed="false">
      <c r="A77" s="15"/>
      <c r="B77" s="14"/>
      <c r="C77" s="15"/>
      <c r="D77" s="15"/>
      <c r="E77" s="15"/>
      <c r="F77" s="15"/>
      <c r="G77" s="13"/>
      <c r="H77" s="14"/>
      <c r="I77" s="14"/>
      <c r="J77" s="16"/>
      <c r="K77" s="16"/>
      <c r="L77" s="16"/>
      <c r="M77" s="17"/>
      <c r="N77" s="17"/>
      <c r="O77" s="14"/>
    </row>
    <row r="78" customFormat="false" ht="15" hidden="false" customHeight="false" outlineLevel="0" collapsed="false">
      <c r="A78" s="15"/>
      <c r="B78" s="14"/>
      <c r="C78" s="15"/>
      <c r="D78" s="15"/>
      <c r="E78" s="15"/>
      <c r="F78" s="15"/>
      <c r="G78" s="13"/>
      <c r="H78" s="14"/>
      <c r="I78" s="14"/>
      <c r="J78" s="16"/>
      <c r="K78" s="16"/>
      <c r="L78" s="16"/>
      <c r="M78" s="17"/>
      <c r="N78" s="17"/>
      <c r="O78" s="14"/>
    </row>
    <row r="79" customFormat="false" ht="15" hidden="false" customHeight="false" outlineLevel="0" collapsed="false">
      <c r="A79" s="15"/>
      <c r="B79" s="14"/>
      <c r="C79" s="15"/>
      <c r="D79" s="15"/>
      <c r="E79" s="15"/>
      <c r="F79" s="15"/>
      <c r="G79" s="13"/>
      <c r="H79" s="14"/>
      <c r="I79" s="14"/>
      <c r="J79" s="16"/>
      <c r="K79" s="16"/>
      <c r="L79" s="16"/>
      <c r="M79" s="17"/>
      <c r="N79" s="17"/>
      <c r="O79" s="14"/>
    </row>
    <row r="80" customFormat="false" ht="15" hidden="false" customHeight="false" outlineLevel="0" collapsed="false">
      <c r="A80" s="15"/>
      <c r="B80" s="14"/>
      <c r="C80" s="15"/>
      <c r="D80" s="15"/>
      <c r="E80" s="15"/>
      <c r="F80" s="15"/>
      <c r="G80" s="13"/>
      <c r="H80" s="14"/>
      <c r="I80" s="14"/>
      <c r="J80" s="16"/>
      <c r="K80" s="16"/>
      <c r="L80" s="16"/>
      <c r="M80" s="17"/>
      <c r="N80" s="17"/>
      <c r="O80" s="14"/>
    </row>
    <row r="81" customFormat="false" ht="15" hidden="false" customHeight="false" outlineLevel="0" collapsed="false">
      <c r="A81" s="15"/>
      <c r="B81" s="14"/>
      <c r="C81" s="15"/>
      <c r="D81" s="15"/>
      <c r="E81" s="15"/>
      <c r="F81" s="15"/>
      <c r="G81" s="13"/>
      <c r="H81" s="14"/>
      <c r="I81" s="14"/>
      <c r="J81" s="16"/>
      <c r="K81" s="16"/>
      <c r="L81" s="16"/>
      <c r="M81" s="17"/>
      <c r="N81" s="17"/>
      <c r="O81" s="14"/>
    </row>
    <row r="82" customFormat="false" ht="15" hidden="false" customHeight="false" outlineLevel="0" collapsed="false">
      <c r="A82" s="15"/>
      <c r="B82" s="14"/>
      <c r="C82" s="15"/>
      <c r="D82" s="15"/>
      <c r="E82" s="15"/>
      <c r="F82" s="15"/>
      <c r="G82" s="13"/>
      <c r="H82" s="14"/>
      <c r="I82" s="14"/>
      <c r="J82" s="16"/>
      <c r="K82" s="16"/>
      <c r="L82" s="16"/>
      <c r="M82" s="17"/>
      <c r="N82" s="17"/>
      <c r="O82" s="14"/>
    </row>
    <row r="83" customFormat="false" ht="15" hidden="false" customHeight="false" outlineLevel="0" collapsed="false">
      <c r="A83" s="15"/>
      <c r="B83" s="14"/>
      <c r="C83" s="15"/>
      <c r="D83" s="15"/>
      <c r="E83" s="15"/>
      <c r="F83" s="15"/>
      <c r="G83" s="13"/>
      <c r="H83" s="14"/>
      <c r="I83" s="14"/>
      <c r="J83" s="16"/>
      <c r="K83" s="16"/>
      <c r="L83" s="16"/>
      <c r="M83" s="17"/>
      <c r="N83" s="17"/>
      <c r="O83" s="14"/>
    </row>
    <row r="84" customFormat="false" ht="15" hidden="false" customHeight="false" outlineLevel="0" collapsed="false">
      <c r="A84" s="15"/>
      <c r="B84" s="14"/>
      <c r="C84" s="15"/>
      <c r="D84" s="15"/>
      <c r="E84" s="15"/>
      <c r="F84" s="15"/>
      <c r="G84" s="13"/>
      <c r="H84" s="14"/>
      <c r="I84" s="14"/>
      <c r="J84" s="16"/>
      <c r="K84" s="16"/>
      <c r="L84" s="16"/>
      <c r="M84" s="17"/>
      <c r="N84" s="17"/>
      <c r="O84" s="14"/>
    </row>
    <row r="85" customFormat="false" ht="15" hidden="false" customHeight="false" outlineLevel="0" collapsed="false">
      <c r="A85" s="15"/>
      <c r="B85" s="14"/>
      <c r="C85" s="15"/>
      <c r="D85" s="15"/>
      <c r="E85" s="15"/>
      <c r="F85" s="15"/>
      <c r="G85" s="13"/>
      <c r="H85" s="14"/>
      <c r="I85" s="14"/>
      <c r="J85" s="16"/>
      <c r="K85" s="16"/>
      <c r="L85" s="16"/>
      <c r="M85" s="17"/>
      <c r="N85" s="17"/>
      <c r="O85" s="14"/>
    </row>
    <row r="86" customFormat="false" ht="15" hidden="false" customHeight="false" outlineLevel="0" collapsed="false">
      <c r="A86" s="15"/>
      <c r="B86" s="14"/>
      <c r="C86" s="15"/>
      <c r="D86" s="15"/>
      <c r="E86" s="15"/>
      <c r="F86" s="15"/>
      <c r="G86" s="13"/>
      <c r="H86" s="14"/>
      <c r="I86" s="14"/>
      <c r="J86" s="16"/>
      <c r="K86" s="16"/>
      <c r="L86" s="16"/>
      <c r="M86" s="17"/>
      <c r="N86" s="17"/>
      <c r="O86" s="14"/>
    </row>
    <row r="87" customFormat="false" ht="15" hidden="false" customHeight="false" outlineLevel="0" collapsed="false">
      <c r="A87" s="15"/>
      <c r="B87" s="14"/>
      <c r="C87" s="15"/>
      <c r="D87" s="15"/>
      <c r="E87" s="15"/>
      <c r="F87" s="15"/>
      <c r="G87" s="13"/>
      <c r="H87" s="14"/>
      <c r="I87" s="14"/>
      <c r="J87" s="16"/>
      <c r="K87" s="16"/>
      <c r="L87" s="16"/>
      <c r="M87" s="17"/>
      <c r="N87" s="17"/>
      <c r="O87" s="14"/>
    </row>
    <row r="88" customFormat="false" ht="15" hidden="false" customHeight="false" outlineLevel="0" collapsed="false">
      <c r="A88" s="15"/>
      <c r="B88" s="14"/>
      <c r="C88" s="15"/>
      <c r="D88" s="15"/>
      <c r="E88" s="15"/>
      <c r="F88" s="15"/>
      <c r="G88" s="13"/>
      <c r="H88" s="14"/>
      <c r="I88" s="14"/>
      <c r="J88" s="16"/>
      <c r="K88" s="16"/>
      <c r="L88" s="16"/>
      <c r="M88" s="17"/>
      <c r="N88" s="17"/>
      <c r="O88" s="14"/>
    </row>
    <row r="89" customFormat="false" ht="15" hidden="false" customHeight="false" outlineLevel="0" collapsed="false">
      <c r="A89" s="15"/>
      <c r="B89" s="14"/>
      <c r="C89" s="15"/>
      <c r="D89" s="15"/>
      <c r="E89" s="15"/>
      <c r="F89" s="15"/>
      <c r="G89" s="13"/>
      <c r="H89" s="14"/>
      <c r="I89" s="14"/>
      <c r="J89" s="16"/>
      <c r="K89" s="16"/>
      <c r="L89" s="16"/>
      <c r="M89" s="17"/>
      <c r="N89" s="17"/>
      <c r="O89" s="14"/>
    </row>
    <row r="90" customFormat="false" ht="15" hidden="false" customHeight="false" outlineLevel="0" collapsed="false">
      <c r="A90" s="15"/>
      <c r="B90" s="14"/>
      <c r="C90" s="15"/>
      <c r="D90" s="15"/>
      <c r="E90" s="15"/>
      <c r="F90" s="15"/>
      <c r="G90" s="13"/>
      <c r="H90" s="14"/>
      <c r="I90" s="14"/>
      <c r="J90" s="16"/>
      <c r="K90" s="16"/>
      <c r="L90" s="16"/>
      <c r="M90" s="17"/>
      <c r="N90" s="17"/>
      <c r="O90" s="14"/>
    </row>
    <row r="91" customFormat="false" ht="15" hidden="false" customHeight="false" outlineLevel="0" collapsed="false">
      <c r="A91" s="15"/>
      <c r="B91" s="14"/>
      <c r="C91" s="15"/>
      <c r="D91" s="15"/>
      <c r="E91" s="15"/>
      <c r="F91" s="15"/>
      <c r="G91" s="13"/>
      <c r="H91" s="14"/>
      <c r="I91" s="14"/>
      <c r="J91" s="16"/>
      <c r="K91" s="16"/>
      <c r="L91" s="16"/>
      <c r="M91" s="17"/>
      <c r="N91" s="17"/>
      <c r="O91" s="14"/>
    </row>
    <row r="92" customFormat="false" ht="15" hidden="false" customHeight="false" outlineLevel="0" collapsed="false">
      <c r="A92" s="15"/>
      <c r="B92" s="14"/>
      <c r="C92" s="15"/>
      <c r="D92" s="15"/>
      <c r="E92" s="15"/>
      <c r="F92" s="15"/>
      <c r="G92" s="13"/>
      <c r="H92" s="14"/>
      <c r="I92" s="14"/>
      <c r="J92" s="16"/>
      <c r="K92" s="16"/>
      <c r="L92" s="16"/>
      <c r="M92" s="17"/>
      <c r="N92" s="17"/>
      <c r="O92" s="14"/>
    </row>
    <row r="93" customFormat="false" ht="15" hidden="false" customHeight="false" outlineLevel="0" collapsed="false">
      <c r="A93" s="15"/>
      <c r="B93" s="14"/>
      <c r="C93" s="15"/>
      <c r="D93" s="15"/>
      <c r="E93" s="15"/>
      <c r="F93" s="15"/>
      <c r="G93" s="13"/>
      <c r="H93" s="14"/>
      <c r="I93" s="14"/>
      <c r="J93" s="16"/>
      <c r="K93" s="16"/>
      <c r="L93" s="16"/>
      <c r="M93" s="17"/>
      <c r="N93" s="17"/>
      <c r="O93" s="14"/>
    </row>
    <row r="94" customFormat="false" ht="15" hidden="false" customHeight="false" outlineLevel="0" collapsed="false">
      <c r="A94" s="15"/>
      <c r="B94" s="14"/>
      <c r="C94" s="15"/>
      <c r="D94" s="15"/>
      <c r="E94" s="15"/>
      <c r="F94" s="15"/>
      <c r="G94" s="13"/>
      <c r="H94" s="14"/>
      <c r="I94" s="14"/>
      <c r="J94" s="16"/>
      <c r="K94" s="16"/>
      <c r="L94" s="16"/>
      <c r="M94" s="17"/>
      <c r="N94" s="17"/>
      <c r="O94" s="14"/>
    </row>
    <row r="95" customFormat="false" ht="15" hidden="false" customHeight="false" outlineLevel="0" collapsed="false">
      <c r="A95" s="15"/>
      <c r="B95" s="14"/>
      <c r="C95" s="15"/>
      <c r="D95" s="15"/>
      <c r="E95" s="15"/>
      <c r="F95" s="15"/>
      <c r="G95" s="13"/>
      <c r="H95" s="14"/>
      <c r="I95" s="14"/>
      <c r="J95" s="16"/>
      <c r="K95" s="16"/>
      <c r="L95" s="16"/>
      <c r="M95" s="17"/>
      <c r="N95" s="17"/>
      <c r="O95" s="14"/>
    </row>
    <row r="96" customFormat="false" ht="15" hidden="false" customHeight="false" outlineLevel="0" collapsed="false">
      <c r="A96" s="15"/>
      <c r="B96" s="14"/>
      <c r="C96" s="15"/>
      <c r="D96" s="15"/>
      <c r="E96" s="15"/>
      <c r="F96" s="15"/>
      <c r="G96" s="13"/>
      <c r="H96" s="14"/>
      <c r="I96" s="14"/>
      <c r="J96" s="16"/>
      <c r="K96" s="16"/>
      <c r="L96" s="16"/>
      <c r="M96" s="17"/>
      <c r="N96" s="17"/>
      <c r="O96" s="14"/>
    </row>
    <row r="97" customFormat="false" ht="15" hidden="false" customHeight="false" outlineLevel="0" collapsed="false">
      <c r="A97" s="15"/>
      <c r="B97" s="14"/>
      <c r="C97" s="15"/>
      <c r="D97" s="15"/>
      <c r="E97" s="15"/>
      <c r="F97" s="15"/>
      <c r="G97" s="13"/>
      <c r="H97" s="14"/>
      <c r="I97" s="14"/>
      <c r="J97" s="16"/>
      <c r="K97" s="16"/>
      <c r="L97" s="16"/>
      <c r="M97" s="17"/>
      <c r="N97" s="17"/>
      <c r="O97" s="14"/>
    </row>
    <row r="98" customFormat="false" ht="15" hidden="false" customHeight="false" outlineLevel="0" collapsed="false">
      <c r="A98" s="15"/>
      <c r="B98" s="14"/>
      <c r="C98" s="15"/>
      <c r="D98" s="15"/>
      <c r="E98" s="15"/>
      <c r="F98" s="15"/>
      <c r="G98" s="13"/>
      <c r="H98" s="14"/>
      <c r="I98" s="14"/>
      <c r="J98" s="16"/>
      <c r="K98" s="16"/>
      <c r="L98" s="16"/>
      <c r="M98" s="17"/>
      <c r="N98" s="17"/>
      <c r="O98" s="14"/>
    </row>
    <row r="99" customFormat="false" ht="15" hidden="false" customHeight="false" outlineLevel="0" collapsed="false">
      <c r="A99" s="15"/>
      <c r="B99" s="14"/>
      <c r="C99" s="15"/>
      <c r="D99" s="15"/>
      <c r="E99" s="15"/>
      <c r="F99" s="15"/>
      <c r="G99" s="13"/>
      <c r="H99" s="14"/>
      <c r="I99" s="14"/>
      <c r="J99" s="16"/>
      <c r="K99" s="16"/>
      <c r="L99" s="16"/>
      <c r="M99" s="17"/>
      <c r="N99" s="17"/>
      <c r="O99" s="14"/>
    </row>
    <row r="100" customFormat="false" ht="15" hidden="false" customHeight="false" outlineLevel="0" collapsed="false">
      <c r="A100" s="15"/>
      <c r="B100" s="14"/>
      <c r="C100" s="15"/>
      <c r="D100" s="15"/>
      <c r="E100" s="15"/>
      <c r="F100" s="15"/>
      <c r="G100" s="13"/>
      <c r="H100" s="14"/>
      <c r="I100" s="14"/>
      <c r="J100" s="16"/>
      <c r="K100" s="16"/>
      <c r="L100" s="16"/>
      <c r="M100" s="17"/>
      <c r="N100" s="17"/>
      <c r="O100" s="14"/>
    </row>
    <row r="101" customFormat="false" ht="15" hidden="false" customHeight="false" outlineLevel="0" collapsed="false">
      <c r="A101" s="15"/>
      <c r="B101" s="14"/>
      <c r="C101" s="15"/>
      <c r="D101" s="15"/>
      <c r="E101" s="15"/>
      <c r="F101" s="15"/>
      <c r="G101" s="13"/>
      <c r="H101" s="14"/>
      <c r="I101" s="14"/>
      <c r="J101" s="16"/>
      <c r="K101" s="16"/>
      <c r="L101" s="16"/>
      <c r="M101" s="17"/>
      <c r="N101" s="17"/>
      <c r="O101" s="14"/>
    </row>
    <row r="102" customFormat="false" ht="15" hidden="false" customHeight="false" outlineLevel="0" collapsed="false">
      <c r="A102" s="15"/>
      <c r="B102" s="14"/>
      <c r="C102" s="15"/>
      <c r="D102" s="15"/>
      <c r="E102" s="15"/>
      <c r="F102" s="15"/>
      <c r="G102" s="13"/>
      <c r="H102" s="14"/>
      <c r="I102" s="14"/>
      <c r="J102" s="16"/>
      <c r="K102" s="16"/>
      <c r="L102" s="16"/>
      <c r="M102" s="17"/>
      <c r="N102" s="17"/>
      <c r="O102" s="14"/>
    </row>
    <row r="103" customFormat="false" ht="15" hidden="false" customHeight="false" outlineLevel="0" collapsed="false">
      <c r="A103" s="15"/>
      <c r="B103" s="14"/>
      <c r="C103" s="15"/>
      <c r="D103" s="15"/>
      <c r="E103" s="15"/>
      <c r="F103" s="15"/>
      <c r="G103" s="13"/>
      <c r="H103" s="14"/>
      <c r="I103" s="14"/>
      <c r="J103" s="16"/>
      <c r="K103" s="16"/>
      <c r="L103" s="16"/>
      <c r="M103" s="17"/>
      <c r="N103" s="17"/>
      <c r="O103" s="14"/>
    </row>
    <row r="104" customFormat="false" ht="15" hidden="false" customHeight="false" outlineLevel="0" collapsed="false">
      <c r="A104" s="15"/>
      <c r="B104" s="14"/>
      <c r="C104" s="15"/>
      <c r="D104" s="15"/>
      <c r="E104" s="15"/>
      <c r="F104" s="15"/>
      <c r="G104" s="13"/>
      <c r="H104" s="14"/>
      <c r="I104" s="14"/>
      <c r="J104" s="16"/>
      <c r="K104" s="16"/>
      <c r="L104" s="16"/>
      <c r="M104" s="17"/>
      <c r="N104" s="17"/>
      <c r="O104" s="14"/>
    </row>
  </sheetData>
  <dataValidations count="2">
    <dataValidation allowBlank="true" errorStyle="stop" operator="between" showDropDown="false" showErrorMessage="false" showInputMessage="false" sqref="G5:G104" type="list">
      <formula1>목록!$C$2:$C$31</formula1>
      <formula2>0</formula2>
    </dataValidation>
    <dataValidation allowBlank="true" errorStyle="stop" operator="between" showDropDown="false" showErrorMessage="false" showInputMessage="false" sqref="H5:H104" type="list">
      <formula1>목록!$D$2:$D$31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U2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8" min="17" style="0" width="15"/>
    <col collapsed="false" customWidth="true" hidden="false" outlineLevel="0" max="19" min="19" style="0" width="9"/>
    <col collapsed="false" customWidth="true" hidden="false" outlineLevel="0" max="20" min="20" style="0" width="24"/>
    <col collapsed="false" customWidth="true" hidden="true" outlineLevel="0" max="21" min="21" style="0" width="13"/>
  </cols>
  <sheetData>
    <row r="1" customFormat="false" ht="23.85" hidden="false" customHeight="false" outlineLevel="0" collapsed="false">
      <c r="A1" s="1" t="s">
        <v>72</v>
      </c>
    </row>
    <row r="2" customFormat="false" ht="15" hidden="false" customHeight="false" outlineLevel="0" collapsed="false">
      <c r="A2" s="11" t="s">
        <v>73</v>
      </c>
    </row>
    <row r="4" customFormat="false" ht="31.5" hidden="false" customHeight="true" outlineLevel="0" collapsed="false">
      <c r="A4" s="12" t="s">
        <v>74</v>
      </c>
      <c r="B4" s="12" t="s">
        <v>21</v>
      </c>
      <c r="C4" s="12" t="s">
        <v>75</v>
      </c>
      <c r="D4" s="12" t="s">
        <v>76</v>
      </c>
      <c r="E4" s="12" t="s">
        <v>77</v>
      </c>
      <c r="F4" s="12" t="s">
        <v>78</v>
      </c>
      <c r="G4" s="12" t="s">
        <v>79</v>
      </c>
      <c r="H4" s="12" t="s">
        <v>80</v>
      </c>
      <c r="I4" s="12" t="s">
        <v>81</v>
      </c>
      <c r="J4" s="12" t="s">
        <v>82</v>
      </c>
      <c r="K4" s="12" t="s">
        <v>83</v>
      </c>
      <c r="L4" s="12" t="s">
        <v>84</v>
      </c>
      <c r="M4" s="12" t="s">
        <v>85</v>
      </c>
      <c r="N4" s="12" t="s">
        <v>86</v>
      </c>
      <c r="O4" s="12" t="s">
        <v>87</v>
      </c>
      <c r="P4" s="12" t="s">
        <v>88</v>
      </c>
      <c r="Q4" s="12" t="s">
        <v>89</v>
      </c>
      <c r="R4" s="12" t="s">
        <v>90</v>
      </c>
      <c r="S4" s="12" t="s">
        <v>91</v>
      </c>
      <c r="T4" s="12" t="s">
        <v>35</v>
      </c>
      <c r="U4" s="19" t="s">
        <v>92</v>
      </c>
    </row>
    <row r="5" customFormat="false" ht="15" hidden="false" customHeight="false" outlineLevel="0" collapsed="false">
      <c r="A5" s="17" t="n">
        <v>46266</v>
      </c>
      <c r="B5" s="13" t="s">
        <v>36</v>
      </c>
      <c r="C5" s="20" t="str">
        <f aca="false">IF($B5="","",IFERROR(INDEX(고객사!$B$5:$B$104,MATCH($B5,고객사!$A$5:$A$104,0)),"코드 확인"))</f>
        <v>예시) 한빛전자 비나</v>
      </c>
      <c r="D5" s="15" t="s">
        <v>93</v>
      </c>
      <c r="E5" s="15" t="s">
        <v>94</v>
      </c>
      <c r="F5" s="16" t="n">
        <v>40</v>
      </c>
      <c r="G5" s="16" t="n">
        <v>38</v>
      </c>
      <c r="H5" s="21" t="n">
        <f aca="false">IF(OR($B5="",F5=0),"",G5/F5)</f>
        <v>0.95</v>
      </c>
      <c r="I5" s="22" t="n">
        <f aca="false">IF($B5="","",MAX(F5-G5,0))</f>
        <v>2</v>
      </c>
      <c r="J5" s="23" t="str">
        <f aca="false">IF($B5="","",IFERROR(INDEX(고객사!$G$5:$G$104,MATCH($B5,고객사!$A$5:$A$104,0)),""))</f>
        <v>Y</v>
      </c>
      <c r="K5" s="16" t="n">
        <v>0</v>
      </c>
      <c r="L5" s="22" t="n">
        <f aca="false">IF($B5="","",K5*IFERROR(INDEX(고객사!$L$5:$L$104,MATCH($B5,고객사!$A$5:$A$104,0)),0))</f>
        <v>0</v>
      </c>
      <c r="M5" s="23" t="str">
        <f aca="false">IF($B5="","",IF(AND(J5="N",G5&gt;0,K5=0,IFERROR(INDEX(고객사!$H$5:$H$104,MATCH($B5,고객사!$A$5:$A$104,0)),"")="자사 차량 운행"),"차량 미배정",""))</f>
        <v/>
      </c>
      <c r="N5" s="22" t="n">
        <f aca="false">IF($B5="","",IFERROR(INDEX(고객사!$J$5:$J$104,MATCH($B5,고객사!$A$5:$A$104,0)),0))</f>
        <v>420000</v>
      </c>
      <c r="O5" s="22" t="n">
        <f aca="false">IF($B5="","",G5*N5)</f>
        <v>15960000</v>
      </c>
      <c r="P5" s="22" t="n">
        <f aca="false">IF($B5="","",IFERROR(INDEX(고객사!$K$5:$K$104,MATCH($B5,고객사!$A$5:$A$104,0)),0))</f>
        <v>330000</v>
      </c>
      <c r="Q5" s="22" t="n">
        <f aca="false">IF($B5="","",G5*P5)</f>
        <v>12540000</v>
      </c>
      <c r="R5" s="22" t="n">
        <f aca="false">IF($B5="","",O5-Q5-L5)</f>
        <v>3420000</v>
      </c>
      <c r="S5" s="21" t="n">
        <f aca="false">IF(OR($B5="",N(O5)=0),"",R5/O5)</f>
        <v>0.214285714285714</v>
      </c>
      <c r="T5" s="14" t="s">
        <v>95</v>
      </c>
      <c r="U5" s="19" t="n">
        <f aca="false">IF(OR($B5="",$A5=""),0,IF(COUNTIFS($A$5:$A5,$A5,$B$5:$B5,$B5)=1,1,0))</f>
        <v>1</v>
      </c>
    </row>
    <row r="6" customFormat="false" ht="15" hidden="false" customHeight="false" outlineLevel="0" collapsed="false">
      <c r="A6" s="17" t="n">
        <v>46266</v>
      </c>
      <c r="B6" s="13" t="s">
        <v>36</v>
      </c>
      <c r="C6" s="20" t="str">
        <f aca="false">IF($B6="","",IFERROR(INDEX(고객사!$B$5:$B$104,MATCH($B6,고객사!$A$5:$A$104,0)),"코드 확인"))</f>
        <v>예시) 한빛전자 비나</v>
      </c>
      <c r="D6" s="15" t="s">
        <v>96</v>
      </c>
      <c r="E6" s="15" t="s">
        <v>97</v>
      </c>
      <c r="F6" s="16" t="n">
        <v>12</v>
      </c>
      <c r="G6" s="16" t="n">
        <v>12</v>
      </c>
      <c r="H6" s="21" t="n">
        <f aca="false">IF(OR($B6="",F6=0),"",G6/F6)</f>
        <v>1</v>
      </c>
      <c r="I6" s="22" t="n">
        <f aca="false">IF($B6="","",MAX(F6-G6,0))</f>
        <v>0</v>
      </c>
      <c r="J6" s="23" t="str">
        <f aca="false">IF($B6="","",IFERROR(INDEX(고객사!$G$5:$G$104,MATCH($B6,고객사!$A$5:$A$104,0)),""))</f>
        <v>Y</v>
      </c>
      <c r="K6" s="16" t="n">
        <v>0</v>
      </c>
      <c r="L6" s="22" t="n">
        <f aca="false">IF($B6="","",K6*IFERROR(INDEX(고객사!$L$5:$L$104,MATCH($B6,고객사!$A$5:$A$104,0)),0))</f>
        <v>0</v>
      </c>
      <c r="M6" s="23" t="str">
        <f aca="false">IF($B6="","",IF(AND(J6="N",G6&gt;0,K6=0,IFERROR(INDEX(고객사!$H$5:$H$104,MATCH($B6,고객사!$A$5:$A$104,0)),"")="자사 차량 운행"),"차량 미배정",""))</f>
        <v/>
      </c>
      <c r="N6" s="22" t="n">
        <f aca="false">IF($B6="","",IFERROR(INDEX(고객사!$J$5:$J$104,MATCH($B6,고객사!$A$5:$A$104,0)),0))</f>
        <v>420000</v>
      </c>
      <c r="O6" s="22" t="n">
        <f aca="false">IF($B6="","",G6*N6)</f>
        <v>5040000</v>
      </c>
      <c r="P6" s="22" t="n">
        <f aca="false">IF($B6="","",IFERROR(INDEX(고객사!$K$5:$K$104,MATCH($B6,고객사!$A$5:$A$104,0)),0))</f>
        <v>330000</v>
      </c>
      <c r="Q6" s="22" t="n">
        <f aca="false">IF($B6="","",G6*P6)</f>
        <v>3960000</v>
      </c>
      <c r="R6" s="22" t="n">
        <f aca="false">IF($B6="","",O6-Q6-L6)</f>
        <v>1080000</v>
      </c>
      <c r="S6" s="21" t="n">
        <f aca="false">IF(OR($B6="",N(O6)=0),"",R6/O6)</f>
        <v>0.214285714285714</v>
      </c>
      <c r="T6" s="14"/>
      <c r="U6" s="19" t="n">
        <f aca="false">IF(OR($B6="",$A6=""),0,IF(COUNTIFS($A$5:$A6,$A6,$B$5:$B6,$B6)=1,1,0))</f>
        <v>0</v>
      </c>
    </row>
    <row r="7" customFormat="false" ht="15" hidden="false" customHeight="false" outlineLevel="0" collapsed="false">
      <c r="A7" s="17" t="n">
        <v>46266</v>
      </c>
      <c r="B7" s="13" t="s">
        <v>46</v>
      </c>
      <c r="C7" s="20" t="str">
        <f aca="false">IF($B7="","",IFERROR(INDEX(고객사!$B$5:$B$104,MATCH($B7,고객사!$A$5:$A$104,0)),"코드 확인"))</f>
        <v>예시) 대성섬유 VN</v>
      </c>
      <c r="D7" s="15" t="s">
        <v>49</v>
      </c>
      <c r="E7" s="15" t="s">
        <v>94</v>
      </c>
      <c r="F7" s="16" t="n">
        <v>30</v>
      </c>
      <c r="G7" s="16" t="n">
        <v>27</v>
      </c>
      <c r="H7" s="21" t="n">
        <f aca="false">IF(OR($B7="",F7=0),"",G7/F7)</f>
        <v>0.9</v>
      </c>
      <c r="I7" s="22" t="n">
        <f aca="false">IF($B7="","",MAX(F7-G7,0))</f>
        <v>3</v>
      </c>
      <c r="J7" s="23" t="str">
        <f aca="false">IF($B7="","",IFERROR(INDEX(고객사!$G$5:$G$104,MATCH($B7,고객사!$A$5:$A$104,0)),""))</f>
        <v>N</v>
      </c>
      <c r="K7" s="16" t="n">
        <v>1</v>
      </c>
      <c r="L7" s="22" t="n">
        <f aca="false">IF($B7="","",K7*IFERROR(INDEX(고객사!$L$5:$L$104,MATCH($B7,고객사!$A$5:$A$104,0)),0))</f>
        <v>1200000</v>
      </c>
      <c r="M7" s="23" t="str">
        <f aca="false">IF($B7="","",IF(AND(J7="N",G7&gt;0,K7=0,IFERROR(INDEX(고객사!$H$5:$H$104,MATCH($B7,고객사!$A$5:$A$104,0)),"")="자사 차량 운행"),"차량 미배정",""))</f>
        <v/>
      </c>
      <c r="N7" s="22" t="n">
        <f aca="false">IF($B7="","",IFERROR(INDEX(고객사!$J$5:$J$104,MATCH($B7,고객사!$A$5:$A$104,0)),0))</f>
        <v>380000</v>
      </c>
      <c r="O7" s="22" t="n">
        <f aca="false">IF($B7="","",G7*N7)</f>
        <v>10260000</v>
      </c>
      <c r="P7" s="22" t="n">
        <f aca="false">IF($B7="","",IFERROR(INDEX(고객사!$K$5:$K$104,MATCH($B7,고객사!$A$5:$A$104,0)),0))</f>
        <v>300000</v>
      </c>
      <c r="Q7" s="22" t="n">
        <f aca="false">IF($B7="","",G7*P7)</f>
        <v>8100000</v>
      </c>
      <c r="R7" s="22" t="n">
        <f aca="false">IF($B7="","",O7-Q7-L7)</f>
        <v>960000</v>
      </c>
      <c r="S7" s="21" t="n">
        <f aca="false">IF(OR($B7="",N(O7)=0),"",R7/O7)</f>
        <v>0.0935672514619883</v>
      </c>
      <c r="T7" s="14"/>
      <c r="U7" s="19" t="n">
        <f aca="false">IF(OR($B7="",$A7=""),0,IF(COUNTIFS($A$5:$A7,$A7,$B$5:$B7,$B7)=1,1,0))</f>
        <v>1</v>
      </c>
    </row>
    <row r="8" customFormat="false" ht="15" hidden="false" customHeight="false" outlineLevel="0" collapsed="false">
      <c r="A8" s="17" t="n">
        <v>46266</v>
      </c>
      <c r="B8" s="13" t="s">
        <v>56</v>
      </c>
      <c r="C8" s="20" t="str">
        <f aca="false">IF($B8="","",IFERROR(INDEX(고객사!$B$5:$B$104,MATCH($B8,고객사!$A$5:$A$104,0)),"코드 확인"))</f>
        <v>예시) 그린물류 하노이</v>
      </c>
      <c r="D8" s="15" t="s">
        <v>98</v>
      </c>
      <c r="E8" s="15" t="s">
        <v>94</v>
      </c>
      <c r="F8" s="16" t="n">
        <v>18</v>
      </c>
      <c r="G8" s="16" t="n">
        <v>18</v>
      </c>
      <c r="H8" s="21" t="n">
        <f aca="false">IF(OR($B8="",F8=0),"",G8/F8)</f>
        <v>1</v>
      </c>
      <c r="I8" s="22" t="n">
        <f aca="false">IF($B8="","",MAX(F8-G8,0))</f>
        <v>0</v>
      </c>
      <c r="J8" s="23" t="str">
        <f aca="false">IF($B8="","",IFERROR(INDEX(고객사!$G$5:$G$104,MATCH($B8,고객사!$A$5:$A$104,0)),""))</f>
        <v>N</v>
      </c>
      <c r="K8" s="16" t="n">
        <v>0</v>
      </c>
      <c r="L8" s="22" t="n">
        <f aca="false">IF($B8="","",K8*IFERROR(INDEX(고객사!$L$5:$L$104,MATCH($B8,고객사!$A$5:$A$104,0)),0))</f>
        <v>0</v>
      </c>
      <c r="M8" s="23" t="str">
        <f aca="false">IF($B8="","",IF(AND(J8="N",G8&gt;0,K8=0,IFERROR(INDEX(고객사!$H$5:$H$104,MATCH($B8,고객사!$A$5:$A$104,0)),"")="자사 차량 운행"),"차량 미배정",""))</f>
        <v/>
      </c>
      <c r="N8" s="22" t="n">
        <f aca="false">IF($B8="","",IFERROR(INDEX(고객사!$J$5:$J$104,MATCH($B8,고객사!$A$5:$A$104,0)),0))</f>
        <v>400000</v>
      </c>
      <c r="O8" s="22" t="n">
        <f aca="false">IF($B8="","",G8*N8)</f>
        <v>7200000</v>
      </c>
      <c r="P8" s="22" t="n">
        <f aca="false">IF($B8="","",IFERROR(INDEX(고객사!$K$5:$K$104,MATCH($B8,고객사!$A$5:$A$104,0)),0))</f>
        <v>315000</v>
      </c>
      <c r="Q8" s="22" t="n">
        <f aca="false">IF($B8="","",G8*P8)</f>
        <v>5670000</v>
      </c>
      <c r="R8" s="22" t="n">
        <f aca="false">IF($B8="","",O8-Q8-L8)</f>
        <v>1530000</v>
      </c>
      <c r="S8" s="21" t="n">
        <f aca="false">IF(OR($B8="",N(O8)=0),"",R8/O8)</f>
        <v>0.2125</v>
      </c>
      <c r="T8" s="14"/>
      <c r="U8" s="19" t="n">
        <f aca="false">IF(OR($B8="",$A8=""),0,IF(COUNTIFS($A$5:$A8,$A8,$B$5:$B8,$B8)=1,1,0))</f>
        <v>1</v>
      </c>
    </row>
    <row r="9" customFormat="false" ht="15" hidden="false" customHeight="false" outlineLevel="0" collapsed="false">
      <c r="A9" s="17" t="n">
        <v>46266</v>
      </c>
      <c r="B9" s="13" t="s">
        <v>64</v>
      </c>
      <c r="C9" s="20" t="str">
        <f aca="false">IF($B9="","",IFERROR(INDEX(고객사!$B$5:$B$104,MATCH($B9,고객사!$A$5:$A$104,0)),"코드 확인"))</f>
        <v>예시) 미래식품 빈즈엉</v>
      </c>
      <c r="D9" s="15" t="s">
        <v>99</v>
      </c>
      <c r="E9" s="13" t="s">
        <v>100</v>
      </c>
      <c r="F9" s="16" t="n">
        <v>22</v>
      </c>
      <c r="G9" s="16" t="n">
        <v>22</v>
      </c>
      <c r="H9" s="21" t="n">
        <f aca="false">IF(OR($B9="",F9=0),"",G9/F9)</f>
        <v>1</v>
      </c>
      <c r="I9" s="22" t="n">
        <f aca="false">IF($B9="","",MAX(F9-G9,0))</f>
        <v>0</v>
      </c>
      <c r="J9" s="23" t="str">
        <f aca="false">IF($B9="","",IFERROR(INDEX(고객사!$G$5:$G$104,MATCH($B9,고객사!$A$5:$A$104,0)),""))</f>
        <v>Y</v>
      </c>
      <c r="K9" s="16" t="n">
        <v>0</v>
      </c>
      <c r="L9" s="22" t="n">
        <f aca="false">IF($B9="","",K9*IFERROR(INDEX(고객사!$L$5:$L$104,MATCH($B9,고객사!$A$5:$A$104,0)),0))</f>
        <v>0</v>
      </c>
      <c r="M9" s="23" t="str">
        <f aca="false">IF($B9="","",IF(AND(J9="N",G9&gt;0,K9=0,IFERROR(INDEX(고객사!$H$5:$H$104,MATCH($B9,고객사!$A$5:$A$104,0)),"")="자사 차량 운행"),"차량 미배정",""))</f>
        <v/>
      </c>
      <c r="N9" s="22" t="n">
        <f aca="false">IF($B9="","",IFERROR(INDEX(고객사!$J$5:$J$104,MATCH($B9,고객사!$A$5:$A$104,0)),0))</f>
        <v>390000</v>
      </c>
      <c r="O9" s="22" t="n">
        <f aca="false">IF($B9="","",G9*N9)</f>
        <v>8580000</v>
      </c>
      <c r="P9" s="22" t="n">
        <f aca="false">IF($B9="","",IFERROR(INDEX(고객사!$K$5:$K$104,MATCH($B9,고객사!$A$5:$A$104,0)),0))</f>
        <v>305000</v>
      </c>
      <c r="Q9" s="22" t="n">
        <f aca="false">IF($B9="","",G9*P9)</f>
        <v>6710000</v>
      </c>
      <c r="R9" s="22" t="n">
        <f aca="false">IF($B9="","",O9-Q9-L9)</f>
        <v>1870000</v>
      </c>
      <c r="S9" s="21" t="n">
        <f aca="false">IF(OR($B9="",N(O9)=0),"",R9/O9)</f>
        <v>0.217948717948718</v>
      </c>
      <c r="T9" s="14"/>
      <c r="U9" s="19" t="n">
        <f aca="false">IF(OR($B9="",$A9=""),0,IF(COUNTIFS($A$5:$A9,$A9,$B$5:$B9,$B9)=1,1,0))</f>
        <v>1</v>
      </c>
    </row>
    <row r="10" customFormat="false" ht="15" hidden="false" customHeight="false" outlineLevel="0" collapsed="false">
      <c r="A10" s="17" t="n">
        <v>46267</v>
      </c>
      <c r="B10" s="13" t="s">
        <v>36</v>
      </c>
      <c r="C10" s="20" t="str">
        <f aca="false">IF($B10="","",IFERROR(INDEX(고객사!$B$5:$B$104,MATCH($B10,고객사!$A$5:$A$104,0)),"코드 확인"))</f>
        <v>예시) 한빛전자 비나</v>
      </c>
      <c r="D10" s="15" t="s">
        <v>93</v>
      </c>
      <c r="E10" s="15" t="s">
        <v>94</v>
      </c>
      <c r="F10" s="16" t="n">
        <v>40</v>
      </c>
      <c r="G10" s="16" t="n">
        <v>40</v>
      </c>
      <c r="H10" s="21" t="n">
        <f aca="false">IF(OR($B10="",F10=0),"",G10/F10)</f>
        <v>1</v>
      </c>
      <c r="I10" s="22" t="n">
        <f aca="false">IF($B10="","",MAX(F10-G10,0))</f>
        <v>0</v>
      </c>
      <c r="J10" s="23" t="str">
        <f aca="false">IF($B10="","",IFERROR(INDEX(고객사!$G$5:$G$104,MATCH($B10,고객사!$A$5:$A$104,0)),""))</f>
        <v>Y</v>
      </c>
      <c r="K10" s="16" t="n">
        <v>0</v>
      </c>
      <c r="L10" s="22" t="n">
        <f aca="false">IF($B10="","",K10*IFERROR(INDEX(고객사!$L$5:$L$104,MATCH($B10,고객사!$A$5:$A$104,0)),0))</f>
        <v>0</v>
      </c>
      <c r="M10" s="23" t="str">
        <f aca="false">IF($B10="","",IF(AND(J10="N",G10&gt;0,K10=0,IFERROR(INDEX(고객사!$H$5:$H$104,MATCH($B10,고객사!$A$5:$A$104,0)),"")="자사 차량 운행"),"차량 미배정",""))</f>
        <v/>
      </c>
      <c r="N10" s="22" t="n">
        <f aca="false">IF($B10="","",IFERROR(INDEX(고객사!$J$5:$J$104,MATCH($B10,고객사!$A$5:$A$104,0)),0))</f>
        <v>420000</v>
      </c>
      <c r="O10" s="22" t="n">
        <f aca="false">IF($B10="","",G10*N10)</f>
        <v>16800000</v>
      </c>
      <c r="P10" s="22" t="n">
        <f aca="false">IF($B10="","",IFERROR(INDEX(고객사!$K$5:$K$104,MATCH($B10,고객사!$A$5:$A$104,0)),0))</f>
        <v>330000</v>
      </c>
      <c r="Q10" s="22" t="n">
        <f aca="false">IF($B10="","",G10*P10)</f>
        <v>13200000</v>
      </c>
      <c r="R10" s="22" t="n">
        <f aca="false">IF($B10="","",O10-Q10-L10)</f>
        <v>3600000</v>
      </c>
      <c r="S10" s="21" t="n">
        <f aca="false">IF(OR($B10="",N(O10)=0),"",R10/O10)</f>
        <v>0.214285714285714</v>
      </c>
      <c r="T10" s="14"/>
      <c r="U10" s="19" t="n">
        <f aca="false">IF(OR($B10="",$A10=""),0,IF(COUNTIFS($A$5:$A10,$A10,$B$5:$B10,$B10)=1,1,0))</f>
        <v>1</v>
      </c>
    </row>
    <row r="11" customFormat="false" ht="15" hidden="false" customHeight="false" outlineLevel="0" collapsed="false">
      <c r="A11" s="17" t="n">
        <v>46267</v>
      </c>
      <c r="B11" s="13" t="s">
        <v>36</v>
      </c>
      <c r="C11" s="20" t="str">
        <f aca="false">IF($B11="","",IFERROR(INDEX(고객사!$B$5:$B$104,MATCH($B11,고객사!$A$5:$A$104,0)),"코드 확인"))</f>
        <v>예시) 한빛전자 비나</v>
      </c>
      <c r="D11" s="15" t="s">
        <v>96</v>
      </c>
      <c r="E11" s="15" t="s">
        <v>97</v>
      </c>
      <c r="F11" s="16" t="n">
        <v>12</v>
      </c>
      <c r="G11" s="16" t="n">
        <v>10</v>
      </c>
      <c r="H11" s="21" t="n">
        <f aca="false">IF(OR($B11="",F11=0),"",G11/F11)</f>
        <v>0.833333333333333</v>
      </c>
      <c r="I11" s="22" t="n">
        <f aca="false">IF($B11="","",MAX(F11-G11,0))</f>
        <v>2</v>
      </c>
      <c r="J11" s="23" t="str">
        <f aca="false">IF($B11="","",IFERROR(INDEX(고객사!$G$5:$G$104,MATCH($B11,고객사!$A$5:$A$104,0)),""))</f>
        <v>Y</v>
      </c>
      <c r="K11" s="16" t="n">
        <v>0</v>
      </c>
      <c r="L11" s="22" t="n">
        <f aca="false">IF($B11="","",K11*IFERROR(INDEX(고객사!$L$5:$L$104,MATCH($B11,고객사!$A$5:$A$104,0)),0))</f>
        <v>0</v>
      </c>
      <c r="M11" s="23" t="str">
        <f aca="false">IF($B11="","",IF(AND(J11="N",G11&gt;0,K11=0,IFERROR(INDEX(고객사!$H$5:$H$104,MATCH($B11,고객사!$A$5:$A$104,0)),"")="자사 차량 운행"),"차량 미배정",""))</f>
        <v/>
      </c>
      <c r="N11" s="22" t="n">
        <f aca="false">IF($B11="","",IFERROR(INDEX(고객사!$J$5:$J$104,MATCH($B11,고객사!$A$5:$A$104,0)),0))</f>
        <v>420000</v>
      </c>
      <c r="O11" s="22" t="n">
        <f aca="false">IF($B11="","",G11*N11)</f>
        <v>4200000</v>
      </c>
      <c r="P11" s="22" t="n">
        <f aca="false">IF($B11="","",IFERROR(INDEX(고객사!$K$5:$K$104,MATCH($B11,고객사!$A$5:$A$104,0)),0))</f>
        <v>330000</v>
      </c>
      <c r="Q11" s="22" t="n">
        <f aca="false">IF($B11="","",G11*P11)</f>
        <v>3300000</v>
      </c>
      <c r="R11" s="22" t="n">
        <f aca="false">IF($B11="","",O11-Q11-L11)</f>
        <v>900000</v>
      </c>
      <c r="S11" s="21" t="n">
        <f aca="false">IF(OR($B11="",N(O11)=0),"",R11/O11)</f>
        <v>0.214285714285714</v>
      </c>
      <c r="T11" s="14"/>
      <c r="U11" s="19" t="n">
        <f aca="false">IF(OR($B11="",$A11=""),0,IF(COUNTIFS($A$5:$A11,$A11,$B$5:$B11,$B11)=1,1,0))</f>
        <v>0</v>
      </c>
    </row>
    <row r="12" customFormat="false" ht="15" hidden="false" customHeight="false" outlineLevel="0" collapsed="false">
      <c r="A12" s="17" t="n">
        <v>46267</v>
      </c>
      <c r="B12" s="13" t="s">
        <v>46</v>
      </c>
      <c r="C12" s="20" t="str">
        <f aca="false">IF($B12="","",IFERROR(INDEX(고객사!$B$5:$B$104,MATCH($B12,고객사!$A$5:$A$104,0)),"코드 확인"))</f>
        <v>예시) 대성섬유 VN</v>
      </c>
      <c r="D12" s="15" t="s">
        <v>49</v>
      </c>
      <c r="E12" s="15" t="s">
        <v>94</v>
      </c>
      <c r="F12" s="16" t="n">
        <v>30</v>
      </c>
      <c r="G12" s="16" t="n">
        <v>30</v>
      </c>
      <c r="H12" s="21" t="n">
        <f aca="false">IF(OR($B12="",F12=0),"",G12/F12)</f>
        <v>1</v>
      </c>
      <c r="I12" s="22" t="n">
        <f aca="false">IF($B12="","",MAX(F12-G12,0))</f>
        <v>0</v>
      </c>
      <c r="J12" s="23" t="str">
        <f aca="false">IF($B12="","",IFERROR(INDEX(고객사!$G$5:$G$104,MATCH($B12,고객사!$A$5:$A$104,0)),""))</f>
        <v>N</v>
      </c>
      <c r="K12" s="16" t="n">
        <v>1</v>
      </c>
      <c r="L12" s="22" t="n">
        <f aca="false">IF($B12="","",K12*IFERROR(INDEX(고객사!$L$5:$L$104,MATCH($B12,고객사!$A$5:$A$104,0)),0))</f>
        <v>1200000</v>
      </c>
      <c r="M12" s="23" t="str">
        <f aca="false">IF($B12="","",IF(AND(J12="N",G12&gt;0,K12=0,IFERROR(INDEX(고객사!$H$5:$H$104,MATCH($B12,고객사!$A$5:$A$104,0)),"")="자사 차량 운행"),"차량 미배정",""))</f>
        <v/>
      </c>
      <c r="N12" s="22" t="n">
        <f aca="false">IF($B12="","",IFERROR(INDEX(고객사!$J$5:$J$104,MATCH($B12,고객사!$A$5:$A$104,0)),0))</f>
        <v>380000</v>
      </c>
      <c r="O12" s="22" t="n">
        <f aca="false">IF($B12="","",G12*N12)</f>
        <v>11400000</v>
      </c>
      <c r="P12" s="22" t="n">
        <f aca="false">IF($B12="","",IFERROR(INDEX(고객사!$K$5:$K$104,MATCH($B12,고객사!$A$5:$A$104,0)),0))</f>
        <v>300000</v>
      </c>
      <c r="Q12" s="22" t="n">
        <f aca="false">IF($B12="","",G12*P12)</f>
        <v>9000000</v>
      </c>
      <c r="R12" s="22" t="n">
        <f aca="false">IF($B12="","",O12-Q12-L12)</f>
        <v>1200000</v>
      </c>
      <c r="S12" s="21" t="n">
        <f aca="false">IF(OR($B12="",N(O12)=0),"",R12/O12)</f>
        <v>0.105263157894737</v>
      </c>
      <c r="T12" s="14"/>
      <c r="U12" s="19" t="n">
        <f aca="false">IF(OR($B12="",$A12=""),0,IF(COUNTIFS($A$5:$A12,$A12,$B$5:$B12,$B12)=1,1,0))</f>
        <v>1</v>
      </c>
    </row>
    <row r="13" customFormat="false" ht="15" hidden="false" customHeight="false" outlineLevel="0" collapsed="false">
      <c r="A13" s="17" t="n">
        <v>46267</v>
      </c>
      <c r="B13" s="13" t="s">
        <v>56</v>
      </c>
      <c r="C13" s="20" t="str">
        <f aca="false">IF($B13="","",IFERROR(INDEX(고객사!$B$5:$B$104,MATCH($B13,고객사!$A$5:$A$104,0)),"코드 확인"))</f>
        <v>예시) 그린물류 하노이</v>
      </c>
      <c r="D13" s="15" t="s">
        <v>98</v>
      </c>
      <c r="E13" s="15" t="s">
        <v>94</v>
      </c>
      <c r="F13" s="16" t="n">
        <v>18</v>
      </c>
      <c r="G13" s="16" t="n">
        <v>17</v>
      </c>
      <c r="H13" s="21" t="n">
        <f aca="false">IF(OR($B13="",F13=0),"",G13/F13)</f>
        <v>0.944444444444444</v>
      </c>
      <c r="I13" s="22" t="n">
        <f aca="false">IF($B13="","",MAX(F13-G13,0))</f>
        <v>1</v>
      </c>
      <c r="J13" s="23" t="str">
        <f aca="false">IF($B13="","",IFERROR(INDEX(고객사!$G$5:$G$104,MATCH($B13,고객사!$A$5:$A$104,0)),""))</f>
        <v>N</v>
      </c>
      <c r="K13" s="16" t="n">
        <v>0</v>
      </c>
      <c r="L13" s="22" t="n">
        <f aca="false">IF($B13="","",K13*IFERROR(INDEX(고객사!$L$5:$L$104,MATCH($B13,고객사!$A$5:$A$104,0)),0))</f>
        <v>0</v>
      </c>
      <c r="M13" s="23" t="str">
        <f aca="false">IF($B13="","",IF(AND(J13="N",G13&gt;0,K13=0,IFERROR(INDEX(고객사!$H$5:$H$104,MATCH($B13,고객사!$A$5:$A$104,0)),"")="자사 차량 운행"),"차량 미배정",""))</f>
        <v/>
      </c>
      <c r="N13" s="22" t="n">
        <f aca="false">IF($B13="","",IFERROR(INDEX(고객사!$J$5:$J$104,MATCH($B13,고객사!$A$5:$A$104,0)),0))</f>
        <v>400000</v>
      </c>
      <c r="O13" s="22" t="n">
        <f aca="false">IF($B13="","",G13*N13)</f>
        <v>6800000</v>
      </c>
      <c r="P13" s="22" t="n">
        <f aca="false">IF($B13="","",IFERROR(INDEX(고객사!$K$5:$K$104,MATCH($B13,고객사!$A$5:$A$104,0)),0))</f>
        <v>315000</v>
      </c>
      <c r="Q13" s="22" t="n">
        <f aca="false">IF($B13="","",G13*P13)</f>
        <v>5355000</v>
      </c>
      <c r="R13" s="22" t="n">
        <f aca="false">IF($B13="","",O13-Q13-L13)</f>
        <v>1445000</v>
      </c>
      <c r="S13" s="21" t="n">
        <f aca="false">IF(OR($B13="",N(O13)=0),"",R13/O13)</f>
        <v>0.2125</v>
      </c>
      <c r="T13" s="14"/>
      <c r="U13" s="19" t="n">
        <f aca="false">IF(OR($B13="",$A13=""),0,IF(COUNTIFS($A$5:$A13,$A13,$B$5:$B13,$B13)=1,1,0))</f>
        <v>1</v>
      </c>
    </row>
    <row r="14" customFormat="false" ht="15" hidden="false" customHeight="false" outlineLevel="0" collapsed="false">
      <c r="A14" s="17" t="n">
        <v>46267</v>
      </c>
      <c r="B14" s="13" t="s">
        <v>64</v>
      </c>
      <c r="C14" s="20" t="str">
        <f aca="false">IF($B14="","",IFERROR(INDEX(고객사!$B$5:$B$104,MATCH($B14,고객사!$A$5:$A$104,0)),"코드 확인"))</f>
        <v>예시) 미래식품 빈즈엉</v>
      </c>
      <c r="D14" s="15" t="s">
        <v>99</v>
      </c>
      <c r="E14" s="13" t="s">
        <v>100</v>
      </c>
      <c r="F14" s="16" t="n">
        <v>22</v>
      </c>
      <c r="G14" s="16" t="n">
        <v>22</v>
      </c>
      <c r="H14" s="21" t="n">
        <f aca="false">IF(OR($B14="",F14=0),"",G14/F14)</f>
        <v>1</v>
      </c>
      <c r="I14" s="22" t="n">
        <f aca="false">IF($B14="","",MAX(F14-G14,0))</f>
        <v>0</v>
      </c>
      <c r="J14" s="23" t="str">
        <f aca="false">IF($B14="","",IFERROR(INDEX(고객사!$G$5:$G$104,MATCH($B14,고객사!$A$5:$A$104,0)),""))</f>
        <v>Y</v>
      </c>
      <c r="K14" s="16" t="n">
        <v>0</v>
      </c>
      <c r="L14" s="22" t="n">
        <f aca="false">IF($B14="","",K14*IFERROR(INDEX(고객사!$L$5:$L$104,MATCH($B14,고객사!$A$5:$A$104,0)),0))</f>
        <v>0</v>
      </c>
      <c r="M14" s="23" t="str">
        <f aca="false">IF($B14="","",IF(AND(J14="N",G14&gt;0,K14=0,IFERROR(INDEX(고객사!$H$5:$H$104,MATCH($B14,고객사!$A$5:$A$104,0)),"")="자사 차량 운행"),"차량 미배정",""))</f>
        <v/>
      </c>
      <c r="N14" s="22" t="n">
        <f aca="false">IF($B14="","",IFERROR(INDEX(고객사!$J$5:$J$104,MATCH($B14,고객사!$A$5:$A$104,0)),0))</f>
        <v>390000</v>
      </c>
      <c r="O14" s="22" t="n">
        <f aca="false">IF($B14="","",G14*N14)</f>
        <v>8580000</v>
      </c>
      <c r="P14" s="22" t="n">
        <f aca="false">IF($B14="","",IFERROR(INDEX(고객사!$K$5:$K$104,MATCH($B14,고객사!$A$5:$A$104,0)),0))</f>
        <v>305000</v>
      </c>
      <c r="Q14" s="22" t="n">
        <f aca="false">IF($B14="","",G14*P14)</f>
        <v>6710000</v>
      </c>
      <c r="R14" s="22" t="n">
        <f aca="false">IF($B14="","",O14-Q14-L14)</f>
        <v>1870000</v>
      </c>
      <c r="S14" s="21" t="n">
        <f aca="false">IF(OR($B14="",N(O14)=0),"",R14/O14)</f>
        <v>0.217948717948718</v>
      </c>
      <c r="T14" s="14"/>
      <c r="U14" s="19" t="n">
        <f aca="false">IF(OR($B14="",$A14=""),0,IF(COUNTIFS($A$5:$A14,$A14,$B$5:$B14,$B14)=1,1,0))</f>
        <v>1</v>
      </c>
    </row>
    <row r="15" customFormat="false" ht="15" hidden="false" customHeight="false" outlineLevel="0" collapsed="false">
      <c r="A15" s="17" t="n">
        <v>46268</v>
      </c>
      <c r="B15" s="13" t="s">
        <v>36</v>
      </c>
      <c r="C15" s="20" t="str">
        <f aca="false">IF($B15="","",IFERROR(INDEX(고객사!$B$5:$B$104,MATCH($B15,고객사!$A$5:$A$104,0)),"코드 확인"))</f>
        <v>예시) 한빛전자 비나</v>
      </c>
      <c r="D15" s="15" t="s">
        <v>93</v>
      </c>
      <c r="E15" s="15" t="s">
        <v>94</v>
      </c>
      <c r="F15" s="16" t="n">
        <v>40</v>
      </c>
      <c r="G15" s="16" t="n">
        <v>40</v>
      </c>
      <c r="H15" s="21" t="n">
        <f aca="false">IF(OR($B15="",F15=0),"",G15/F15)</f>
        <v>1</v>
      </c>
      <c r="I15" s="22" t="n">
        <f aca="false">IF($B15="","",MAX(F15-G15,0))</f>
        <v>0</v>
      </c>
      <c r="J15" s="23" t="str">
        <f aca="false">IF($B15="","",IFERROR(INDEX(고객사!$G$5:$G$104,MATCH($B15,고객사!$A$5:$A$104,0)),""))</f>
        <v>Y</v>
      </c>
      <c r="K15" s="16" t="n">
        <v>0</v>
      </c>
      <c r="L15" s="22" t="n">
        <f aca="false">IF($B15="","",K15*IFERROR(INDEX(고객사!$L$5:$L$104,MATCH($B15,고객사!$A$5:$A$104,0)),0))</f>
        <v>0</v>
      </c>
      <c r="M15" s="23" t="str">
        <f aca="false">IF($B15="","",IF(AND(J15="N",G15&gt;0,K15=0,IFERROR(INDEX(고객사!$H$5:$H$104,MATCH($B15,고객사!$A$5:$A$104,0)),"")="자사 차량 운행"),"차량 미배정",""))</f>
        <v/>
      </c>
      <c r="N15" s="22" t="n">
        <f aca="false">IF($B15="","",IFERROR(INDEX(고객사!$J$5:$J$104,MATCH($B15,고객사!$A$5:$A$104,0)),0))</f>
        <v>420000</v>
      </c>
      <c r="O15" s="22" t="n">
        <f aca="false">IF($B15="","",G15*N15)</f>
        <v>16800000</v>
      </c>
      <c r="P15" s="22" t="n">
        <f aca="false">IF($B15="","",IFERROR(INDEX(고객사!$K$5:$K$104,MATCH($B15,고객사!$A$5:$A$104,0)),0))</f>
        <v>330000</v>
      </c>
      <c r="Q15" s="22" t="n">
        <f aca="false">IF($B15="","",G15*P15)</f>
        <v>13200000</v>
      </c>
      <c r="R15" s="22" t="n">
        <f aca="false">IF($B15="","",O15-Q15-L15)</f>
        <v>3600000</v>
      </c>
      <c r="S15" s="21" t="n">
        <f aca="false">IF(OR($B15="",N(O15)=0),"",R15/O15)</f>
        <v>0.214285714285714</v>
      </c>
      <c r="T15" s="14"/>
      <c r="U15" s="19" t="n">
        <f aca="false">IF(OR($B15="",$A15=""),0,IF(COUNTIFS($A$5:$A15,$A15,$B$5:$B15,$B15)=1,1,0))</f>
        <v>1</v>
      </c>
    </row>
    <row r="16" customFormat="false" ht="15" hidden="false" customHeight="false" outlineLevel="0" collapsed="false">
      <c r="A16" s="17" t="n">
        <v>46268</v>
      </c>
      <c r="B16" s="13" t="s">
        <v>36</v>
      </c>
      <c r="C16" s="20" t="str">
        <f aca="false">IF($B16="","",IFERROR(INDEX(고객사!$B$5:$B$104,MATCH($B16,고객사!$A$5:$A$104,0)),"코드 확인"))</f>
        <v>예시) 한빛전자 비나</v>
      </c>
      <c r="D16" s="15" t="s">
        <v>96</v>
      </c>
      <c r="E16" s="15" t="s">
        <v>97</v>
      </c>
      <c r="F16" s="16" t="n">
        <v>12</v>
      </c>
      <c r="G16" s="16" t="n">
        <v>9</v>
      </c>
      <c r="H16" s="21" t="n">
        <f aca="false">IF(OR($B16="",F16=0),"",G16/F16)</f>
        <v>0.75</v>
      </c>
      <c r="I16" s="22" t="n">
        <f aca="false">IF($B16="","",MAX(F16-G16,0))</f>
        <v>3</v>
      </c>
      <c r="J16" s="23" t="str">
        <f aca="false">IF($B16="","",IFERROR(INDEX(고객사!$G$5:$G$104,MATCH($B16,고객사!$A$5:$A$104,0)),""))</f>
        <v>Y</v>
      </c>
      <c r="K16" s="16" t="n">
        <v>0</v>
      </c>
      <c r="L16" s="22" t="n">
        <f aca="false">IF($B16="","",K16*IFERROR(INDEX(고객사!$L$5:$L$104,MATCH($B16,고객사!$A$5:$A$104,0)),0))</f>
        <v>0</v>
      </c>
      <c r="M16" s="23" t="str">
        <f aca="false">IF($B16="","",IF(AND(J16="N",G16&gt;0,K16=0,IFERROR(INDEX(고객사!$H$5:$H$104,MATCH($B16,고객사!$A$5:$A$104,0)),"")="자사 차량 운행"),"차량 미배정",""))</f>
        <v/>
      </c>
      <c r="N16" s="22" t="n">
        <f aca="false">IF($B16="","",IFERROR(INDEX(고객사!$J$5:$J$104,MATCH($B16,고객사!$A$5:$A$104,0)),0))</f>
        <v>420000</v>
      </c>
      <c r="O16" s="22" t="n">
        <f aca="false">IF($B16="","",G16*N16)</f>
        <v>3780000</v>
      </c>
      <c r="P16" s="22" t="n">
        <f aca="false">IF($B16="","",IFERROR(INDEX(고객사!$K$5:$K$104,MATCH($B16,고객사!$A$5:$A$104,0)),0))</f>
        <v>330000</v>
      </c>
      <c r="Q16" s="22" t="n">
        <f aca="false">IF($B16="","",G16*P16)</f>
        <v>2970000</v>
      </c>
      <c r="R16" s="22" t="n">
        <f aca="false">IF($B16="","",O16-Q16-L16)</f>
        <v>810000</v>
      </c>
      <c r="S16" s="21" t="n">
        <f aca="false">IF(OR($B16="",N(O16)=0),"",R16/O16)</f>
        <v>0.214285714285714</v>
      </c>
      <c r="T16" s="14"/>
      <c r="U16" s="19" t="n">
        <f aca="false">IF(OR($B16="",$A16=""),0,IF(COUNTIFS($A$5:$A16,$A16,$B$5:$B16,$B16)=1,1,0))</f>
        <v>0</v>
      </c>
    </row>
    <row r="17" customFormat="false" ht="15" hidden="false" customHeight="false" outlineLevel="0" collapsed="false">
      <c r="A17" s="17" t="n">
        <v>46268</v>
      </c>
      <c r="B17" s="13" t="s">
        <v>46</v>
      </c>
      <c r="C17" s="20" t="str">
        <f aca="false">IF($B17="","",IFERROR(INDEX(고객사!$B$5:$B$104,MATCH($B17,고객사!$A$5:$A$104,0)),"코드 확인"))</f>
        <v>예시) 대성섬유 VN</v>
      </c>
      <c r="D17" s="15" t="s">
        <v>49</v>
      </c>
      <c r="E17" s="15" t="s">
        <v>94</v>
      </c>
      <c r="F17" s="16" t="n">
        <v>30</v>
      </c>
      <c r="G17" s="16" t="n">
        <v>27</v>
      </c>
      <c r="H17" s="21" t="n">
        <f aca="false">IF(OR($B17="",F17=0),"",G17/F17)</f>
        <v>0.9</v>
      </c>
      <c r="I17" s="22" t="n">
        <f aca="false">IF($B17="","",MAX(F17-G17,0))</f>
        <v>3</v>
      </c>
      <c r="J17" s="23" t="str">
        <f aca="false">IF($B17="","",IFERROR(INDEX(고객사!$G$5:$G$104,MATCH($B17,고객사!$A$5:$A$104,0)),""))</f>
        <v>N</v>
      </c>
      <c r="K17" s="16" t="n">
        <v>1</v>
      </c>
      <c r="L17" s="22" t="n">
        <f aca="false">IF($B17="","",K17*IFERROR(INDEX(고객사!$L$5:$L$104,MATCH($B17,고객사!$A$5:$A$104,0)),0))</f>
        <v>1200000</v>
      </c>
      <c r="M17" s="23" t="str">
        <f aca="false">IF($B17="","",IF(AND(J17="N",G17&gt;0,K17=0,IFERROR(INDEX(고객사!$H$5:$H$104,MATCH($B17,고객사!$A$5:$A$104,0)),"")="자사 차량 운행"),"차량 미배정",""))</f>
        <v/>
      </c>
      <c r="N17" s="22" t="n">
        <f aca="false">IF($B17="","",IFERROR(INDEX(고객사!$J$5:$J$104,MATCH($B17,고객사!$A$5:$A$104,0)),0))</f>
        <v>380000</v>
      </c>
      <c r="O17" s="22" t="n">
        <f aca="false">IF($B17="","",G17*N17)</f>
        <v>10260000</v>
      </c>
      <c r="P17" s="22" t="n">
        <f aca="false">IF($B17="","",IFERROR(INDEX(고객사!$K$5:$K$104,MATCH($B17,고객사!$A$5:$A$104,0)),0))</f>
        <v>300000</v>
      </c>
      <c r="Q17" s="22" t="n">
        <f aca="false">IF($B17="","",G17*P17)</f>
        <v>8100000</v>
      </c>
      <c r="R17" s="22" t="n">
        <f aca="false">IF($B17="","",O17-Q17-L17)</f>
        <v>960000</v>
      </c>
      <c r="S17" s="21" t="n">
        <f aca="false">IF(OR($B17="",N(O17)=0),"",R17/O17)</f>
        <v>0.0935672514619883</v>
      </c>
      <c r="T17" s="14"/>
      <c r="U17" s="19" t="n">
        <f aca="false">IF(OR($B17="",$A17=""),0,IF(COUNTIFS($A$5:$A17,$A17,$B$5:$B17,$B17)=1,1,0))</f>
        <v>1</v>
      </c>
    </row>
    <row r="18" customFormat="false" ht="15" hidden="false" customHeight="false" outlineLevel="0" collapsed="false">
      <c r="A18" s="17" t="n">
        <v>46268</v>
      </c>
      <c r="B18" s="13" t="s">
        <v>56</v>
      </c>
      <c r="C18" s="20" t="str">
        <f aca="false">IF($B18="","",IFERROR(INDEX(고객사!$B$5:$B$104,MATCH($B18,고객사!$A$5:$A$104,0)),"코드 확인"))</f>
        <v>예시) 그린물류 하노이</v>
      </c>
      <c r="D18" s="15" t="s">
        <v>98</v>
      </c>
      <c r="E18" s="15" t="s">
        <v>94</v>
      </c>
      <c r="F18" s="16" t="n">
        <v>18</v>
      </c>
      <c r="G18" s="16" t="n">
        <v>18</v>
      </c>
      <c r="H18" s="21" t="n">
        <f aca="false">IF(OR($B18="",F18=0),"",G18/F18)</f>
        <v>1</v>
      </c>
      <c r="I18" s="22" t="n">
        <f aca="false">IF($B18="","",MAX(F18-G18,0))</f>
        <v>0</v>
      </c>
      <c r="J18" s="23" t="str">
        <f aca="false">IF($B18="","",IFERROR(INDEX(고객사!$G$5:$G$104,MATCH($B18,고객사!$A$5:$A$104,0)),""))</f>
        <v>N</v>
      </c>
      <c r="K18" s="16" t="n">
        <v>0</v>
      </c>
      <c r="L18" s="22" t="n">
        <f aca="false">IF($B18="","",K18*IFERROR(INDEX(고객사!$L$5:$L$104,MATCH($B18,고객사!$A$5:$A$104,0)),0))</f>
        <v>0</v>
      </c>
      <c r="M18" s="23" t="str">
        <f aca="false">IF($B18="","",IF(AND(J18="N",G18&gt;0,K18=0,IFERROR(INDEX(고객사!$H$5:$H$104,MATCH($B18,고객사!$A$5:$A$104,0)),"")="자사 차량 운행"),"차량 미배정",""))</f>
        <v/>
      </c>
      <c r="N18" s="22" t="n">
        <f aca="false">IF($B18="","",IFERROR(INDEX(고객사!$J$5:$J$104,MATCH($B18,고객사!$A$5:$A$104,0)),0))</f>
        <v>400000</v>
      </c>
      <c r="O18" s="22" t="n">
        <f aca="false">IF($B18="","",G18*N18)</f>
        <v>7200000</v>
      </c>
      <c r="P18" s="22" t="n">
        <f aca="false">IF($B18="","",IFERROR(INDEX(고객사!$K$5:$K$104,MATCH($B18,고객사!$A$5:$A$104,0)),0))</f>
        <v>315000</v>
      </c>
      <c r="Q18" s="22" t="n">
        <f aca="false">IF($B18="","",G18*P18)</f>
        <v>5670000</v>
      </c>
      <c r="R18" s="22" t="n">
        <f aca="false">IF($B18="","",O18-Q18-L18)</f>
        <v>1530000</v>
      </c>
      <c r="S18" s="21" t="n">
        <f aca="false">IF(OR($B18="",N(O18)=0),"",R18/O18)</f>
        <v>0.2125</v>
      </c>
      <c r="T18" s="14"/>
      <c r="U18" s="19" t="n">
        <f aca="false">IF(OR($B18="",$A18=""),0,IF(COUNTIFS($A$5:$A18,$A18,$B$5:$B18,$B18)=1,1,0))</f>
        <v>1</v>
      </c>
    </row>
    <row r="19" customFormat="false" ht="15" hidden="false" customHeight="false" outlineLevel="0" collapsed="false">
      <c r="A19" s="17" t="n">
        <v>46268</v>
      </c>
      <c r="B19" s="13" t="s">
        <v>64</v>
      </c>
      <c r="C19" s="20" t="str">
        <f aca="false">IF($B19="","",IFERROR(INDEX(고객사!$B$5:$B$104,MATCH($B19,고객사!$A$5:$A$104,0)),"코드 확인"))</f>
        <v>예시) 미래식품 빈즈엉</v>
      </c>
      <c r="D19" s="15" t="s">
        <v>99</v>
      </c>
      <c r="E19" s="13" t="s">
        <v>100</v>
      </c>
      <c r="F19" s="16" t="n">
        <v>22</v>
      </c>
      <c r="G19" s="16" t="n">
        <v>21</v>
      </c>
      <c r="H19" s="21" t="n">
        <f aca="false">IF(OR($B19="",F19=0),"",G19/F19)</f>
        <v>0.954545454545455</v>
      </c>
      <c r="I19" s="22" t="n">
        <f aca="false">IF($B19="","",MAX(F19-G19,0))</f>
        <v>1</v>
      </c>
      <c r="J19" s="23" t="str">
        <f aca="false">IF($B19="","",IFERROR(INDEX(고객사!$G$5:$G$104,MATCH($B19,고객사!$A$5:$A$104,0)),""))</f>
        <v>Y</v>
      </c>
      <c r="K19" s="16" t="n">
        <v>0</v>
      </c>
      <c r="L19" s="22" t="n">
        <f aca="false">IF($B19="","",K19*IFERROR(INDEX(고객사!$L$5:$L$104,MATCH($B19,고객사!$A$5:$A$104,0)),0))</f>
        <v>0</v>
      </c>
      <c r="M19" s="23" t="str">
        <f aca="false">IF($B19="","",IF(AND(J19="N",G19&gt;0,K19=0,IFERROR(INDEX(고객사!$H$5:$H$104,MATCH($B19,고객사!$A$5:$A$104,0)),"")="자사 차량 운행"),"차량 미배정",""))</f>
        <v/>
      </c>
      <c r="N19" s="22" t="n">
        <f aca="false">IF($B19="","",IFERROR(INDEX(고객사!$J$5:$J$104,MATCH($B19,고객사!$A$5:$A$104,0)),0))</f>
        <v>390000</v>
      </c>
      <c r="O19" s="22" t="n">
        <f aca="false">IF($B19="","",G19*N19)</f>
        <v>8190000</v>
      </c>
      <c r="P19" s="22" t="n">
        <f aca="false">IF($B19="","",IFERROR(INDEX(고객사!$K$5:$K$104,MATCH($B19,고객사!$A$5:$A$104,0)),0))</f>
        <v>305000</v>
      </c>
      <c r="Q19" s="22" t="n">
        <f aca="false">IF($B19="","",G19*P19)</f>
        <v>6405000</v>
      </c>
      <c r="R19" s="22" t="n">
        <f aca="false">IF($B19="","",O19-Q19-L19)</f>
        <v>1785000</v>
      </c>
      <c r="S19" s="21" t="n">
        <f aca="false">IF(OR($B19="",N(O19)=0),"",R19/O19)</f>
        <v>0.217948717948718</v>
      </c>
      <c r="T19" s="14"/>
      <c r="U19" s="19" t="n">
        <f aca="false">IF(OR($B19="",$A19=""),0,IF(COUNTIFS($A$5:$A19,$A19,$B$5:$B19,$B19)=1,1,0))</f>
        <v>1</v>
      </c>
    </row>
    <row r="20" customFormat="false" ht="15" hidden="false" customHeight="false" outlineLevel="0" collapsed="false">
      <c r="A20" s="17" t="n">
        <v>46269</v>
      </c>
      <c r="B20" s="13" t="s">
        <v>36</v>
      </c>
      <c r="C20" s="20" t="str">
        <f aca="false">IF($B20="","",IFERROR(INDEX(고객사!$B$5:$B$104,MATCH($B20,고객사!$A$5:$A$104,0)),"코드 확인"))</f>
        <v>예시) 한빛전자 비나</v>
      </c>
      <c r="D20" s="15" t="s">
        <v>93</v>
      </c>
      <c r="E20" s="15" t="s">
        <v>94</v>
      </c>
      <c r="F20" s="16" t="n">
        <v>40</v>
      </c>
      <c r="G20" s="16" t="n">
        <v>40</v>
      </c>
      <c r="H20" s="21" t="n">
        <f aca="false">IF(OR($B20="",F20=0),"",G20/F20)</f>
        <v>1</v>
      </c>
      <c r="I20" s="22" t="n">
        <f aca="false">IF($B20="","",MAX(F20-G20,0))</f>
        <v>0</v>
      </c>
      <c r="J20" s="23" t="str">
        <f aca="false">IF($B20="","",IFERROR(INDEX(고객사!$G$5:$G$104,MATCH($B20,고객사!$A$5:$A$104,0)),""))</f>
        <v>Y</v>
      </c>
      <c r="K20" s="16" t="n">
        <v>0</v>
      </c>
      <c r="L20" s="22" t="n">
        <f aca="false">IF($B20="","",K20*IFERROR(INDEX(고객사!$L$5:$L$104,MATCH($B20,고객사!$A$5:$A$104,0)),0))</f>
        <v>0</v>
      </c>
      <c r="M20" s="23" t="str">
        <f aca="false">IF($B20="","",IF(AND(J20="N",G20&gt;0,K20=0,IFERROR(INDEX(고객사!$H$5:$H$104,MATCH($B20,고객사!$A$5:$A$104,0)),"")="자사 차량 운행"),"차량 미배정",""))</f>
        <v/>
      </c>
      <c r="N20" s="22" t="n">
        <f aca="false">IF($B20="","",IFERROR(INDEX(고객사!$J$5:$J$104,MATCH($B20,고객사!$A$5:$A$104,0)),0))</f>
        <v>420000</v>
      </c>
      <c r="O20" s="22" t="n">
        <f aca="false">IF($B20="","",G20*N20)</f>
        <v>16800000</v>
      </c>
      <c r="P20" s="22" t="n">
        <f aca="false">IF($B20="","",IFERROR(INDEX(고객사!$K$5:$K$104,MATCH($B20,고객사!$A$5:$A$104,0)),0))</f>
        <v>330000</v>
      </c>
      <c r="Q20" s="22" t="n">
        <f aca="false">IF($B20="","",G20*P20)</f>
        <v>13200000</v>
      </c>
      <c r="R20" s="22" t="n">
        <f aca="false">IF($B20="","",O20-Q20-L20)</f>
        <v>3600000</v>
      </c>
      <c r="S20" s="21" t="n">
        <f aca="false">IF(OR($B20="",N(O20)=0),"",R20/O20)</f>
        <v>0.214285714285714</v>
      </c>
      <c r="T20" s="14"/>
      <c r="U20" s="19" t="n">
        <f aca="false">IF(OR($B20="",$A20=""),0,IF(COUNTIFS($A$5:$A20,$A20,$B$5:$B20,$B20)=1,1,0))</f>
        <v>1</v>
      </c>
    </row>
    <row r="21" customFormat="false" ht="15" hidden="false" customHeight="false" outlineLevel="0" collapsed="false">
      <c r="A21" s="17" t="n">
        <v>46269</v>
      </c>
      <c r="B21" s="13" t="s">
        <v>36</v>
      </c>
      <c r="C21" s="20" t="str">
        <f aca="false">IF($B21="","",IFERROR(INDEX(고객사!$B$5:$B$104,MATCH($B21,고객사!$A$5:$A$104,0)),"코드 확인"))</f>
        <v>예시) 한빛전자 비나</v>
      </c>
      <c r="D21" s="15" t="s">
        <v>96</v>
      </c>
      <c r="E21" s="15" t="s">
        <v>97</v>
      </c>
      <c r="F21" s="16" t="n">
        <v>12</v>
      </c>
      <c r="G21" s="16" t="n">
        <v>9</v>
      </c>
      <c r="H21" s="21" t="n">
        <f aca="false">IF(OR($B21="",F21=0),"",G21/F21)</f>
        <v>0.75</v>
      </c>
      <c r="I21" s="22" t="n">
        <f aca="false">IF($B21="","",MAX(F21-G21,0))</f>
        <v>3</v>
      </c>
      <c r="J21" s="23" t="str">
        <f aca="false">IF($B21="","",IFERROR(INDEX(고객사!$G$5:$G$104,MATCH($B21,고객사!$A$5:$A$104,0)),""))</f>
        <v>Y</v>
      </c>
      <c r="K21" s="16" t="n">
        <v>0</v>
      </c>
      <c r="L21" s="22" t="n">
        <f aca="false">IF($B21="","",K21*IFERROR(INDEX(고객사!$L$5:$L$104,MATCH($B21,고객사!$A$5:$A$104,0)),0))</f>
        <v>0</v>
      </c>
      <c r="M21" s="23" t="str">
        <f aca="false">IF($B21="","",IF(AND(J21="N",G21&gt;0,K21=0,IFERROR(INDEX(고객사!$H$5:$H$104,MATCH($B21,고객사!$A$5:$A$104,0)),"")="자사 차량 운행"),"차량 미배정",""))</f>
        <v/>
      </c>
      <c r="N21" s="22" t="n">
        <f aca="false">IF($B21="","",IFERROR(INDEX(고객사!$J$5:$J$104,MATCH($B21,고객사!$A$5:$A$104,0)),0))</f>
        <v>420000</v>
      </c>
      <c r="O21" s="22" t="n">
        <f aca="false">IF($B21="","",G21*N21)</f>
        <v>3780000</v>
      </c>
      <c r="P21" s="22" t="n">
        <f aca="false">IF($B21="","",IFERROR(INDEX(고객사!$K$5:$K$104,MATCH($B21,고객사!$A$5:$A$104,0)),0))</f>
        <v>330000</v>
      </c>
      <c r="Q21" s="22" t="n">
        <f aca="false">IF($B21="","",G21*P21)</f>
        <v>2970000</v>
      </c>
      <c r="R21" s="22" t="n">
        <f aca="false">IF($B21="","",O21-Q21-L21)</f>
        <v>810000</v>
      </c>
      <c r="S21" s="21" t="n">
        <f aca="false">IF(OR($B21="",N(O21)=0),"",R21/O21)</f>
        <v>0.214285714285714</v>
      </c>
      <c r="T21" s="14"/>
      <c r="U21" s="19" t="n">
        <f aca="false">IF(OR($B21="",$A21=""),0,IF(COUNTIFS($A$5:$A21,$A21,$B$5:$B21,$B21)=1,1,0))</f>
        <v>0</v>
      </c>
    </row>
    <row r="22" customFormat="false" ht="15" hidden="false" customHeight="false" outlineLevel="0" collapsed="false">
      <c r="A22" s="17" t="n">
        <v>46269</v>
      </c>
      <c r="B22" s="13" t="s">
        <v>46</v>
      </c>
      <c r="C22" s="20" t="str">
        <f aca="false">IF($B22="","",IFERROR(INDEX(고객사!$B$5:$B$104,MATCH($B22,고객사!$A$5:$A$104,0)),"코드 확인"))</f>
        <v>예시) 대성섬유 VN</v>
      </c>
      <c r="D22" s="15" t="s">
        <v>49</v>
      </c>
      <c r="E22" s="15" t="s">
        <v>94</v>
      </c>
      <c r="F22" s="16" t="n">
        <v>30</v>
      </c>
      <c r="G22" s="16" t="n">
        <v>30</v>
      </c>
      <c r="H22" s="21" t="n">
        <f aca="false">IF(OR($B22="",F22=0),"",G22/F22)</f>
        <v>1</v>
      </c>
      <c r="I22" s="22" t="n">
        <f aca="false">IF($B22="","",MAX(F22-G22,0))</f>
        <v>0</v>
      </c>
      <c r="J22" s="23" t="str">
        <f aca="false">IF($B22="","",IFERROR(INDEX(고객사!$G$5:$G$104,MATCH($B22,고객사!$A$5:$A$104,0)),""))</f>
        <v>N</v>
      </c>
      <c r="K22" s="16" t="n">
        <v>1</v>
      </c>
      <c r="L22" s="22" t="n">
        <f aca="false">IF($B22="","",K22*IFERROR(INDEX(고객사!$L$5:$L$104,MATCH($B22,고객사!$A$5:$A$104,0)),0))</f>
        <v>1200000</v>
      </c>
      <c r="M22" s="23" t="str">
        <f aca="false">IF($B22="","",IF(AND(J22="N",G22&gt;0,K22=0,IFERROR(INDEX(고객사!$H$5:$H$104,MATCH($B22,고객사!$A$5:$A$104,0)),"")="자사 차량 운행"),"차량 미배정",""))</f>
        <v/>
      </c>
      <c r="N22" s="22" t="n">
        <f aca="false">IF($B22="","",IFERROR(INDEX(고객사!$J$5:$J$104,MATCH($B22,고객사!$A$5:$A$104,0)),0))</f>
        <v>380000</v>
      </c>
      <c r="O22" s="22" t="n">
        <f aca="false">IF($B22="","",G22*N22)</f>
        <v>11400000</v>
      </c>
      <c r="P22" s="22" t="n">
        <f aca="false">IF($B22="","",IFERROR(INDEX(고객사!$K$5:$K$104,MATCH($B22,고객사!$A$5:$A$104,0)),0))</f>
        <v>300000</v>
      </c>
      <c r="Q22" s="22" t="n">
        <f aca="false">IF($B22="","",G22*P22)</f>
        <v>9000000</v>
      </c>
      <c r="R22" s="22" t="n">
        <f aca="false">IF($B22="","",O22-Q22-L22)</f>
        <v>1200000</v>
      </c>
      <c r="S22" s="21" t="n">
        <f aca="false">IF(OR($B22="",N(O22)=0),"",R22/O22)</f>
        <v>0.105263157894737</v>
      </c>
      <c r="T22" s="14"/>
      <c r="U22" s="19" t="n">
        <f aca="false">IF(OR($B22="",$A22=""),0,IF(COUNTIFS($A$5:$A22,$A22,$B$5:$B22,$B22)=1,1,0))</f>
        <v>1</v>
      </c>
    </row>
    <row r="23" customFormat="false" ht="15" hidden="false" customHeight="false" outlineLevel="0" collapsed="false">
      <c r="A23" s="17" t="n">
        <v>46269</v>
      </c>
      <c r="B23" s="13" t="s">
        <v>56</v>
      </c>
      <c r="C23" s="20" t="str">
        <f aca="false">IF($B23="","",IFERROR(INDEX(고객사!$B$5:$B$104,MATCH($B23,고객사!$A$5:$A$104,0)),"코드 확인"))</f>
        <v>예시) 그린물류 하노이</v>
      </c>
      <c r="D23" s="15" t="s">
        <v>98</v>
      </c>
      <c r="E23" s="15" t="s">
        <v>94</v>
      </c>
      <c r="F23" s="16" t="n">
        <v>18</v>
      </c>
      <c r="G23" s="16" t="n">
        <v>18</v>
      </c>
      <c r="H23" s="21" t="n">
        <f aca="false">IF(OR($B23="",F23=0),"",G23/F23)</f>
        <v>1</v>
      </c>
      <c r="I23" s="22" t="n">
        <f aca="false">IF($B23="","",MAX(F23-G23,0))</f>
        <v>0</v>
      </c>
      <c r="J23" s="23" t="str">
        <f aca="false">IF($B23="","",IFERROR(INDEX(고객사!$G$5:$G$104,MATCH($B23,고객사!$A$5:$A$104,0)),""))</f>
        <v>N</v>
      </c>
      <c r="K23" s="16" t="n">
        <v>0</v>
      </c>
      <c r="L23" s="22" t="n">
        <f aca="false">IF($B23="","",K23*IFERROR(INDEX(고객사!$L$5:$L$104,MATCH($B23,고객사!$A$5:$A$104,0)),0))</f>
        <v>0</v>
      </c>
      <c r="M23" s="23" t="str">
        <f aca="false">IF($B23="","",IF(AND(J23="N",G23&gt;0,K23=0,IFERROR(INDEX(고객사!$H$5:$H$104,MATCH($B23,고객사!$A$5:$A$104,0)),"")="자사 차량 운행"),"차량 미배정",""))</f>
        <v/>
      </c>
      <c r="N23" s="22" t="n">
        <f aca="false">IF($B23="","",IFERROR(INDEX(고객사!$J$5:$J$104,MATCH($B23,고객사!$A$5:$A$104,0)),0))</f>
        <v>400000</v>
      </c>
      <c r="O23" s="22" t="n">
        <f aca="false">IF($B23="","",G23*N23)</f>
        <v>7200000</v>
      </c>
      <c r="P23" s="22" t="n">
        <f aca="false">IF($B23="","",IFERROR(INDEX(고객사!$K$5:$K$104,MATCH($B23,고객사!$A$5:$A$104,0)),0))</f>
        <v>315000</v>
      </c>
      <c r="Q23" s="22" t="n">
        <f aca="false">IF($B23="","",G23*P23)</f>
        <v>5670000</v>
      </c>
      <c r="R23" s="22" t="n">
        <f aca="false">IF($B23="","",O23-Q23-L23)</f>
        <v>1530000</v>
      </c>
      <c r="S23" s="21" t="n">
        <f aca="false">IF(OR($B23="",N(O23)=0),"",R23/O23)</f>
        <v>0.2125</v>
      </c>
      <c r="T23" s="14"/>
      <c r="U23" s="19" t="n">
        <f aca="false">IF(OR($B23="",$A23=""),0,IF(COUNTIFS($A$5:$A23,$A23,$B$5:$B23,$B23)=1,1,0))</f>
        <v>1</v>
      </c>
    </row>
    <row r="24" customFormat="false" ht="15" hidden="false" customHeight="false" outlineLevel="0" collapsed="false">
      <c r="A24" s="17" t="n">
        <v>46269</v>
      </c>
      <c r="B24" s="13" t="s">
        <v>64</v>
      </c>
      <c r="C24" s="20" t="str">
        <f aca="false">IF($B24="","",IFERROR(INDEX(고객사!$B$5:$B$104,MATCH($B24,고객사!$A$5:$A$104,0)),"코드 확인"))</f>
        <v>예시) 미래식품 빈즈엉</v>
      </c>
      <c r="D24" s="15" t="s">
        <v>99</v>
      </c>
      <c r="E24" s="13" t="s">
        <v>100</v>
      </c>
      <c r="F24" s="16" t="n">
        <v>22</v>
      </c>
      <c r="G24" s="16" t="n">
        <v>21</v>
      </c>
      <c r="H24" s="21" t="n">
        <f aca="false">IF(OR($B24="",F24=0),"",G24/F24)</f>
        <v>0.954545454545455</v>
      </c>
      <c r="I24" s="22" t="n">
        <f aca="false">IF($B24="","",MAX(F24-G24,0))</f>
        <v>1</v>
      </c>
      <c r="J24" s="23" t="str">
        <f aca="false">IF($B24="","",IFERROR(INDEX(고객사!$G$5:$G$104,MATCH($B24,고객사!$A$5:$A$104,0)),""))</f>
        <v>Y</v>
      </c>
      <c r="K24" s="16" t="n">
        <v>0</v>
      </c>
      <c r="L24" s="22" t="n">
        <f aca="false">IF($B24="","",K24*IFERROR(INDEX(고객사!$L$5:$L$104,MATCH($B24,고객사!$A$5:$A$104,0)),0))</f>
        <v>0</v>
      </c>
      <c r="M24" s="23" t="str">
        <f aca="false">IF($B24="","",IF(AND(J24="N",G24&gt;0,K24=0,IFERROR(INDEX(고객사!$H$5:$H$104,MATCH($B24,고객사!$A$5:$A$104,0)),"")="자사 차량 운행"),"차량 미배정",""))</f>
        <v/>
      </c>
      <c r="N24" s="22" t="n">
        <f aca="false">IF($B24="","",IFERROR(INDEX(고객사!$J$5:$J$104,MATCH($B24,고객사!$A$5:$A$104,0)),0))</f>
        <v>390000</v>
      </c>
      <c r="O24" s="22" t="n">
        <f aca="false">IF($B24="","",G24*N24)</f>
        <v>8190000</v>
      </c>
      <c r="P24" s="22" t="n">
        <f aca="false">IF($B24="","",IFERROR(INDEX(고객사!$K$5:$K$104,MATCH($B24,고객사!$A$5:$A$104,0)),0))</f>
        <v>305000</v>
      </c>
      <c r="Q24" s="22" t="n">
        <f aca="false">IF($B24="","",G24*P24)</f>
        <v>6405000</v>
      </c>
      <c r="R24" s="22" t="n">
        <f aca="false">IF($B24="","",O24-Q24-L24)</f>
        <v>1785000</v>
      </c>
      <c r="S24" s="21" t="n">
        <f aca="false">IF(OR($B24="",N(O24)=0),"",R24/O24)</f>
        <v>0.217948717948718</v>
      </c>
      <c r="T24" s="14"/>
      <c r="U24" s="19" t="n">
        <f aca="false">IF(OR($B24="",$A24=""),0,IF(COUNTIFS($A$5:$A24,$A24,$B$5:$B24,$B24)=1,1,0))</f>
        <v>1</v>
      </c>
    </row>
    <row r="25" customFormat="false" ht="15" hidden="false" customHeight="false" outlineLevel="0" collapsed="false">
      <c r="A25" s="17" t="n">
        <v>46270</v>
      </c>
      <c r="B25" s="13" t="s">
        <v>36</v>
      </c>
      <c r="C25" s="20" t="str">
        <f aca="false">IF($B25="","",IFERROR(INDEX(고객사!$B$5:$B$104,MATCH($B25,고객사!$A$5:$A$104,0)),"코드 확인"))</f>
        <v>예시) 한빛전자 비나</v>
      </c>
      <c r="D25" s="15" t="s">
        <v>93</v>
      </c>
      <c r="E25" s="15" t="s">
        <v>94</v>
      </c>
      <c r="F25" s="16" t="n">
        <v>40</v>
      </c>
      <c r="G25" s="16" t="n">
        <v>40</v>
      </c>
      <c r="H25" s="21" t="n">
        <f aca="false">IF(OR($B25="",F25=0),"",G25/F25)</f>
        <v>1</v>
      </c>
      <c r="I25" s="22" t="n">
        <f aca="false">IF($B25="","",MAX(F25-G25,0))</f>
        <v>0</v>
      </c>
      <c r="J25" s="23" t="str">
        <f aca="false">IF($B25="","",IFERROR(INDEX(고객사!$G$5:$G$104,MATCH($B25,고객사!$A$5:$A$104,0)),""))</f>
        <v>Y</v>
      </c>
      <c r="K25" s="16" t="n">
        <v>0</v>
      </c>
      <c r="L25" s="22" t="n">
        <f aca="false">IF($B25="","",K25*IFERROR(INDEX(고객사!$L$5:$L$104,MATCH($B25,고객사!$A$5:$A$104,0)),0))</f>
        <v>0</v>
      </c>
      <c r="M25" s="23" t="str">
        <f aca="false">IF($B25="","",IF(AND(J25="N",G25&gt;0,K25=0,IFERROR(INDEX(고객사!$H$5:$H$104,MATCH($B25,고객사!$A$5:$A$104,0)),"")="자사 차량 운행"),"차량 미배정",""))</f>
        <v/>
      </c>
      <c r="N25" s="22" t="n">
        <f aca="false">IF($B25="","",IFERROR(INDEX(고객사!$J$5:$J$104,MATCH($B25,고객사!$A$5:$A$104,0)),0))</f>
        <v>420000</v>
      </c>
      <c r="O25" s="22" t="n">
        <f aca="false">IF($B25="","",G25*N25)</f>
        <v>16800000</v>
      </c>
      <c r="P25" s="22" t="n">
        <f aca="false">IF($B25="","",IFERROR(INDEX(고객사!$K$5:$K$104,MATCH($B25,고객사!$A$5:$A$104,0)),0))</f>
        <v>330000</v>
      </c>
      <c r="Q25" s="22" t="n">
        <f aca="false">IF($B25="","",G25*P25)</f>
        <v>13200000</v>
      </c>
      <c r="R25" s="22" t="n">
        <f aca="false">IF($B25="","",O25-Q25-L25)</f>
        <v>3600000</v>
      </c>
      <c r="S25" s="21" t="n">
        <f aca="false">IF(OR($B25="",N(O25)=0),"",R25/O25)</f>
        <v>0.214285714285714</v>
      </c>
      <c r="T25" s="14"/>
      <c r="U25" s="19" t="n">
        <f aca="false">IF(OR($B25="",$A25=""),0,IF(COUNTIFS($A$5:$A25,$A25,$B$5:$B25,$B25)=1,1,0))</f>
        <v>1</v>
      </c>
    </row>
    <row r="26" customFormat="false" ht="15" hidden="false" customHeight="false" outlineLevel="0" collapsed="false">
      <c r="A26" s="17" t="n">
        <v>46270</v>
      </c>
      <c r="B26" s="13" t="s">
        <v>36</v>
      </c>
      <c r="C26" s="20" t="str">
        <f aca="false">IF($B26="","",IFERROR(INDEX(고객사!$B$5:$B$104,MATCH($B26,고객사!$A$5:$A$104,0)),"코드 확인"))</f>
        <v>예시) 한빛전자 비나</v>
      </c>
      <c r="D26" s="15" t="s">
        <v>96</v>
      </c>
      <c r="E26" s="15" t="s">
        <v>97</v>
      </c>
      <c r="F26" s="16" t="n">
        <v>12</v>
      </c>
      <c r="G26" s="16" t="n">
        <v>9</v>
      </c>
      <c r="H26" s="21" t="n">
        <f aca="false">IF(OR($B26="",F26=0),"",G26/F26)</f>
        <v>0.75</v>
      </c>
      <c r="I26" s="22" t="n">
        <f aca="false">IF($B26="","",MAX(F26-G26,0))</f>
        <v>3</v>
      </c>
      <c r="J26" s="23" t="str">
        <f aca="false">IF($B26="","",IFERROR(INDEX(고객사!$G$5:$G$104,MATCH($B26,고객사!$A$5:$A$104,0)),""))</f>
        <v>Y</v>
      </c>
      <c r="K26" s="16" t="n">
        <v>0</v>
      </c>
      <c r="L26" s="22" t="n">
        <f aca="false">IF($B26="","",K26*IFERROR(INDEX(고객사!$L$5:$L$104,MATCH($B26,고객사!$A$5:$A$104,0)),0))</f>
        <v>0</v>
      </c>
      <c r="M26" s="23" t="str">
        <f aca="false">IF($B26="","",IF(AND(J26="N",G26&gt;0,K26=0,IFERROR(INDEX(고객사!$H$5:$H$104,MATCH($B26,고객사!$A$5:$A$104,0)),"")="자사 차량 운행"),"차량 미배정",""))</f>
        <v/>
      </c>
      <c r="N26" s="22" t="n">
        <f aca="false">IF($B26="","",IFERROR(INDEX(고객사!$J$5:$J$104,MATCH($B26,고객사!$A$5:$A$104,0)),0))</f>
        <v>420000</v>
      </c>
      <c r="O26" s="22" t="n">
        <f aca="false">IF($B26="","",G26*N26)</f>
        <v>3780000</v>
      </c>
      <c r="P26" s="22" t="n">
        <f aca="false">IF($B26="","",IFERROR(INDEX(고객사!$K$5:$K$104,MATCH($B26,고객사!$A$5:$A$104,0)),0))</f>
        <v>330000</v>
      </c>
      <c r="Q26" s="22" t="n">
        <f aca="false">IF($B26="","",G26*P26)</f>
        <v>2970000</v>
      </c>
      <c r="R26" s="22" t="n">
        <f aca="false">IF($B26="","",O26-Q26-L26)</f>
        <v>810000</v>
      </c>
      <c r="S26" s="21" t="n">
        <f aca="false">IF(OR($B26="",N(O26)=0),"",R26/O26)</f>
        <v>0.214285714285714</v>
      </c>
      <c r="T26" s="14"/>
      <c r="U26" s="19" t="n">
        <f aca="false">IF(OR($B26="",$A26=""),0,IF(COUNTIFS($A$5:$A26,$A26,$B$5:$B26,$B26)=1,1,0))</f>
        <v>0</v>
      </c>
    </row>
    <row r="27" customFormat="false" ht="15" hidden="false" customHeight="false" outlineLevel="0" collapsed="false">
      <c r="A27" s="17" t="n">
        <v>46270</v>
      </c>
      <c r="B27" s="13" t="s">
        <v>46</v>
      </c>
      <c r="C27" s="20" t="str">
        <f aca="false">IF($B27="","",IFERROR(INDEX(고객사!$B$5:$B$104,MATCH($B27,고객사!$A$5:$A$104,0)),"코드 확인"))</f>
        <v>예시) 대성섬유 VN</v>
      </c>
      <c r="D27" s="15" t="s">
        <v>49</v>
      </c>
      <c r="E27" s="15" t="s">
        <v>94</v>
      </c>
      <c r="F27" s="16" t="n">
        <v>30</v>
      </c>
      <c r="G27" s="16" t="n">
        <v>30</v>
      </c>
      <c r="H27" s="21" t="n">
        <f aca="false">IF(OR($B27="",F27=0),"",G27/F27)</f>
        <v>1</v>
      </c>
      <c r="I27" s="22" t="n">
        <f aca="false">IF($B27="","",MAX(F27-G27,0))</f>
        <v>0</v>
      </c>
      <c r="J27" s="23" t="str">
        <f aca="false">IF($B27="","",IFERROR(INDEX(고객사!$G$5:$G$104,MATCH($B27,고객사!$A$5:$A$104,0)),""))</f>
        <v>N</v>
      </c>
      <c r="K27" s="16" t="n">
        <v>1</v>
      </c>
      <c r="L27" s="22" t="n">
        <f aca="false">IF($B27="","",K27*IFERROR(INDEX(고객사!$L$5:$L$104,MATCH($B27,고객사!$A$5:$A$104,0)),0))</f>
        <v>1200000</v>
      </c>
      <c r="M27" s="23" t="str">
        <f aca="false">IF($B27="","",IF(AND(J27="N",G27&gt;0,K27=0,IFERROR(INDEX(고객사!$H$5:$H$104,MATCH($B27,고객사!$A$5:$A$104,0)),"")="자사 차량 운행"),"차량 미배정",""))</f>
        <v/>
      </c>
      <c r="N27" s="22" t="n">
        <f aca="false">IF($B27="","",IFERROR(INDEX(고객사!$J$5:$J$104,MATCH($B27,고객사!$A$5:$A$104,0)),0))</f>
        <v>380000</v>
      </c>
      <c r="O27" s="22" t="n">
        <f aca="false">IF($B27="","",G27*N27)</f>
        <v>11400000</v>
      </c>
      <c r="P27" s="22" t="n">
        <f aca="false">IF($B27="","",IFERROR(INDEX(고객사!$K$5:$K$104,MATCH($B27,고객사!$A$5:$A$104,0)),0))</f>
        <v>300000</v>
      </c>
      <c r="Q27" s="22" t="n">
        <f aca="false">IF($B27="","",G27*P27)</f>
        <v>9000000</v>
      </c>
      <c r="R27" s="22" t="n">
        <f aca="false">IF($B27="","",O27-Q27-L27)</f>
        <v>1200000</v>
      </c>
      <c r="S27" s="21" t="n">
        <f aca="false">IF(OR($B27="",N(O27)=0),"",R27/O27)</f>
        <v>0.105263157894737</v>
      </c>
      <c r="T27" s="14"/>
      <c r="U27" s="19" t="n">
        <f aca="false">IF(OR($B27="",$A27=""),0,IF(COUNTIFS($A$5:$A27,$A27,$B$5:$B27,$B27)=1,1,0))</f>
        <v>1</v>
      </c>
    </row>
    <row r="28" customFormat="false" ht="15" hidden="false" customHeight="false" outlineLevel="0" collapsed="false">
      <c r="A28" s="17" t="n">
        <v>46270</v>
      </c>
      <c r="B28" s="13" t="s">
        <v>56</v>
      </c>
      <c r="C28" s="20" t="str">
        <f aca="false">IF($B28="","",IFERROR(INDEX(고객사!$B$5:$B$104,MATCH($B28,고객사!$A$5:$A$104,0)),"코드 확인"))</f>
        <v>예시) 그린물류 하노이</v>
      </c>
      <c r="D28" s="15" t="s">
        <v>98</v>
      </c>
      <c r="E28" s="15" t="s">
        <v>94</v>
      </c>
      <c r="F28" s="16" t="n">
        <v>18</v>
      </c>
      <c r="G28" s="16" t="n">
        <v>17</v>
      </c>
      <c r="H28" s="21" t="n">
        <f aca="false">IF(OR($B28="",F28=0),"",G28/F28)</f>
        <v>0.944444444444444</v>
      </c>
      <c r="I28" s="22" t="n">
        <f aca="false">IF($B28="","",MAX(F28-G28,0))</f>
        <v>1</v>
      </c>
      <c r="J28" s="23" t="str">
        <f aca="false">IF($B28="","",IFERROR(INDEX(고객사!$G$5:$G$104,MATCH($B28,고객사!$A$5:$A$104,0)),""))</f>
        <v>N</v>
      </c>
      <c r="K28" s="16" t="n">
        <v>0</v>
      </c>
      <c r="L28" s="22" t="n">
        <f aca="false">IF($B28="","",K28*IFERROR(INDEX(고객사!$L$5:$L$104,MATCH($B28,고객사!$A$5:$A$104,0)),0))</f>
        <v>0</v>
      </c>
      <c r="M28" s="23" t="str">
        <f aca="false">IF($B28="","",IF(AND(J28="N",G28&gt;0,K28=0,IFERROR(INDEX(고객사!$H$5:$H$104,MATCH($B28,고객사!$A$5:$A$104,0)),"")="자사 차량 운행"),"차량 미배정",""))</f>
        <v/>
      </c>
      <c r="N28" s="22" t="n">
        <f aca="false">IF($B28="","",IFERROR(INDEX(고객사!$J$5:$J$104,MATCH($B28,고객사!$A$5:$A$104,0)),0))</f>
        <v>400000</v>
      </c>
      <c r="O28" s="22" t="n">
        <f aca="false">IF($B28="","",G28*N28)</f>
        <v>6800000</v>
      </c>
      <c r="P28" s="22" t="n">
        <f aca="false">IF($B28="","",IFERROR(INDEX(고객사!$K$5:$K$104,MATCH($B28,고객사!$A$5:$A$104,0)),0))</f>
        <v>315000</v>
      </c>
      <c r="Q28" s="22" t="n">
        <f aca="false">IF($B28="","",G28*P28)</f>
        <v>5355000</v>
      </c>
      <c r="R28" s="22" t="n">
        <f aca="false">IF($B28="","",O28-Q28-L28)</f>
        <v>1445000</v>
      </c>
      <c r="S28" s="21" t="n">
        <f aca="false">IF(OR($B28="",N(O28)=0),"",R28/O28)</f>
        <v>0.2125</v>
      </c>
      <c r="T28" s="14"/>
      <c r="U28" s="19" t="n">
        <f aca="false">IF(OR($B28="",$A28=""),0,IF(COUNTIFS($A$5:$A28,$A28,$B$5:$B28,$B28)=1,1,0))</f>
        <v>1</v>
      </c>
    </row>
    <row r="29" customFormat="false" ht="15" hidden="false" customHeight="false" outlineLevel="0" collapsed="false">
      <c r="A29" s="17" t="n">
        <v>46270</v>
      </c>
      <c r="B29" s="13" t="s">
        <v>64</v>
      </c>
      <c r="C29" s="20" t="str">
        <f aca="false">IF($B29="","",IFERROR(INDEX(고객사!$B$5:$B$104,MATCH($B29,고객사!$A$5:$A$104,0)),"코드 확인"))</f>
        <v>예시) 미래식품 빈즈엉</v>
      </c>
      <c r="D29" s="15" t="s">
        <v>99</v>
      </c>
      <c r="E29" s="13" t="s">
        <v>100</v>
      </c>
      <c r="F29" s="16" t="n">
        <v>22</v>
      </c>
      <c r="G29" s="16" t="n">
        <v>22</v>
      </c>
      <c r="H29" s="21" t="n">
        <f aca="false">IF(OR($B29="",F29=0),"",G29/F29)</f>
        <v>1</v>
      </c>
      <c r="I29" s="22" t="n">
        <f aca="false">IF($B29="","",MAX(F29-G29,0))</f>
        <v>0</v>
      </c>
      <c r="J29" s="23" t="str">
        <f aca="false">IF($B29="","",IFERROR(INDEX(고객사!$G$5:$G$104,MATCH($B29,고객사!$A$5:$A$104,0)),""))</f>
        <v>Y</v>
      </c>
      <c r="K29" s="16" t="n">
        <v>0</v>
      </c>
      <c r="L29" s="22" t="n">
        <f aca="false">IF($B29="","",K29*IFERROR(INDEX(고객사!$L$5:$L$104,MATCH($B29,고객사!$A$5:$A$104,0)),0))</f>
        <v>0</v>
      </c>
      <c r="M29" s="23" t="str">
        <f aca="false">IF($B29="","",IF(AND(J29="N",G29&gt;0,K29=0,IFERROR(INDEX(고객사!$H$5:$H$104,MATCH($B29,고객사!$A$5:$A$104,0)),"")="자사 차량 운행"),"차량 미배정",""))</f>
        <v/>
      </c>
      <c r="N29" s="22" t="n">
        <f aca="false">IF($B29="","",IFERROR(INDEX(고객사!$J$5:$J$104,MATCH($B29,고객사!$A$5:$A$104,0)),0))</f>
        <v>390000</v>
      </c>
      <c r="O29" s="22" t="n">
        <f aca="false">IF($B29="","",G29*N29)</f>
        <v>8580000</v>
      </c>
      <c r="P29" s="22" t="n">
        <f aca="false">IF($B29="","",IFERROR(INDEX(고객사!$K$5:$K$104,MATCH($B29,고객사!$A$5:$A$104,0)),0))</f>
        <v>305000</v>
      </c>
      <c r="Q29" s="22" t="n">
        <f aca="false">IF($B29="","",G29*P29)</f>
        <v>6710000</v>
      </c>
      <c r="R29" s="22" t="n">
        <f aca="false">IF($B29="","",O29-Q29-L29)</f>
        <v>1870000</v>
      </c>
      <c r="S29" s="21" t="n">
        <f aca="false">IF(OR($B29="",N(O29)=0),"",R29/O29)</f>
        <v>0.217948717948718</v>
      </c>
      <c r="T29" s="14"/>
      <c r="U29" s="19" t="n">
        <f aca="false">IF(OR($B29="",$A29=""),0,IF(COUNTIFS($A$5:$A29,$A29,$B$5:$B29,$B29)=1,1,0))</f>
        <v>1</v>
      </c>
    </row>
    <row r="30" customFormat="false" ht="15" hidden="false" customHeight="false" outlineLevel="0" collapsed="false">
      <c r="A30" s="17" t="n">
        <v>46272</v>
      </c>
      <c r="B30" s="13" t="s">
        <v>36</v>
      </c>
      <c r="C30" s="20" t="str">
        <f aca="false">IF($B30="","",IFERROR(INDEX(고객사!$B$5:$B$104,MATCH($B30,고객사!$A$5:$A$104,0)),"코드 확인"))</f>
        <v>예시) 한빛전자 비나</v>
      </c>
      <c r="D30" s="15" t="s">
        <v>93</v>
      </c>
      <c r="E30" s="15" t="s">
        <v>94</v>
      </c>
      <c r="F30" s="16" t="n">
        <v>40</v>
      </c>
      <c r="G30" s="16" t="n">
        <v>40</v>
      </c>
      <c r="H30" s="21" t="n">
        <f aca="false">IF(OR($B30="",F30=0),"",G30/F30)</f>
        <v>1</v>
      </c>
      <c r="I30" s="22" t="n">
        <f aca="false">IF($B30="","",MAX(F30-G30,0))</f>
        <v>0</v>
      </c>
      <c r="J30" s="23" t="str">
        <f aca="false">IF($B30="","",IFERROR(INDEX(고객사!$G$5:$G$104,MATCH($B30,고객사!$A$5:$A$104,0)),""))</f>
        <v>Y</v>
      </c>
      <c r="K30" s="16" t="n">
        <v>0</v>
      </c>
      <c r="L30" s="22" t="n">
        <f aca="false">IF($B30="","",K30*IFERROR(INDEX(고객사!$L$5:$L$104,MATCH($B30,고객사!$A$5:$A$104,0)),0))</f>
        <v>0</v>
      </c>
      <c r="M30" s="23" t="str">
        <f aca="false">IF($B30="","",IF(AND(J30="N",G30&gt;0,K30=0,IFERROR(INDEX(고객사!$H$5:$H$104,MATCH($B30,고객사!$A$5:$A$104,0)),"")="자사 차량 운행"),"차량 미배정",""))</f>
        <v/>
      </c>
      <c r="N30" s="22" t="n">
        <f aca="false">IF($B30="","",IFERROR(INDEX(고객사!$J$5:$J$104,MATCH($B30,고객사!$A$5:$A$104,0)),0))</f>
        <v>420000</v>
      </c>
      <c r="O30" s="22" t="n">
        <f aca="false">IF($B30="","",G30*N30)</f>
        <v>16800000</v>
      </c>
      <c r="P30" s="22" t="n">
        <f aca="false">IF($B30="","",IFERROR(INDEX(고객사!$K$5:$K$104,MATCH($B30,고객사!$A$5:$A$104,0)),0))</f>
        <v>330000</v>
      </c>
      <c r="Q30" s="22" t="n">
        <f aca="false">IF($B30="","",G30*P30)</f>
        <v>13200000</v>
      </c>
      <c r="R30" s="22" t="n">
        <f aca="false">IF($B30="","",O30-Q30-L30)</f>
        <v>3600000</v>
      </c>
      <c r="S30" s="21" t="n">
        <f aca="false">IF(OR($B30="",N(O30)=0),"",R30/O30)</f>
        <v>0.214285714285714</v>
      </c>
      <c r="T30" s="14"/>
      <c r="U30" s="19" t="n">
        <f aca="false">IF(OR($B30="",$A30=""),0,IF(COUNTIFS($A$5:$A30,$A30,$B$5:$B30,$B30)=1,1,0))</f>
        <v>1</v>
      </c>
    </row>
    <row r="31" customFormat="false" ht="15" hidden="false" customHeight="false" outlineLevel="0" collapsed="false">
      <c r="A31" s="17" t="n">
        <v>46272</v>
      </c>
      <c r="B31" s="13" t="s">
        <v>36</v>
      </c>
      <c r="C31" s="20" t="str">
        <f aca="false">IF($B31="","",IFERROR(INDEX(고객사!$B$5:$B$104,MATCH($B31,고객사!$A$5:$A$104,0)),"코드 확인"))</f>
        <v>예시) 한빛전자 비나</v>
      </c>
      <c r="D31" s="15" t="s">
        <v>96</v>
      </c>
      <c r="E31" s="15" t="s">
        <v>97</v>
      </c>
      <c r="F31" s="16" t="n">
        <v>12</v>
      </c>
      <c r="G31" s="16" t="n">
        <v>11</v>
      </c>
      <c r="H31" s="21" t="n">
        <f aca="false">IF(OR($B31="",F31=0),"",G31/F31)</f>
        <v>0.916666666666667</v>
      </c>
      <c r="I31" s="22" t="n">
        <f aca="false">IF($B31="","",MAX(F31-G31,0))</f>
        <v>1</v>
      </c>
      <c r="J31" s="23" t="str">
        <f aca="false">IF($B31="","",IFERROR(INDEX(고객사!$G$5:$G$104,MATCH($B31,고객사!$A$5:$A$104,0)),""))</f>
        <v>Y</v>
      </c>
      <c r="K31" s="16" t="n">
        <v>0</v>
      </c>
      <c r="L31" s="22" t="n">
        <f aca="false">IF($B31="","",K31*IFERROR(INDEX(고객사!$L$5:$L$104,MATCH($B31,고객사!$A$5:$A$104,0)),0))</f>
        <v>0</v>
      </c>
      <c r="M31" s="23" t="str">
        <f aca="false">IF($B31="","",IF(AND(J31="N",G31&gt;0,K31=0,IFERROR(INDEX(고객사!$H$5:$H$104,MATCH($B31,고객사!$A$5:$A$104,0)),"")="자사 차량 운행"),"차량 미배정",""))</f>
        <v/>
      </c>
      <c r="N31" s="22" t="n">
        <f aca="false">IF($B31="","",IFERROR(INDEX(고객사!$J$5:$J$104,MATCH($B31,고객사!$A$5:$A$104,0)),0))</f>
        <v>420000</v>
      </c>
      <c r="O31" s="22" t="n">
        <f aca="false">IF($B31="","",G31*N31)</f>
        <v>4620000</v>
      </c>
      <c r="P31" s="22" t="n">
        <f aca="false">IF($B31="","",IFERROR(INDEX(고객사!$K$5:$K$104,MATCH($B31,고객사!$A$5:$A$104,0)),0))</f>
        <v>330000</v>
      </c>
      <c r="Q31" s="22" t="n">
        <f aca="false">IF($B31="","",G31*P31)</f>
        <v>3630000</v>
      </c>
      <c r="R31" s="22" t="n">
        <f aca="false">IF($B31="","",O31-Q31-L31)</f>
        <v>990000</v>
      </c>
      <c r="S31" s="21" t="n">
        <f aca="false">IF(OR($B31="",N(O31)=0),"",R31/O31)</f>
        <v>0.214285714285714</v>
      </c>
      <c r="T31" s="14"/>
      <c r="U31" s="19" t="n">
        <f aca="false">IF(OR($B31="",$A31=""),0,IF(COUNTIFS($A$5:$A31,$A31,$B$5:$B31,$B31)=1,1,0))</f>
        <v>0</v>
      </c>
    </row>
    <row r="32" customFormat="false" ht="15" hidden="false" customHeight="false" outlineLevel="0" collapsed="false">
      <c r="A32" s="17" t="n">
        <v>46272</v>
      </c>
      <c r="B32" s="13" t="s">
        <v>46</v>
      </c>
      <c r="C32" s="20" t="str">
        <f aca="false">IF($B32="","",IFERROR(INDEX(고객사!$B$5:$B$104,MATCH($B32,고객사!$A$5:$A$104,0)),"코드 확인"))</f>
        <v>예시) 대성섬유 VN</v>
      </c>
      <c r="D32" s="15" t="s">
        <v>49</v>
      </c>
      <c r="E32" s="15" t="s">
        <v>94</v>
      </c>
      <c r="F32" s="16" t="n">
        <v>30</v>
      </c>
      <c r="G32" s="16" t="n">
        <v>27</v>
      </c>
      <c r="H32" s="21" t="n">
        <f aca="false">IF(OR($B32="",F32=0),"",G32/F32)</f>
        <v>0.9</v>
      </c>
      <c r="I32" s="22" t="n">
        <f aca="false">IF($B32="","",MAX(F32-G32,0))</f>
        <v>3</v>
      </c>
      <c r="J32" s="23" t="str">
        <f aca="false">IF($B32="","",IFERROR(INDEX(고객사!$G$5:$G$104,MATCH($B32,고객사!$A$5:$A$104,0)),""))</f>
        <v>N</v>
      </c>
      <c r="K32" s="16" t="n">
        <v>1</v>
      </c>
      <c r="L32" s="22" t="n">
        <f aca="false">IF($B32="","",K32*IFERROR(INDEX(고객사!$L$5:$L$104,MATCH($B32,고객사!$A$5:$A$104,0)),0))</f>
        <v>1200000</v>
      </c>
      <c r="M32" s="23" t="str">
        <f aca="false">IF($B32="","",IF(AND(J32="N",G32&gt;0,K32=0,IFERROR(INDEX(고객사!$H$5:$H$104,MATCH($B32,고객사!$A$5:$A$104,0)),"")="자사 차량 운행"),"차량 미배정",""))</f>
        <v/>
      </c>
      <c r="N32" s="22" t="n">
        <f aca="false">IF($B32="","",IFERROR(INDEX(고객사!$J$5:$J$104,MATCH($B32,고객사!$A$5:$A$104,0)),0))</f>
        <v>380000</v>
      </c>
      <c r="O32" s="22" t="n">
        <f aca="false">IF($B32="","",G32*N32)</f>
        <v>10260000</v>
      </c>
      <c r="P32" s="22" t="n">
        <f aca="false">IF($B32="","",IFERROR(INDEX(고객사!$K$5:$K$104,MATCH($B32,고객사!$A$5:$A$104,0)),0))</f>
        <v>300000</v>
      </c>
      <c r="Q32" s="22" t="n">
        <f aca="false">IF($B32="","",G32*P32)</f>
        <v>8100000</v>
      </c>
      <c r="R32" s="22" t="n">
        <f aca="false">IF($B32="","",O32-Q32-L32)</f>
        <v>960000</v>
      </c>
      <c r="S32" s="21" t="n">
        <f aca="false">IF(OR($B32="",N(O32)=0),"",R32/O32)</f>
        <v>0.0935672514619883</v>
      </c>
      <c r="T32" s="14"/>
      <c r="U32" s="19" t="n">
        <f aca="false">IF(OR($B32="",$A32=""),0,IF(COUNTIFS($A$5:$A32,$A32,$B$5:$B32,$B32)=1,1,0))</f>
        <v>1</v>
      </c>
    </row>
    <row r="33" customFormat="false" ht="15" hidden="false" customHeight="false" outlineLevel="0" collapsed="false">
      <c r="A33" s="17" t="n">
        <v>46272</v>
      </c>
      <c r="B33" s="13" t="s">
        <v>56</v>
      </c>
      <c r="C33" s="20" t="str">
        <f aca="false">IF($B33="","",IFERROR(INDEX(고객사!$B$5:$B$104,MATCH($B33,고객사!$A$5:$A$104,0)),"코드 확인"))</f>
        <v>예시) 그린물류 하노이</v>
      </c>
      <c r="D33" s="15" t="s">
        <v>98</v>
      </c>
      <c r="E33" s="15" t="s">
        <v>94</v>
      </c>
      <c r="F33" s="16" t="n">
        <v>18</v>
      </c>
      <c r="G33" s="16" t="n">
        <v>18</v>
      </c>
      <c r="H33" s="21" t="n">
        <f aca="false">IF(OR($B33="",F33=0),"",G33/F33)</f>
        <v>1</v>
      </c>
      <c r="I33" s="22" t="n">
        <f aca="false">IF($B33="","",MAX(F33-G33,0))</f>
        <v>0</v>
      </c>
      <c r="J33" s="23" t="str">
        <f aca="false">IF($B33="","",IFERROR(INDEX(고객사!$G$5:$G$104,MATCH($B33,고객사!$A$5:$A$104,0)),""))</f>
        <v>N</v>
      </c>
      <c r="K33" s="16" t="n">
        <v>0</v>
      </c>
      <c r="L33" s="22" t="n">
        <f aca="false">IF($B33="","",K33*IFERROR(INDEX(고객사!$L$5:$L$104,MATCH($B33,고객사!$A$5:$A$104,0)),0))</f>
        <v>0</v>
      </c>
      <c r="M33" s="23" t="str">
        <f aca="false">IF($B33="","",IF(AND(J33="N",G33&gt;0,K33=0,IFERROR(INDEX(고객사!$H$5:$H$104,MATCH($B33,고객사!$A$5:$A$104,0)),"")="자사 차량 운행"),"차량 미배정",""))</f>
        <v/>
      </c>
      <c r="N33" s="22" t="n">
        <f aca="false">IF($B33="","",IFERROR(INDEX(고객사!$J$5:$J$104,MATCH($B33,고객사!$A$5:$A$104,0)),0))</f>
        <v>400000</v>
      </c>
      <c r="O33" s="22" t="n">
        <f aca="false">IF($B33="","",G33*N33)</f>
        <v>7200000</v>
      </c>
      <c r="P33" s="22" t="n">
        <f aca="false">IF($B33="","",IFERROR(INDEX(고객사!$K$5:$K$104,MATCH($B33,고객사!$A$5:$A$104,0)),0))</f>
        <v>315000</v>
      </c>
      <c r="Q33" s="22" t="n">
        <f aca="false">IF($B33="","",G33*P33)</f>
        <v>5670000</v>
      </c>
      <c r="R33" s="22" t="n">
        <f aca="false">IF($B33="","",O33-Q33-L33)</f>
        <v>1530000</v>
      </c>
      <c r="S33" s="21" t="n">
        <f aca="false">IF(OR($B33="",N(O33)=0),"",R33/O33)</f>
        <v>0.2125</v>
      </c>
      <c r="T33" s="14"/>
      <c r="U33" s="19" t="n">
        <f aca="false">IF(OR($B33="",$A33=""),0,IF(COUNTIFS($A$5:$A33,$A33,$B$5:$B33,$B33)=1,1,0))</f>
        <v>1</v>
      </c>
    </row>
    <row r="34" customFormat="false" ht="15" hidden="false" customHeight="false" outlineLevel="0" collapsed="false">
      <c r="A34" s="17" t="n">
        <v>46272</v>
      </c>
      <c r="B34" s="13" t="s">
        <v>64</v>
      </c>
      <c r="C34" s="20" t="str">
        <f aca="false">IF($B34="","",IFERROR(INDEX(고객사!$B$5:$B$104,MATCH($B34,고객사!$A$5:$A$104,0)),"코드 확인"))</f>
        <v>예시) 미래식품 빈즈엉</v>
      </c>
      <c r="D34" s="15" t="s">
        <v>99</v>
      </c>
      <c r="E34" s="13" t="s">
        <v>100</v>
      </c>
      <c r="F34" s="16" t="n">
        <v>22</v>
      </c>
      <c r="G34" s="16" t="n">
        <v>22</v>
      </c>
      <c r="H34" s="21" t="n">
        <f aca="false">IF(OR($B34="",F34=0),"",G34/F34)</f>
        <v>1</v>
      </c>
      <c r="I34" s="22" t="n">
        <f aca="false">IF($B34="","",MAX(F34-G34,0))</f>
        <v>0</v>
      </c>
      <c r="J34" s="23" t="str">
        <f aca="false">IF($B34="","",IFERROR(INDEX(고객사!$G$5:$G$104,MATCH($B34,고객사!$A$5:$A$104,0)),""))</f>
        <v>Y</v>
      </c>
      <c r="K34" s="16" t="n">
        <v>0</v>
      </c>
      <c r="L34" s="22" t="n">
        <f aca="false">IF($B34="","",K34*IFERROR(INDEX(고객사!$L$5:$L$104,MATCH($B34,고객사!$A$5:$A$104,0)),0))</f>
        <v>0</v>
      </c>
      <c r="M34" s="23" t="str">
        <f aca="false">IF($B34="","",IF(AND(J34="N",G34&gt;0,K34=0,IFERROR(INDEX(고객사!$H$5:$H$104,MATCH($B34,고객사!$A$5:$A$104,0)),"")="자사 차량 운행"),"차량 미배정",""))</f>
        <v/>
      </c>
      <c r="N34" s="22" t="n">
        <f aca="false">IF($B34="","",IFERROR(INDEX(고객사!$J$5:$J$104,MATCH($B34,고객사!$A$5:$A$104,0)),0))</f>
        <v>390000</v>
      </c>
      <c r="O34" s="22" t="n">
        <f aca="false">IF($B34="","",G34*N34)</f>
        <v>8580000</v>
      </c>
      <c r="P34" s="22" t="n">
        <f aca="false">IF($B34="","",IFERROR(INDEX(고객사!$K$5:$K$104,MATCH($B34,고객사!$A$5:$A$104,0)),0))</f>
        <v>305000</v>
      </c>
      <c r="Q34" s="22" t="n">
        <f aca="false">IF($B34="","",G34*P34)</f>
        <v>6710000</v>
      </c>
      <c r="R34" s="22" t="n">
        <f aca="false">IF($B34="","",O34-Q34-L34)</f>
        <v>1870000</v>
      </c>
      <c r="S34" s="21" t="n">
        <f aca="false">IF(OR($B34="",N(O34)=0),"",R34/O34)</f>
        <v>0.217948717948718</v>
      </c>
      <c r="T34" s="14"/>
      <c r="U34" s="19" t="n">
        <f aca="false">IF(OR($B34="",$A34=""),0,IF(COUNTIFS($A$5:$A34,$A34,$B$5:$B34,$B34)=1,1,0))</f>
        <v>1</v>
      </c>
    </row>
    <row r="35" customFormat="false" ht="15" hidden="false" customHeight="false" outlineLevel="0" collapsed="false">
      <c r="A35" s="17" t="n">
        <v>46273</v>
      </c>
      <c r="B35" s="13" t="s">
        <v>36</v>
      </c>
      <c r="C35" s="20" t="str">
        <f aca="false">IF($B35="","",IFERROR(INDEX(고객사!$B$5:$B$104,MATCH($B35,고객사!$A$5:$A$104,0)),"코드 확인"))</f>
        <v>예시) 한빛전자 비나</v>
      </c>
      <c r="D35" s="15" t="s">
        <v>93</v>
      </c>
      <c r="E35" s="15" t="s">
        <v>94</v>
      </c>
      <c r="F35" s="16" t="n">
        <v>40</v>
      </c>
      <c r="G35" s="16" t="n">
        <v>39</v>
      </c>
      <c r="H35" s="21" t="n">
        <f aca="false">IF(OR($B35="",F35=0),"",G35/F35)</f>
        <v>0.975</v>
      </c>
      <c r="I35" s="22" t="n">
        <f aca="false">IF($B35="","",MAX(F35-G35,0))</f>
        <v>1</v>
      </c>
      <c r="J35" s="23" t="str">
        <f aca="false">IF($B35="","",IFERROR(INDEX(고객사!$G$5:$G$104,MATCH($B35,고객사!$A$5:$A$104,0)),""))</f>
        <v>Y</v>
      </c>
      <c r="K35" s="16" t="n">
        <v>0</v>
      </c>
      <c r="L35" s="22" t="n">
        <f aca="false">IF($B35="","",K35*IFERROR(INDEX(고객사!$L$5:$L$104,MATCH($B35,고객사!$A$5:$A$104,0)),0))</f>
        <v>0</v>
      </c>
      <c r="M35" s="23" t="str">
        <f aca="false">IF($B35="","",IF(AND(J35="N",G35&gt;0,K35=0,IFERROR(INDEX(고객사!$H$5:$H$104,MATCH($B35,고객사!$A$5:$A$104,0)),"")="자사 차량 운행"),"차량 미배정",""))</f>
        <v/>
      </c>
      <c r="N35" s="22" t="n">
        <f aca="false">IF($B35="","",IFERROR(INDEX(고객사!$J$5:$J$104,MATCH($B35,고객사!$A$5:$A$104,0)),0))</f>
        <v>420000</v>
      </c>
      <c r="O35" s="22" t="n">
        <f aca="false">IF($B35="","",G35*N35)</f>
        <v>16380000</v>
      </c>
      <c r="P35" s="22" t="n">
        <f aca="false">IF($B35="","",IFERROR(INDEX(고객사!$K$5:$K$104,MATCH($B35,고객사!$A$5:$A$104,0)),0))</f>
        <v>330000</v>
      </c>
      <c r="Q35" s="22" t="n">
        <f aca="false">IF($B35="","",G35*P35)</f>
        <v>12870000</v>
      </c>
      <c r="R35" s="22" t="n">
        <f aca="false">IF($B35="","",O35-Q35-L35)</f>
        <v>3510000</v>
      </c>
      <c r="S35" s="21" t="n">
        <f aca="false">IF(OR($B35="",N(O35)=0),"",R35/O35)</f>
        <v>0.214285714285714</v>
      </c>
      <c r="T35" s="14"/>
      <c r="U35" s="19" t="n">
        <f aca="false">IF(OR($B35="",$A35=""),0,IF(COUNTIFS($A$5:$A35,$A35,$B$5:$B35,$B35)=1,1,0))</f>
        <v>1</v>
      </c>
    </row>
    <row r="36" customFormat="false" ht="15" hidden="false" customHeight="false" outlineLevel="0" collapsed="false">
      <c r="A36" s="17" t="n">
        <v>46273</v>
      </c>
      <c r="B36" s="13" t="s">
        <v>36</v>
      </c>
      <c r="C36" s="20" t="str">
        <f aca="false">IF($B36="","",IFERROR(INDEX(고객사!$B$5:$B$104,MATCH($B36,고객사!$A$5:$A$104,0)),"코드 확인"))</f>
        <v>예시) 한빛전자 비나</v>
      </c>
      <c r="D36" s="15" t="s">
        <v>96</v>
      </c>
      <c r="E36" s="15" t="s">
        <v>97</v>
      </c>
      <c r="F36" s="16" t="n">
        <v>12</v>
      </c>
      <c r="G36" s="16" t="n">
        <v>12</v>
      </c>
      <c r="H36" s="21" t="n">
        <f aca="false">IF(OR($B36="",F36=0),"",G36/F36)</f>
        <v>1</v>
      </c>
      <c r="I36" s="22" t="n">
        <f aca="false">IF($B36="","",MAX(F36-G36,0))</f>
        <v>0</v>
      </c>
      <c r="J36" s="23" t="str">
        <f aca="false">IF($B36="","",IFERROR(INDEX(고객사!$G$5:$G$104,MATCH($B36,고객사!$A$5:$A$104,0)),""))</f>
        <v>Y</v>
      </c>
      <c r="K36" s="16" t="n">
        <v>0</v>
      </c>
      <c r="L36" s="22" t="n">
        <f aca="false">IF($B36="","",K36*IFERROR(INDEX(고객사!$L$5:$L$104,MATCH($B36,고객사!$A$5:$A$104,0)),0))</f>
        <v>0</v>
      </c>
      <c r="M36" s="23" t="str">
        <f aca="false">IF($B36="","",IF(AND(J36="N",G36&gt;0,K36=0,IFERROR(INDEX(고객사!$H$5:$H$104,MATCH($B36,고객사!$A$5:$A$104,0)),"")="자사 차량 운행"),"차량 미배정",""))</f>
        <v/>
      </c>
      <c r="N36" s="22" t="n">
        <f aca="false">IF($B36="","",IFERROR(INDEX(고객사!$J$5:$J$104,MATCH($B36,고객사!$A$5:$A$104,0)),0))</f>
        <v>420000</v>
      </c>
      <c r="O36" s="22" t="n">
        <f aca="false">IF($B36="","",G36*N36)</f>
        <v>5040000</v>
      </c>
      <c r="P36" s="22" t="n">
        <f aca="false">IF($B36="","",IFERROR(INDEX(고객사!$K$5:$K$104,MATCH($B36,고객사!$A$5:$A$104,0)),0))</f>
        <v>330000</v>
      </c>
      <c r="Q36" s="22" t="n">
        <f aca="false">IF($B36="","",G36*P36)</f>
        <v>3960000</v>
      </c>
      <c r="R36" s="22" t="n">
        <f aca="false">IF($B36="","",O36-Q36-L36)</f>
        <v>1080000</v>
      </c>
      <c r="S36" s="21" t="n">
        <f aca="false">IF(OR($B36="",N(O36)=0),"",R36/O36)</f>
        <v>0.214285714285714</v>
      </c>
      <c r="T36" s="14"/>
      <c r="U36" s="19" t="n">
        <f aca="false">IF(OR($B36="",$A36=""),0,IF(COUNTIFS($A$5:$A36,$A36,$B$5:$B36,$B36)=1,1,0))</f>
        <v>0</v>
      </c>
    </row>
    <row r="37" customFormat="false" ht="15" hidden="false" customHeight="false" outlineLevel="0" collapsed="false">
      <c r="A37" s="17" t="n">
        <v>46273</v>
      </c>
      <c r="B37" s="13" t="s">
        <v>46</v>
      </c>
      <c r="C37" s="20" t="str">
        <f aca="false">IF($B37="","",IFERROR(INDEX(고객사!$B$5:$B$104,MATCH($B37,고객사!$A$5:$A$104,0)),"코드 확인"))</f>
        <v>예시) 대성섬유 VN</v>
      </c>
      <c r="D37" s="15" t="s">
        <v>49</v>
      </c>
      <c r="E37" s="15" t="s">
        <v>94</v>
      </c>
      <c r="F37" s="16" t="n">
        <v>30</v>
      </c>
      <c r="G37" s="16" t="n">
        <v>30</v>
      </c>
      <c r="H37" s="21" t="n">
        <f aca="false">IF(OR($B37="",F37=0),"",G37/F37)</f>
        <v>1</v>
      </c>
      <c r="I37" s="22" t="n">
        <f aca="false">IF($B37="","",MAX(F37-G37,0))</f>
        <v>0</v>
      </c>
      <c r="J37" s="23" t="str">
        <f aca="false">IF($B37="","",IFERROR(INDEX(고객사!$G$5:$G$104,MATCH($B37,고객사!$A$5:$A$104,0)),""))</f>
        <v>N</v>
      </c>
      <c r="K37" s="16" t="n">
        <v>1</v>
      </c>
      <c r="L37" s="22" t="n">
        <f aca="false">IF($B37="","",K37*IFERROR(INDEX(고객사!$L$5:$L$104,MATCH($B37,고객사!$A$5:$A$104,0)),0))</f>
        <v>1200000</v>
      </c>
      <c r="M37" s="23" t="str">
        <f aca="false">IF($B37="","",IF(AND(J37="N",G37&gt;0,K37=0,IFERROR(INDEX(고객사!$H$5:$H$104,MATCH($B37,고객사!$A$5:$A$104,0)),"")="자사 차량 운행"),"차량 미배정",""))</f>
        <v/>
      </c>
      <c r="N37" s="22" t="n">
        <f aca="false">IF($B37="","",IFERROR(INDEX(고객사!$J$5:$J$104,MATCH($B37,고객사!$A$5:$A$104,0)),0))</f>
        <v>380000</v>
      </c>
      <c r="O37" s="22" t="n">
        <f aca="false">IF($B37="","",G37*N37)</f>
        <v>11400000</v>
      </c>
      <c r="P37" s="22" t="n">
        <f aca="false">IF($B37="","",IFERROR(INDEX(고객사!$K$5:$K$104,MATCH($B37,고객사!$A$5:$A$104,0)),0))</f>
        <v>300000</v>
      </c>
      <c r="Q37" s="22" t="n">
        <f aca="false">IF($B37="","",G37*P37)</f>
        <v>9000000</v>
      </c>
      <c r="R37" s="22" t="n">
        <f aca="false">IF($B37="","",O37-Q37-L37)</f>
        <v>1200000</v>
      </c>
      <c r="S37" s="21" t="n">
        <f aca="false">IF(OR($B37="",N(O37)=0),"",R37/O37)</f>
        <v>0.105263157894737</v>
      </c>
      <c r="T37" s="14"/>
      <c r="U37" s="19" t="n">
        <f aca="false">IF(OR($B37="",$A37=""),0,IF(COUNTIFS($A$5:$A37,$A37,$B$5:$B37,$B37)=1,1,0))</f>
        <v>1</v>
      </c>
    </row>
    <row r="38" customFormat="false" ht="15" hidden="false" customHeight="false" outlineLevel="0" collapsed="false">
      <c r="A38" s="17" t="n">
        <v>46273</v>
      </c>
      <c r="B38" s="13" t="s">
        <v>56</v>
      </c>
      <c r="C38" s="20" t="str">
        <f aca="false">IF($B38="","",IFERROR(INDEX(고객사!$B$5:$B$104,MATCH($B38,고객사!$A$5:$A$104,0)),"코드 확인"))</f>
        <v>예시) 그린물류 하노이</v>
      </c>
      <c r="D38" s="15" t="s">
        <v>98</v>
      </c>
      <c r="E38" s="15" t="s">
        <v>94</v>
      </c>
      <c r="F38" s="16" t="n">
        <v>18</v>
      </c>
      <c r="G38" s="16" t="n">
        <v>17</v>
      </c>
      <c r="H38" s="21" t="n">
        <f aca="false">IF(OR($B38="",F38=0),"",G38/F38)</f>
        <v>0.944444444444444</v>
      </c>
      <c r="I38" s="22" t="n">
        <f aca="false">IF($B38="","",MAX(F38-G38,0))</f>
        <v>1</v>
      </c>
      <c r="J38" s="23" t="str">
        <f aca="false">IF($B38="","",IFERROR(INDEX(고객사!$G$5:$G$104,MATCH($B38,고객사!$A$5:$A$104,0)),""))</f>
        <v>N</v>
      </c>
      <c r="K38" s="16" t="n">
        <v>0</v>
      </c>
      <c r="L38" s="22" t="n">
        <f aca="false">IF($B38="","",K38*IFERROR(INDEX(고객사!$L$5:$L$104,MATCH($B38,고객사!$A$5:$A$104,0)),0))</f>
        <v>0</v>
      </c>
      <c r="M38" s="23" t="str">
        <f aca="false">IF($B38="","",IF(AND(J38="N",G38&gt;0,K38=0,IFERROR(INDEX(고객사!$H$5:$H$104,MATCH($B38,고객사!$A$5:$A$104,0)),"")="자사 차량 운행"),"차량 미배정",""))</f>
        <v/>
      </c>
      <c r="N38" s="22" t="n">
        <f aca="false">IF($B38="","",IFERROR(INDEX(고객사!$J$5:$J$104,MATCH($B38,고객사!$A$5:$A$104,0)),0))</f>
        <v>400000</v>
      </c>
      <c r="O38" s="22" t="n">
        <f aca="false">IF($B38="","",G38*N38)</f>
        <v>6800000</v>
      </c>
      <c r="P38" s="22" t="n">
        <f aca="false">IF($B38="","",IFERROR(INDEX(고객사!$K$5:$K$104,MATCH($B38,고객사!$A$5:$A$104,0)),0))</f>
        <v>315000</v>
      </c>
      <c r="Q38" s="22" t="n">
        <f aca="false">IF($B38="","",G38*P38)</f>
        <v>5355000</v>
      </c>
      <c r="R38" s="22" t="n">
        <f aca="false">IF($B38="","",O38-Q38-L38)</f>
        <v>1445000</v>
      </c>
      <c r="S38" s="21" t="n">
        <f aca="false">IF(OR($B38="",N(O38)=0),"",R38/O38)</f>
        <v>0.2125</v>
      </c>
      <c r="T38" s="14"/>
      <c r="U38" s="19" t="n">
        <f aca="false">IF(OR($B38="",$A38=""),0,IF(COUNTIFS($A$5:$A38,$A38,$B$5:$B38,$B38)=1,1,0))</f>
        <v>1</v>
      </c>
    </row>
    <row r="39" customFormat="false" ht="15" hidden="false" customHeight="false" outlineLevel="0" collapsed="false">
      <c r="A39" s="17" t="n">
        <v>46273</v>
      </c>
      <c r="B39" s="13" t="s">
        <v>64</v>
      </c>
      <c r="C39" s="20" t="str">
        <f aca="false">IF($B39="","",IFERROR(INDEX(고객사!$B$5:$B$104,MATCH($B39,고객사!$A$5:$A$104,0)),"코드 확인"))</f>
        <v>예시) 미래식품 빈즈엉</v>
      </c>
      <c r="D39" s="15" t="s">
        <v>99</v>
      </c>
      <c r="E39" s="13" t="s">
        <v>100</v>
      </c>
      <c r="F39" s="16" t="n">
        <v>22</v>
      </c>
      <c r="G39" s="16" t="n">
        <v>20</v>
      </c>
      <c r="H39" s="21" t="n">
        <f aca="false">IF(OR($B39="",F39=0),"",G39/F39)</f>
        <v>0.909090909090909</v>
      </c>
      <c r="I39" s="22" t="n">
        <f aca="false">IF($B39="","",MAX(F39-G39,0))</f>
        <v>2</v>
      </c>
      <c r="J39" s="23" t="str">
        <f aca="false">IF($B39="","",IFERROR(INDEX(고객사!$G$5:$G$104,MATCH($B39,고객사!$A$5:$A$104,0)),""))</f>
        <v>Y</v>
      </c>
      <c r="K39" s="16" t="n">
        <v>0</v>
      </c>
      <c r="L39" s="22" t="n">
        <f aca="false">IF($B39="","",K39*IFERROR(INDEX(고객사!$L$5:$L$104,MATCH($B39,고객사!$A$5:$A$104,0)),0))</f>
        <v>0</v>
      </c>
      <c r="M39" s="23" t="str">
        <f aca="false">IF($B39="","",IF(AND(J39="N",G39&gt;0,K39=0,IFERROR(INDEX(고객사!$H$5:$H$104,MATCH($B39,고객사!$A$5:$A$104,0)),"")="자사 차량 운행"),"차량 미배정",""))</f>
        <v/>
      </c>
      <c r="N39" s="22" t="n">
        <f aca="false">IF($B39="","",IFERROR(INDEX(고객사!$J$5:$J$104,MATCH($B39,고객사!$A$5:$A$104,0)),0))</f>
        <v>390000</v>
      </c>
      <c r="O39" s="22" t="n">
        <f aca="false">IF($B39="","",G39*N39)</f>
        <v>7800000</v>
      </c>
      <c r="P39" s="22" t="n">
        <f aca="false">IF($B39="","",IFERROR(INDEX(고객사!$K$5:$K$104,MATCH($B39,고객사!$A$5:$A$104,0)),0))</f>
        <v>305000</v>
      </c>
      <c r="Q39" s="22" t="n">
        <f aca="false">IF($B39="","",G39*P39)</f>
        <v>6100000</v>
      </c>
      <c r="R39" s="22" t="n">
        <f aca="false">IF($B39="","",O39-Q39-L39)</f>
        <v>1700000</v>
      </c>
      <c r="S39" s="21" t="n">
        <f aca="false">IF(OR($B39="",N(O39)=0),"",R39/O39)</f>
        <v>0.217948717948718</v>
      </c>
      <c r="T39" s="14"/>
      <c r="U39" s="19" t="n">
        <f aca="false">IF(OR($B39="",$A39=""),0,IF(COUNTIFS($A$5:$A39,$A39,$B$5:$B39,$B39)=1,1,0))</f>
        <v>1</v>
      </c>
    </row>
    <row r="40" customFormat="false" ht="15" hidden="false" customHeight="false" outlineLevel="0" collapsed="false">
      <c r="A40" s="17" t="n">
        <v>46274</v>
      </c>
      <c r="B40" s="13" t="s">
        <v>36</v>
      </c>
      <c r="C40" s="20" t="str">
        <f aca="false">IF($B40="","",IFERROR(INDEX(고객사!$B$5:$B$104,MATCH($B40,고객사!$A$5:$A$104,0)),"코드 확인"))</f>
        <v>예시) 한빛전자 비나</v>
      </c>
      <c r="D40" s="15" t="s">
        <v>93</v>
      </c>
      <c r="E40" s="15" t="s">
        <v>94</v>
      </c>
      <c r="F40" s="16" t="n">
        <v>40</v>
      </c>
      <c r="G40" s="16" t="n">
        <v>40</v>
      </c>
      <c r="H40" s="21" t="n">
        <f aca="false">IF(OR($B40="",F40=0),"",G40/F40)</f>
        <v>1</v>
      </c>
      <c r="I40" s="22" t="n">
        <f aca="false">IF($B40="","",MAX(F40-G40,0))</f>
        <v>0</v>
      </c>
      <c r="J40" s="23" t="str">
        <f aca="false">IF($B40="","",IFERROR(INDEX(고객사!$G$5:$G$104,MATCH($B40,고객사!$A$5:$A$104,0)),""))</f>
        <v>Y</v>
      </c>
      <c r="K40" s="16" t="n">
        <v>0</v>
      </c>
      <c r="L40" s="22" t="n">
        <f aca="false">IF($B40="","",K40*IFERROR(INDEX(고객사!$L$5:$L$104,MATCH($B40,고객사!$A$5:$A$104,0)),0))</f>
        <v>0</v>
      </c>
      <c r="M40" s="23" t="str">
        <f aca="false">IF($B40="","",IF(AND(J40="N",G40&gt;0,K40=0,IFERROR(INDEX(고객사!$H$5:$H$104,MATCH($B40,고객사!$A$5:$A$104,0)),"")="자사 차량 운행"),"차량 미배정",""))</f>
        <v/>
      </c>
      <c r="N40" s="22" t="n">
        <f aca="false">IF($B40="","",IFERROR(INDEX(고객사!$J$5:$J$104,MATCH($B40,고객사!$A$5:$A$104,0)),0))</f>
        <v>420000</v>
      </c>
      <c r="O40" s="22" t="n">
        <f aca="false">IF($B40="","",G40*N40)</f>
        <v>16800000</v>
      </c>
      <c r="P40" s="22" t="n">
        <f aca="false">IF($B40="","",IFERROR(INDEX(고객사!$K$5:$K$104,MATCH($B40,고객사!$A$5:$A$104,0)),0))</f>
        <v>330000</v>
      </c>
      <c r="Q40" s="22" t="n">
        <f aca="false">IF($B40="","",G40*P40)</f>
        <v>13200000</v>
      </c>
      <c r="R40" s="22" t="n">
        <f aca="false">IF($B40="","",O40-Q40-L40)</f>
        <v>3600000</v>
      </c>
      <c r="S40" s="21" t="n">
        <f aca="false">IF(OR($B40="",N(O40)=0),"",R40/O40)</f>
        <v>0.214285714285714</v>
      </c>
      <c r="T40" s="14"/>
      <c r="U40" s="19" t="n">
        <f aca="false">IF(OR($B40="",$A40=""),0,IF(COUNTIFS($A$5:$A40,$A40,$B$5:$B40,$B40)=1,1,0))</f>
        <v>1</v>
      </c>
    </row>
    <row r="41" customFormat="false" ht="15" hidden="false" customHeight="false" outlineLevel="0" collapsed="false">
      <c r="A41" s="17" t="n">
        <v>46274</v>
      </c>
      <c r="B41" s="13" t="s">
        <v>36</v>
      </c>
      <c r="C41" s="20" t="str">
        <f aca="false">IF($B41="","",IFERROR(INDEX(고객사!$B$5:$B$104,MATCH($B41,고객사!$A$5:$A$104,0)),"코드 확인"))</f>
        <v>예시) 한빛전자 비나</v>
      </c>
      <c r="D41" s="15" t="s">
        <v>96</v>
      </c>
      <c r="E41" s="15" t="s">
        <v>97</v>
      </c>
      <c r="F41" s="16" t="n">
        <v>12</v>
      </c>
      <c r="G41" s="16" t="n">
        <v>12</v>
      </c>
      <c r="H41" s="21" t="n">
        <f aca="false">IF(OR($B41="",F41=0),"",G41/F41)</f>
        <v>1</v>
      </c>
      <c r="I41" s="22" t="n">
        <f aca="false">IF($B41="","",MAX(F41-G41,0))</f>
        <v>0</v>
      </c>
      <c r="J41" s="23" t="str">
        <f aca="false">IF($B41="","",IFERROR(INDEX(고객사!$G$5:$G$104,MATCH($B41,고객사!$A$5:$A$104,0)),""))</f>
        <v>Y</v>
      </c>
      <c r="K41" s="16" t="n">
        <v>0</v>
      </c>
      <c r="L41" s="22" t="n">
        <f aca="false">IF($B41="","",K41*IFERROR(INDEX(고객사!$L$5:$L$104,MATCH($B41,고객사!$A$5:$A$104,0)),0))</f>
        <v>0</v>
      </c>
      <c r="M41" s="23" t="str">
        <f aca="false">IF($B41="","",IF(AND(J41="N",G41&gt;0,K41=0,IFERROR(INDEX(고객사!$H$5:$H$104,MATCH($B41,고객사!$A$5:$A$104,0)),"")="자사 차량 운행"),"차량 미배정",""))</f>
        <v/>
      </c>
      <c r="N41" s="22" t="n">
        <f aca="false">IF($B41="","",IFERROR(INDEX(고객사!$J$5:$J$104,MATCH($B41,고객사!$A$5:$A$104,0)),0))</f>
        <v>420000</v>
      </c>
      <c r="O41" s="22" t="n">
        <f aca="false">IF($B41="","",G41*N41)</f>
        <v>5040000</v>
      </c>
      <c r="P41" s="22" t="n">
        <f aca="false">IF($B41="","",IFERROR(INDEX(고객사!$K$5:$K$104,MATCH($B41,고객사!$A$5:$A$104,0)),0))</f>
        <v>330000</v>
      </c>
      <c r="Q41" s="22" t="n">
        <f aca="false">IF($B41="","",G41*P41)</f>
        <v>3960000</v>
      </c>
      <c r="R41" s="22" t="n">
        <f aca="false">IF($B41="","",O41-Q41-L41)</f>
        <v>1080000</v>
      </c>
      <c r="S41" s="21" t="n">
        <f aca="false">IF(OR($B41="",N(O41)=0),"",R41/O41)</f>
        <v>0.214285714285714</v>
      </c>
      <c r="T41" s="14"/>
      <c r="U41" s="19" t="n">
        <f aca="false">IF(OR($B41="",$A41=""),0,IF(COUNTIFS($A$5:$A41,$A41,$B$5:$B41,$B41)=1,1,0))</f>
        <v>0</v>
      </c>
    </row>
    <row r="42" customFormat="false" ht="15" hidden="false" customHeight="false" outlineLevel="0" collapsed="false">
      <c r="A42" s="17" t="n">
        <v>46274</v>
      </c>
      <c r="B42" s="13" t="s">
        <v>46</v>
      </c>
      <c r="C42" s="20" t="str">
        <f aca="false">IF($B42="","",IFERROR(INDEX(고객사!$B$5:$B$104,MATCH($B42,고객사!$A$5:$A$104,0)),"코드 확인"))</f>
        <v>예시) 대성섬유 VN</v>
      </c>
      <c r="D42" s="15" t="s">
        <v>49</v>
      </c>
      <c r="E42" s="15" t="s">
        <v>94</v>
      </c>
      <c r="F42" s="16" t="n">
        <v>30</v>
      </c>
      <c r="G42" s="16" t="n">
        <v>30</v>
      </c>
      <c r="H42" s="21" t="n">
        <f aca="false">IF(OR($B42="",F42=0),"",G42/F42)</f>
        <v>1</v>
      </c>
      <c r="I42" s="22" t="n">
        <f aca="false">IF($B42="","",MAX(F42-G42,0))</f>
        <v>0</v>
      </c>
      <c r="J42" s="23" t="str">
        <f aca="false">IF($B42="","",IFERROR(INDEX(고객사!$G$5:$G$104,MATCH($B42,고객사!$A$5:$A$104,0)),""))</f>
        <v>N</v>
      </c>
      <c r="K42" s="16" t="n">
        <v>1</v>
      </c>
      <c r="L42" s="22" t="n">
        <f aca="false">IF($B42="","",K42*IFERROR(INDEX(고객사!$L$5:$L$104,MATCH($B42,고객사!$A$5:$A$104,0)),0))</f>
        <v>1200000</v>
      </c>
      <c r="M42" s="23" t="str">
        <f aca="false">IF($B42="","",IF(AND(J42="N",G42&gt;0,K42=0,IFERROR(INDEX(고객사!$H$5:$H$104,MATCH($B42,고객사!$A$5:$A$104,0)),"")="자사 차량 운행"),"차량 미배정",""))</f>
        <v/>
      </c>
      <c r="N42" s="22" t="n">
        <f aca="false">IF($B42="","",IFERROR(INDEX(고객사!$J$5:$J$104,MATCH($B42,고객사!$A$5:$A$104,0)),0))</f>
        <v>380000</v>
      </c>
      <c r="O42" s="22" t="n">
        <f aca="false">IF($B42="","",G42*N42)</f>
        <v>11400000</v>
      </c>
      <c r="P42" s="22" t="n">
        <f aca="false">IF($B42="","",IFERROR(INDEX(고객사!$K$5:$K$104,MATCH($B42,고객사!$A$5:$A$104,0)),0))</f>
        <v>300000</v>
      </c>
      <c r="Q42" s="22" t="n">
        <f aca="false">IF($B42="","",G42*P42)</f>
        <v>9000000</v>
      </c>
      <c r="R42" s="22" t="n">
        <f aca="false">IF($B42="","",O42-Q42-L42)</f>
        <v>1200000</v>
      </c>
      <c r="S42" s="21" t="n">
        <f aca="false">IF(OR($B42="",N(O42)=0),"",R42/O42)</f>
        <v>0.105263157894737</v>
      </c>
      <c r="T42" s="14"/>
      <c r="U42" s="19" t="n">
        <f aca="false">IF(OR($B42="",$A42=""),0,IF(COUNTIFS($A$5:$A42,$A42,$B$5:$B42,$B42)=1,1,0))</f>
        <v>1</v>
      </c>
    </row>
    <row r="43" customFormat="false" ht="15" hidden="false" customHeight="false" outlineLevel="0" collapsed="false">
      <c r="A43" s="17" t="n">
        <v>46274</v>
      </c>
      <c r="B43" s="13" t="s">
        <v>56</v>
      </c>
      <c r="C43" s="20" t="str">
        <f aca="false">IF($B43="","",IFERROR(INDEX(고객사!$B$5:$B$104,MATCH($B43,고객사!$A$5:$A$104,0)),"코드 확인"))</f>
        <v>예시) 그린물류 하노이</v>
      </c>
      <c r="D43" s="15" t="s">
        <v>98</v>
      </c>
      <c r="E43" s="15" t="s">
        <v>94</v>
      </c>
      <c r="F43" s="16" t="n">
        <v>18</v>
      </c>
      <c r="G43" s="16" t="n">
        <v>17</v>
      </c>
      <c r="H43" s="21" t="n">
        <f aca="false">IF(OR($B43="",F43=0),"",G43/F43)</f>
        <v>0.944444444444444</v>
      </c>
      <c r="I43" s="22" t="n">
        <f aca="false">IF($B43="","",MAX(F43-G43,0))</f>
        <v>1</v>
      </c>
      <c r="J43" s="23" t="str">
        <f aca="false">IF($B43="","",IFERROR(INDEX(고객사!$G$5:$G$104,MATCH($B43,고객사!$A$5:$A$104,0)),""))</f>
        <v>N</v>
      </c>
      <c r="K43" s="16" t="n">
        <v>0</v>
      </c>
      <c r="L43" s="22" t="n">
        <f aca="false">IF($B43="","",K43*IFERROR(INDEX(고객사!$L$5:$L$104,MATCH($B43,고객사!$A$5:$A$104,0)),0))</f>
        <v>0</v>
      </c>
      <c r="M43" s="23" t="str">
        <f aca="false">IF($B43="","",IF(AND(J43="N",G43&gt;0,K43=0,IFERROR(INDEX(고객사!$H$5:$H$104,MATCH($B43,고객사!$A$5:$A$104,0)),"")="자사 차량 운행"),"차량 미배정",""))</f>
        <v/>
      </c>
      <c r="N43" s="22" t="n">
        <f aca="false">IF($B43="","",IFERROR(INDEX(고객사!$J$5:$J$104,MATCH($B43,고객사!$A$5:$A$104,0)),0))</f>
        <v>400000</v>
      </c>
      <c r="O43" s="22" t="n">
        <f aca="false">IF($B43="","",G43*N43)</f>
        <v>6800000</v>
      </c>
      <c r="P43" s="22" t="n">
        <f aca="false">IF($B43="","",IFERROR(INDEX(고객사!$K$5:$K$104,MATCH($B43,고객사!$A$5:$A$104,0)),0))</f>
        <v>315000</v>
      </c>
      <c r="Q43" s="22" t="n">
        <f aca="false">IF($B43="","",G43*P43)</f>
        <v>5355000</v>
      </c>
      <c r="R43" s="22" t="n">
        <f aca="false">IF($B43="","",O43-Q43-L43)</f>
        <v>1445000</v>
      </c>
      <c r="S43" s="21" t="n">
        <f aca="false">IF(OR($B43="",N(O43)=0),"",R43/O43)</f>
        <v>0.2125</v>
      </c>
      <c r="T43" s="14"/>
      <c r="U43" s="19" t="n">
        <f aca="false">IF(OR($B43="",$A43=""),0,IF(COUNTIFS($A$5:$A43,$A43,$B$5:$B43,$B43)=1,1,0))</f>
        <v>1</v>
      </c>
    </row>
    <row r="44" customFormat="false" ht="15" hidden="false" customHeight="false" outlineLevel="0" collapsed="false">
      <c r="A44" s="17" t="n">
        <v>46274</v>
      </c>
      <c r="B44" s="13" t="s">
        <v>64</v>
      </c>
      <c r="C44" s="20" t="str">
        <f aca="false">IF($B44="","",IFERROR(INDEX(고객사!$B$5:$B$104,MATCH($B44,고객사!$A$5:$A$104,0)),"코드 확인"))</f>
        <v>예시) 미래식품 빈즈엉</v>
      </c>
      <c r="D44" s="15" t="s">
        <v>99</v>
      </c>
      <c r="E44" s="13" t="s">
        <v>100</v>
      </c>
      <c r="F44" s="16" t="n">
        <v>22</v>
      </c>
      <c r="G44" s="16" t="n">
        <v>17</v>
      </c>
      <c r="H44" s="21" t="n">
        <f aca="false">IF(OR($B44="",F44=0),"",G44/F44)</f>
        <v>0.772727272727273</v>
      </c>
      <c r="I44" s="22" t="n">
        <f aca="false">IF($B44="","",MAX(F44-G44,0))</f>
        <v>5</v>
      </c>
      <c r="J44" s="23" t="str">
        <f aca="false">IF($B44="","",IFERROR(INDEX(고객사!$G$5:$G$104,MATCH($B44,고객사!$A$5:$A$104,0)),""))</f>
        <v>Y</v>
      </c>
      <c r="K44" s="16" t="n">
        <v>0</v>
      </c>
      <c r="L44" s="22" t="n">
        <f aca="false">IF($B44="","",K44*IFERROR(INDEX(고객사!$L$5:$L$104,MATCH($B44,고객사!$A$5:$A$104,0)),0))</f>
        <v>0</v>
      </c>
      <c r="M44" s="23" t="str">
        <f aca="false">IF($B44="","",IF(AND(J44="N",G44&gt;0,K44=0,IFERROR(INDEX(고객사!$H$5:$H$104,MATCH($B44,고객사!$A$5:$A$104,0)),"")="자사 차량 운행"),"차량 미배정",""))</f>
        <v/>
      </c>
      <c r="N44" s="22" t="n">
        <f aca="false">IF($B44="","",IFERROR(INDEX(고객사!$J$5:$J$104,MATCH($B44,고객사!$A$5:$A$104,0)),0))</f>
        <v>390000</v>
      </c>
      <c r="O44" s="22" t="n">
        <f aca="false">IF($B44="","",G44*N44)</f>
        <v>6630000</v>
      </c>
      <c r="P44" s="22" t="n">
        <f aca="false">IF($B44="","",IFERROR(INDEX(고객사!$K$5:$K$104,MATCH($B44,고객사!$A$5:$A$104,0)),0))</f>
        <v>305000</v>
      </c>
      <c r="Q44" s="22" t="n">
        <f aca="false">IF($B44="","",G44*P44)</f>
        <v>5185000</v>
      </c>
      <c r="R44" s="22" t="n">
        <f aca="false">IF($B44="","",O44-Q44-L44)</f>
        <v>1445000</v>
      </c>
      <c r="S44" s="21" t="n">
        <f aca="false">IF(OR($B44="",N(O44)=0),"",R44/O44)</f>
        <v>0.217948717948718</v>
      </c>
      <c r="T44" s="14"/>
      <c r="U44" s="19" t="n">
        <f aca="false">IF(OR($B44="",$A44=""),0,IF(COUNTIFS($A$5:$A44,$A44,$B$5:$B44,$B44)=1,1,0))</f>
        <v>1</v>
      </c>
    </row>
    <row r="45" customFormat="false" ht="15" hidden="false" customHeight="false" outlineLevel="0" collapsed="false">
      <c r="A45" s="17" t="n">
        <v>46275</v>
      </c>
      <c r="B45" s="13" t="s">
        <v>36</v>
      </c>
      <c r="C45" s="20" t="str">
        <f aca="false">IF($B45="","",IFERROR(INDEX(고객사!$B$5:$B$104,MATCH($B45,고객사!$A$5:$A$104,0)),"코드 확인"))</f>
        <v>예시) 한빛전자 비나</v>
      </c>
      <c r="D45" s="15" t="s">
        <v>93</v>
      </c>
      <c r="E45" s="15" t="s">
        <v>94</v>
      </c>
      <c r="F45" s="16" t="n">
        <v>40</v>
      </c>
      <c r="G45" s="16" t="n">
        <v>37</v>
      </c>
      <c r="H45" s="21" t="n">
        <f aca="false">IF(OR($B45="",F45=0),"",G45/F45)</f>
        <v>0.925</v>
      </c>
      <c r="I45" s="22" t="n">
        <f aca="false">IF($B45="","",MAX(F45-G45,0))</f>
        <v>3</v>
      </c>
      <c r="J45" s="23" t="str">
        <f aca="false">IF($B45="","",IFERROR(INDEX(고객사!$G$5:$G$104,MATCH($B45,고객사!$A$5:$A$104,0)),""))</f>
        <v>Y</v>
      </c>
      <c r="K45" s="16" t="n">
        <v>0</v>
      </c>
      <c r="L45" s="22" t="n">
        <f aca="false">IF($B45="","",K45*IFERROR(INDEX(고객사!$L$5:$L$104,MATCH($B45,고객사!$A$5:$A$104,0)),0))</f>
        <v>0</v>
      </c>
      <c r="M45" s="23" t="str">
        <f aca="false">IF($B45="","",IF(AND(J45="N",G45&gt;0,K45=0,IFERROR(INDEX(고객사!$H$5:$H$104,MATCH($B45,고객사!$A$5:$A$104,0)),"")="자사 차량 운행"),"차량 미배정",""))</f>
        <v/>
      </c>
      <c r="N45" s="22" t="n">
        <f aca="false">IF($B45="","",IFERROR(INDEX(고객사!$J$5:$J$104,MATCH($B45,고객사!$A$5:$A$104,0)),0))</f>
        <v>420000</v>
      </c>
      <c r="O45" s="22" t="n">
        <f aca="false">IF($B45="","",G45*N45)</f>
        <v>15540000</v>
      </c>
      <c r="P45" s="22" t="n">
        <f aca="false">IF($B45="","",IFERROR(INDEX(고객사!$K$5:$K$104,MATCH($B45,고객사!$A$5:$A$104,0)),0))</f>
        <v>330000</v>
      </c>
      <c r="Q45" s="22" t="n">
        <f aca="false">IF($B45="","",G45*P45)</f>
        <v>12210000</v>
      </c>
      <c r="R45" s="22" t="n">
        <f aca="false">IF($B45="","",O45-Q45-L45)</f>
        <v>3330000</v>
      </c>
      <c r="S45" s="21" t="n">
        <f aca="false">IF(OR($B45="",N(O45)=0),"",R45/O45)</f>
        <v>0.214285714285714</v>
      </c>
      <c r="T45" s="14"/>
      <c r="U45" s="19" t="n">
        <f aca="false">IF(OR($B45="",$A45=""),0,IF(COUNTIFS($A$5:$A45,$A45,$B$5:$B45,$B45)=1,1,0))</f>
        <v>1</v>
      </c>
    </row>
    <row r="46" customFormat="false" ht="15" hidden="false" customHeight="false" outlineLevel="0" collapsed="false">
      <c r="A46" s="17" t="n">
        <v>46275</v>
      </c>
      <c r="B46" s="13" t="s">
        <v>36</v>
      </c>
      <c r="C46" s="20" t="str">
        <f aca="false">IF($B46="","",IFERROR(INDEX(고객사!$B$5:$B$104,MATCH($B46,고객사!$A$5:$A$104,0)),"코드 확인"))</f>
        <v>예시) 한빛전자 비나</v>
      </c>
      <c r="D46" s="15" t="s">
        <v>96</v>
      </c>
      <c r="E46" s="15" t="s">
        <v>97</v>
      </c>
      <c r="F46" s="16" t="n">
        <v>12</v>
      </c>
      <c r="G46" s="16" t="n">
        <v>10</v>
      </c>
      <c r="H46" s="21" t="n">
        <f aca="false">IF(OR($B46="",F46=0),"",G46/F46)</f>
        <v>0.833333333333333</v>
      </c>
      <c r="I46" s="22" t="n">
        <f aca="false">IF($B46="","",MAX(F46-G46,0))</f>
        <v>2</v>
      </c>
      <c r="J46" s="23" t="str">
        <f aca="false">IF($B46="","",IFERROR(INDEX(고객사!$G$5:$G$104,MATCH($B46,고객사!$A$5:$A$104,0)),""))</f>
        <v>Y</v>
      </c>
      <c r="K46" s="16" t="n">
        <v>0</v>
      </c>
      <c r="L46" s="22" t="n">
        <f aca="false">IF($B46="","",K46*IFERROR(INDEX(고객사!$L$5:$L$104,MATCH($B46,고객사!$A$5:$A$104,0)),0))</f>
        <v>0</v>
      </c>
      <c r="M46" s="23" t="str">
        <f aca="false">IF($B46="","",IF(AND(J46="N",G46&gt;0,K46=0,IFERROR(INDEX(고객사!$H$5:$H$104,MATCH($B46,고객사!$A$5:$A$104,0)),"")="자사 차량 운행"),"차량 미배정",""))</f>
        <v/>
      </c>
      <c r="N46" s="22" t="n">
        <f aca="false">IF($B46="","",IFERROR(INDEX(고객사!$J$5:$J$104,MATCH($B46,고객사!$A$5:$A$104,0)),0))</f>
        <v>420000</v>
      </c>
      <c r="O46" s="22" t="n">
        <f aca="false">IF($B46="","",G46*N46)</f>
        <v>4200000</v>
      </c>
      <c r="P46" s="22" t="n">
        <f aca="false">IF($B46="","",IFERROR(INDEX(고객사!$K$5:$K$104,MATCH($B46,고객사!$A$5:$A$104,0)),0))</f>
        <v>330000</v>
      </c>
      <c r="Q46" s="22" t="n">
        <f aca="false">IF($B46="","",G46*P46)</f>
        <v>3300000</v>
      </c>
      <c r="R46" s="22" t="n">
        <f aca="false">IF($B46="","",O46-Q46-L46)</f>
        <v>900000</v>
      </c>
      <c r="S46" s="21" t="n">
        <f aca="false">IF(OR($B46="",N(O46)=0),"",R46/O46)</f>
        <v>0.214285714285714</v>
      </c>
      <c r="T46" s="14"/>
      <c r="U46" s="19" t="n">
        <f aca="false">IF(OR($B46="",$A46=""),0,IF(COUNTIFS($A$5:$A46,$A46,$B$5:$B46,$B46)=1,1,0))</f>
        <v>0</v>
      </c>
    </row>
    <row r="47" customFormat="false" ht="15" hidden="false" customHeight="false" outlineLevel="0" collapsed="false">
      <c r="A47" s="17" t="n">
        <v>46275</v>
      </c>
      <c r="B47" s="13" t="s">
        <v>46</v>
      </c>
      <c r="C47" s="20" t="str">
        <f aca="false">IF($B47="","",IFERROR(INDEX(고객사!$B$5:$B$104,MATCH($B47,고객사!$A$5:$A$104,0)),"코드 확인"))</f>
        <v>예시) 대성섬유 VN</v>
      </c>
      <c r="D47" s="15" t="s">
        <v>49</v>
      </c>
      <c r="E47" s="15" t="s">
        <v>94</v>
      </c>
      <c r="F47" s="16" t="n">
        <v>30</v>
      </c>
      <c r="G47" s="16" t="n">
        <v>25</v>
      </c>
      <c r="H47" s="21" t="n">
        <f aca="false">IF(OR($B47="",F47=0),"",G47/F47)</f>
        <v>0.833333333333333</v>
      </c>
      <c r="I47" s="22" t="n">
        <f aca="false">IF($B47="","",MAX(F47-G47,0))</f>
        <v>5</v>
      </c>
      <c r="J47" s="23" t="str">
        <f aca="false">IF($B47="","",IFERROR(INDEX(고객사!$G$5:$G$104,MATCH($B47,고객사!$A$5:$A$104,0)),""))</f>
        <v>N</v>
      </c>
      <c r="K47" s="16" t="n">
        <v>1</v>
      </c>
      <c r="L47" s="22" t="n">
        <f aca="false">IF($B47="","",K47*IFERROR(INDEX(고객사!$L$5:$L$104,MATCH($B47,고객사!$A$5:$A$104,0)),0))</f>
        <v>1200000</v>
      </c>
      <c r="M47" s="23" t="str">
        <f aca="false">IF($B47="","",IF(AND(J47="N",G47&gt;0,K47=0,IFERROR(INDEX(고객사!$H$5:$H$104,MATCH($B47,고객사!$A$5:$A$104,0)),"")="자사 차량 운행"),"차량 미배정",""))</f>
        <v/>
      </c>
      <c r="N47" s="22" t="n">
        <f aca="false">IF($B47="","",IFERROR(INDEX(고객사!$J$5:$J$104,MATCH($B47,고객사!$A$5:$A$104,0)),0))</f>
        <v>380000</v>
      </c>
      <c r="O47" s="22" t="n">
        <f aca="false">IF($B47="","",G47*N47)</f>
        <v>9500000</v>
      </c>
      <c r="P47" s="22" t="n">
        <f aca="false">IF($B47="","",IFERROR(INDEX(고객사!$K$5:$K$104,MATCH($B47,고객사!$A$5:$A$104,0)),0))</f>
        <v>300000</v>
      </c>
      <c r="Q47" s="22" t="n">
        <f aca="false">IF($B47="","",G47*P47)</f>
        <v>7500000</v>
      </c>
      <c r="R47" s="22" t="n">
        <f aca="false">IF($B47="","",O47-Q47-L47)</f>
        <v>800000</v>
      </c>
      <c r="S47" s="21" t="n">
        <f aca="false">IF(OR($B47="",N(O47)=0),"",R47/O47)</f>
        <v>0.0842105263157895</v>
      </c>
      <c r="T47" s="14"/>
      <c r="U47" s="19" t="n">
        <f aca="false">IF(OR($B47="",$A47=""),0,IF(COUNTIFS($A$5:$A47,$A47,$B$5:$B47,$B47)=1,1,0))</f>
        <v>1</v>
      </c>
    </row>
    <row r="48" customFormat="false" ht="15" hidden="false" customHeight="false" outlineLevel="0" collapsed="false">
      <c r="A48" s="17" t="n">
        <v>46275</v>
      </c>
      <c r="B48" s="13" t="s">
        <v>56</v>
      </c>
      <c r="C48" s="20" t="str">
        <f aca="false">IF($B48="","",IFERROR(INDEX(고객사!$B$5:$B$104,MATCH($B48,고객사!$A$5:$A$104,0)),"코드 확인"))</f>
        <v>예시) 그린물류 하노이</v>
      </c>
      <c r="D48" s="15" t="s">
        <v>98</v>
      </c>
      <c r="E48" s="15" t="s">
        <v>94</v>
      </c>
      <c r="F48" s="16" t="n">
        <v>18</v>
      </c>
      <c r="G48" s="16" t="n">
        <v>13</v>
      </c>
      <c r="H48" s="21" t="n">
        <f aca="false">IF(OR($B48="",F48=0),"",G48/F48)</f>
        <v>0.722222222222222</v>
      </c>
      <c r="I48" s="22" t="n">
        <f aca="false">IF($B48="","",MAX(F48-G48,0))</f>
        <v>5</v>
      </c>
      <c r="J48" s="23" t="str">
        <f aca="false">IF($B48="","",IFERROR(INDEX(고객사!$G$5:$G$104,MATCH($B48,고객사!$A$5:$A$104,0)),""))</f>
        <v>N</v>
      </c>
      <c r="K48" s="16" t="n">
        <v>0</v>
      </c>
      <c r="L48" s="22" t="n">
        <f aca="false">IF($B48="","",K48*IFERROR(INDEX(고객사!$L$5:$L$104,MATCH($B48,고객사!$A$5:$A$104,0)),0))</f>
        <v>0</v>
      </c>
      <c r="M48" s="23" t="str">
        <f aca="false">IF($B48="","",IF(AND(J48="N",G48&gt;0,K48=0,IFERROR(INDEX(고객사!$H$5:$H$104,MATCH($B48,고객사!$A$5:$A$104,0)),"")="자사 차량 운행"),"차량 미배정",""))</f>
        <v/>
      </c>
      <c r="N48" s="22" t="n">
        <f aca="false">IF($B48="","",IFERROR(INDEX(고객사!$J$5:$J$104,MATCH($B48,고객사!$A$5:$A$104,0)),0))</f>
        <v>400000</v>
      </c>
      <c r="O48" s="22" t="n">
        <f aca="false">IF($B48="","",G48*N48)</f>
        <v>5200000</v>
      </c>
      <c r="P48" s="22" t="n">
        <f aca="false">IF($B48="","",IFERROR(INDEX(고객사!$K$5:$K$104,MATCH($B48,고객사!$A$5:$A$104,0)),0))</f>
        <v>315000</v>
      </c>
      <c r="Q48" s="22" t="n">
        <f aca="false">IF($B48="","",G48*P48)</f>
        <v>4095000</v>
      </c>
      <c r="R48" s="22" t="n">
        <f aca="false">IF($B48="","",O48-Q48-L48)</f>
        <v>1105000</v>
      </c>
      <c r="S48" s="21" t="n">
        <f aca="false">IF(OR($B48="",N(O48)=0),"",R48/O48)</f>
        <v>0.2125</v>
      </c>
      <c r="T48" s="14"/>
      <c r="U48" s="19" t="n">
        <f aca="false">IF(OR($B48="",$A48=""),0,IF(COUNTIFS($A$5:$A48,$A48,$B$5:$B48,$B48)=1,1,0))</f>
        <v>1</v>
      </c>
    </row>
    <row r="49" customFormat="false" ht="15" hidden="false" customHeight="false" outlineLevel="0" collapsed="false">
      <c r="A49" s="17" t="n">
        <v>46275</v>
      </c>
      <c r="B49" s="13" t="s">
        <v>64</v>
      </c>
      <c r="C49" s="20" t="str">
        <f aca="false">IF($B49="","",IFERROR(INDEX(고객사!$B$5:$B$104,MATCH($B49,고객사!$A$5:$A$104,0)),"코드 확인"))</f>
        <v>예시) 미래식품 빈즈엉</v>
      </c>
      <c r="D49" s="15" t="s">
        <v>99</v>
      </c>
      <c r="E49" s="13" t="s">
        <v>100</v>
      </c>
      <c r="F49" s="16" t="n">
        <v>22</v>
      </c>
      <c r="G49" s="16" t="n">
        <v>20</v>
      </c>
      <c r="H49" s="21" t="n">
        <f aca="false">IF(OR($B49="",F49=0),"",G49/F49)</f>
        <v>0.909090909090909</v>
      </c>
      <c r="I49" s="22" t="n">
        <f aca="false">IF($B49="","",MAX(F49-G49,0))</f>
        <v>2</v>
      </c>
      <c r="J49" s="23" t="str">
        <f aca="false">IF($B49="","",IFERROR(INDEX(고객사!$G$5:$G$104,MATCH($B49,고객사!$A$5:$A$104,0)),""))</f>
        <v>Y</v>
      </c>
      <c r="K49" s="16" t="n">
        <v>0</v>
      </c>
      <c r="L49" s="22" t="n">
        <f aca="false">IF($B49="","",K49*IFERROR(INDEX(고객사!$L$5:$L$104,MATCH($B49,고객사!$A$5:$A$104,0)),0))</f>
        <v>0</v>
      </c>
      <c r="M49" s="23" t="str">
        <f aca="false">IF($B49="","",IF(AND(J49="N",G49&gt;0,K49=0,IFERROR(INDEX(고객사!$H$5:$H$104,MATCH($B49,고객사!$A$5:$A$104,0)),"")="자사 차량 운행"),"차량 미배정",""))</f>
        <v/>
      </c>
      <c r="N49" s="22" t="n">
        <f aca="false">IF($B49="","",IFERROR(INDEX(고객사!$J$5:$J$104,MATCH($B49,고객사!$A$5:$A$104,0)),0))</f>
        <v>390000</v>
      </c>
      <c r="O49" s="22" t="n">
        <f aca="false">IF($B49="","",G49*N49)</f>
        <v>7800000</v>
      </c>
      <c r="P49" s="22" t="n">
        <f aca="false">IF($B49="","",IFERROR(INDEX(고객사!$K$5:$K$104,MATCH($B49,고객사!$A$5:$A$104,0)),0))</f>
        <v>305000</v>
      </c>
      <c r="Q49" s="22" t="n">
        <f aca="false">IF($B49="","",G49*P49)</f>
        <v>6100000</v>
      </c>
      <c r="R49" s="22" t="n">
        <f aca="false">IF($B49="","",O49-Q49-L49)</f>
        <v>1700000</v>
      </c>
      <c r="S49" s="21" t="n">
        <f aca="false">IF(OR($B49="",N(O49)=0),"",R49/O49)</f>
        <v>0.217948717948718</v>
      </c>
      <c r="T49" s="14"/>
      <c r="U49" s="19" t="n">
        <f aca="false">IF(OR($B49="",$A49=""),0,IF(COUNTIFS($A$5:$A49,$A49,$B$5:$B49,$B49)=1,1,0))</f>
        <v>1</v>
      </c>
    </row>
    <row r="50" customFormat="false" ht="15" hidden="false" customHeight="false" outlineLevel="0" collapsed="false">
      <c r="A50" s="17" t="n">
        <v>46276</v>
      </c>
      <c r="B50" s="13" t="s">
        <v>36</v>
      </c>
      <c r="C50" s="20" t="str">
        <f aca="false">IF($B50="","",IFERROR(INDEX(고객사!$B$5:$B$104,MATCH($B50,고객사!$A$5:$A$104,0)),"코드 확인"))</f>
        <v>예시) 한빛전자 비나</v>
      </c>
      <c r="D50" s="15" t="s">
        <v>93</v>
      </c>
      <c r="E50" s="15" t="s">
        <v>94</v>
      </c>
      <c r="F50" s="16" t="n">
        <v>40</v>
      </c>
      <c r="G50" s="16" t="n">
        <v>39</v>
      </c>
      <c r="H50" s="21" t="n">
        <f aca="false">IF(OR($B50="",F50=0),"",G50/F50)</f>
        <v>0.975</v>
      </c>
      <c r="I50" s="22" t="n">
        <f aca="false">IF($B50="","",MAX(F50-G50,0))</f>
        <v>1</v>
      </c>
      <c r="J50" s="23" t="str">
        <f aca="false">IF($B50="","",IFERROR(INDEX(고객사!$G$5:$G$104,MATCH($B50,고객사!$A$5:$A$104,0)),""))</f>
        <v>Y</v>
      </c>
      <c r="K50" s="16" t="n">
        <v>0</v>
      </c>
      <c r="L50" s="22" t="n">
        <f aca="false">IF($B50="","",K50*IFERROR(INDEX(고객사!$L$5:$L$104,MATCH($B50,고객사!$A$5:$A$104,0)),0))</f>
        <v>0</v>
      </c>
      <c r="M50" s="23" t="str">
        <f aca="false">IF($B50="","",IF(AND(J50="N",G50&gt;0,K50=0,IFERROR(INDEX(고객사!$H$5:$H$104,MATCH($B50,고객사!$A$5:$A$104,0)),"")="자사 차량 운행"),"차량 미배정",""))</f>
        <v/>
      </c>
      <c r="N50" s="22" t="n">
        <f aca="false">IF($B50="","",IFERROR(INDEX(고객사!$J$5:$J$104,MATCH($B50,고객사!$A$5:$A$104,0)),0))</f>
        <v>420000</v>
      </c>
      <c r="O50" s="22" t="n">
        <f aca="false">IF($B50="","",G50*N50)</f>
        <v>16380000</v>
      </c>
      <c r="P50" s="22" t="n">
        <f aca="false">IF($B50="","",IFERROR(INDEX(고객사!$K$5:$K$104,MATCH($B50,고객사!$A$5:$A$104,0)),0))</f>
        <v>330000</v>
      </c>
      <c r="Q50" s="22" t="n">
        <f aca="false">IF($B50="","",G50*P50)</f>
        <v>12870000</v>
      </c>
      <c r="R50" s="22" t="n">
        <f aca="false">IF($B50="","",O50-Q50-L50)</f>
        <v>3510000</v>
      </c>
      <c r="S50" s="21" t="n">
        <f aca="false">IF(OR($B50="",N(O50)=0),"",R50/O50)</f>
        <v>0.214285714285714</v>
      </c>
      <c r="T50" s="14"/>
      <c r="U50" s="19" t="n">
        <f aca="false">IF(OR($B50="",$A50=""),0,IF(COUNTIFS($A$5:$A50,$A50,$B$5:$B50,$B50)=1,1,0))</f>
        <v>1</v>
      </c>
    </row>
    <row r="51" customFormat="false" ht="15" hidden="false" customHeight="false" outlineLevel="0" collapsed="false">
      <c r="A51" s="17" t="n">
        <v>46276</v>
      </c>
      <c r="B51" s="13" t="s">
        <v>36</v>
      </c>
      <c r="C51" s="20" t="str">
        <f aca="false">IF($B51="","",IFERROR(INDEX(고객사!$B$5:$B$104,MATCH($B51,고객사!$A$5:$A$104,0)),"코드 확인"))</f>
        <v>예시) 한빛전자 비나</v>
      </c>
      <c r="D51" s="15" t="s">
        <v>96</v>
      </c>
      <c r="E51" s="15" t="s">
        <v>97</v>
      </c>
      <c r="F51" s="16" t="n">
        <v>12</v>
      </c>
      <c r="G51" s="16" t="n">
        <v>11</v>
      </c>
      <c r="H51" s="21" t="n">
        <f aca="false">IF(OR($B51="",F51=0),"",G51/F51)</f>
        <v>0.916666666666667</v>
      </c>
      <c r="I51" s="22" t="n">
        <f aca="false">IF($B51="","",MAX(F51-G51,0))</f>
        <v>1</v>
      </c>
      <c r="J51" s="23" t="str">
        <f aca="false">IF($B51="","",IFERROR(INDEX(고객사!$G$5:$G$104,MATCH($B51,고객사!$A$5:$A$104,0)),""))</f>
        <v>Y</v>
      </c>
      <c r="K51" s="16" t="n">
        <v>0</v>
      </c>
      <c r="L51" s="22" t="n">
        <f aca="false">IF($B51="","",K51*IFERROR(INDEX(고객사!$L$5:$L$104,MATCH($B51,고객사!$A$5:$A$104,0)),0))</f>
        <v>0</v>
      </c>
      <c r="M51" s="23" t="str">
        <f aca="false">IF($B51="","",IF(AND(J51="N",G51&gt;0,K51=0,IFERROR(INDEX(고객사!$H$5:$H$104,MATCH($B51,고객사!$A$5:$A$104,0)),"")="자사 차량 운행"),"차량 미배정",""))</f>
        <v/>
      </c>
      <c r="N51" s="22" t="n">
        <f aca="false">IF($B51="","",IFERROR(INDEX(고객사!$J$5:$J$104,MATCH($B51,고객사!$A$5:$A$104,0)),0))</f>
        <v>420000</v>
      </c>
      <c r="O51" s="22" t="n">
        <f aca="false">IF($B51="","",G51*N51)</f>
        <v>4620000</v>
      </c>
      <c r="P51" s="22" t="n">
        <f aca="false">IF($B51="","",IFERROR(INDEX(고객사!$K$5:$K$104,MATCH($B51,고객사!$A$5:$A$104,0)),0))</f>
        <v>330000</v>
      </c>
      <c r="Q51" s="22" t="n">
        <f aca="false">IF($B51="","",G51*P51)</f>
        <v>3630000</v>
      </c>
      <c r="R51" s="22" t="n">
        <f aca="false">IF($B51="","",O51-Q51-L51)</f>
        <v>990000</v>
      </c>
      <c r="S51" s="21" t="n">
        <f aca="false">IF(OR($B51="",N(O51)=0),"",R51/O51)</f>
        <v>0.214285714285714</v>
      </c>
      <c r="T51" s="14"/>
      <c r="U51" s="19" t="n">
        <f aca="false">IF(OR($B51="",$A51=""),0,IF(COUNTIFS($A$5:$A51,$A51,$B$5:$B51,$B51)=1,1,0))</f>
        <v>0</v>
      </c>
    </row>
    <row r="52" customFormat="false" ht="15" hidden="false" customHeight="false" outlineLevel="0" collapsed="false">
      <c r="A52" s="17" t="n">
        <v>46276</v>
      </c>
      <c r="B52" s="13" t="s">
        <v>46</v>
      </c>
      <c r="C52" s="20" t="str">
        <f aca="false">IF($B52="","",IFERROR(INDEX(고객사!$B$5:$B$104,MATCH($B52,고객사!$A$5:$A$104,0)),"코드 확인"))</f>
        <v>예시) 대성섬유 VN</v>
      </c>
      <c r="D52" s="15" t="s">
        <v>49</v>
      </c>
      <c r="E52" s="15" t="s">
        <v>94</v>
      </c>
      <c r="F52" s="16" t="n">
        <v>30</v>
      </c>
      <c r="G52" s="16" t="n">
        <v>30</v>
      </c>
      <c r="H52" s="21" t="n">
        <f aca="false">IF(OR($B52="",F52=0),"",G52/F52)</f>
        <v>1</v>
      </c>
      <c r="I52" s="22" t="n">
        <f aca="false">IF($B52="","",MAX(F52-G52,0))</f>
        <v>0</v>
      </c>
      <c r="J52" s="23" t="str">
        <f aca="false">IF($B52="","",IFERROR(INDEX(고객사!$G$5:$G$104,MATCH($B52,고객사!$A$5:$A$104,0)),""))</f>
        <v>N</v>
      </c>
      <c r="K52" s="16" t="n">
        <v>1</v>
      </c>
      <c r="L52" s="22" t="n">
        <f aca="false">IF($B52="","",K52*IFERROR(INDEX(고객사!$L$5:$L$104,MATCH($B52,고객사!$A$5:$A$104,0)),0))</f>
        <v>1200000</v>
      </c>
      <c r="M52" s="23" t="str">
        <f aca="false">IF($B52="","",IF(AND(J52="N",G52&gt;0,K52=0,IFERROR(INDEX(고객사!$H$5:$H$104,MATCH($B52,고객사!$A$5:$A$104,0)),"")="자사 차량 운행"),"차량 미배정",""))</f>
        <v/>
      </c>
      <c r="N52" s="22" t="n">
        <f aca="false">IF($B52="","",IFERROR(INDEX(고객사!$J$5:$J$104,MATCH($B52,고객사!$A$5:$A$104,0)),0))</f>
        <v>380000</v>
      </c>
      <c r="O52" s="22" t="n">
        <f aca="false">IF($B52="","",G52*N52)</f>
        <v>11400000</v>
      </c>
      <c r="P52" s="22" t="n">
        <f aca="false">IF($B52="","",IFERROR(INDEX(고객사!$K$5:$K$104,MATCH($B52,고객사!$A$5:$A$104,0)),0))</f>
        <v>300000</v>
      </c>
      <c r="Q52" s="22" t="n">
        <f aca="false">IF($B52="","",G52*P52)</f>
        <v>9000000</v>
      </c>
      <c r="R52" s="22" t="n">
        <f aca="false">IF($B52="","",O52-Q52-L52)</f>
        <v>1200000</v>
      </c>
      <c r="S52" s="21" t="n">
        <f aca="false">IF(OR($B52="",N(O52)=0),"",R52/O52)</f>
        <v>0.105263157894737</v>
      </c>
      <c r="T52" s="14"/>
      <c r="U52" s="19" t="n">
        <f aca="false">IF(OR($B52="",$A52=""),0,IF(COUNTIFS($A$5:$A52,$A52,$B$5:$B52,$B52)=1,1,0))</f>
        <v>1</v>
      </c>
    </row>
    <row r="53" customFormat="false" ht="15" hidden="false" customHeight="false" outlineLevel="0" collapsed="false">
      <c r="A53" s="17" t="n">
        <v>46276</v>
      </c>
      <c r="B53" s="13" t="s">
        <v>56</v>
      </c>
      <c r="C53" s="20" t="str">
        <f aca="false">IF($B53="","",IFERROR(INDEX(고객사!$B$5:$B$104,MATCH($B53,고객사!$A$5:$A$104,0)),"코드 확인"))</f>
        <v>예시) 그린물류 하노이</v>
      </c>
      <c r="D53" s="15" t="s">
        <v>98</v>
      </c>
      <c r="E53" s="15" t="s">
        <v>94</v>
      </c>
      <c r="F53" s="16" t="n">
        <v>18</v>
      </c>
      <c r="G53" s="16" t="n">
        <v>17</v>
      </c>
      <c r="H53" s="21" t="n">
        <f aca="false">IF(OR($B53="",F53=0),"",G53/F53)</f>
        <v>0.944444444444444</v>
      </c>
      <c r="I53" s="22" t="n">
        <f aca="false">IF($B53="","",MAX(F53-G53,0))</f>
        <v>1</v>
      </c>
      <c r="J53" s="23" t="str">
        <f aca="false">IF($B53="","",IFERROR(INDEX(고객사!$G$5:$G$104,MATCH($B53,고객사!$A$5:$A$104,0)),""))</f>
        <v>N</v>
      </c>
      <c r="K53" s="16" t="n">
        <v>0</v>
      </c>
      <c r="L53" s="22" t="n">
        <f aca="false">IF($B53="","",K53*IFERROR(INDEX(고객사!$L$5:$L$104,MATCH($B53,고객사!$A$5:$A$104,0)),0))</f>
        <v>0</v>
      </c>
      <c r="M53" s="23" t="str">
        <f aca="false">IF($B53="","",IF(AND(J53="N",G53&gt;0,K53=0,IFERROR(INDEX(고객사!$H$5:$H$104,MATCH($B53,고객사!$A$5:$A$104,0)),"")="자사 차량 운행"),"차량 미배정",""))</f>
        <v/>
      </c>
      <c r="N53" s="22" t="n">
        <f aca="false">IF($B53="","",IFERROR(INDEX(고객사!$J$5:$J$104,MATCH($B53,고객사!$A$5:$A$104,0)),0))</f>
        <v>400000</v>
      </c>
      <c r="O53" s="22" t="n">
        <f aca="false">IF($B53="","",G53*N53)</f>
        <v>6800000</v>
      </c>
      <c r="P53" s="22" t="n">
        <f aca="false">IF($B53="","",IFERROR(INDEX(고객사!$K$5:$K$104,MATCH($B53,고객사!$A$5:$A$104,0)),0))</f>
        <v>315000</v>
      </c>
      <c r="Q53" s="22" t="n">
        <f aca="false">IF($B53="","",G53*P53)</f>
        <v>5355000</v>
      </c>
      <c r="R53" s="22" t="n">
        <f aca="false">IF($B53="","",O53-Q53-L53)</f>
        <v>1445000</v>
      </c>
      <c r="S53" s="21" t="n">
        <f aca="false">IF(OR($B53="",N(O53)=0),"",R53/O53)</f>
        <v>0.2125</v>
      </c>
      <c r="T53" s="14"/>
      <c r="U53" s="19" t="n">
        <f aca="false">IF(OR($B53="",$A53=""),0,IF(COUNTIFS($A$5:$A53,$A53,$B$5:$B53,$B53)=1,1,0))</f>
        <v>1</v>
      </c>
    </row>
    <row r="54" customFormat="false" ht="15" hidden="false" customHeight="false" outlineLevel="0" collapsed="false">
      <c r="A54" s="17" t="n">
        <v>46276</v>
      </c>
      <c r="B54" s="13" t="s">
        <v>64</v>
      </c>
      <c r="C54" s="20" t="str">
        <f aca="false">IF($B54="","",IFERROR(INDEX(고객사!$B$5:$B$104,MATCH($B54,고객사!$A$5:$A$104,0)),"코드 확인"))</f>
        <v>예시) 미래식품 빈즈엉</v>
      </c>
      <c r="D54" s="15" t="s">
        <v>99</v>
      </c>
      <c r="E54" s="13" t="s">
        <v>100</v>
      </c>
      <c r="F54" s="16" t="n">
        <v>22</v>
      </c>
      <c r="G54" s="16" t="n">
        <v>22</v>
      </c>
      <c r="H54" s="21" t="n">
        <f aca="false">IF(OR($B54="",F54=0),"",G54/F54)</f>
        <v>1</v>
      </c>
      <c r="I54" s="22" t="n">
        <f aca="false">IF($B54="","",MAX(F54-G54,0))</f>
        <v>0</v>
      </c>
      <c r="J54" s="23" t="str">
        <f aca="false">IF($B54="","",IFERROR(INDEX(고객사!$G$5:$G$104,MATCH($B54,고객사!$A$5:$A$104,0)),""))</f>
        <v>Y</v>
      </c>
      <c r="K54" s="16" t="n">
        <v>0</v>
      </c>
      <c r="L54" s="22" t="n">
        <f aca="false">IF($B54="","",K54*IFERROR(INDEX(고객사!$L$5:$L$104,MATCH($B54,고객사!$A$5:$A$104,0)),0))</f>
        <v>0</v>
      </c>
      <c r="M54" s="23" t="str">
        <f aca="false">IF($B54="","",IF(AND(J54="N",G54&gt;0,K54=0,IFERROR(INDEX(고객사!$H$5:$H$104,MATCH($B54,고객사!$A$5:$A$104,0)),"")="자사 차량 운행"),"차량 미배정",""))</f>
        <v/>
      </c>
      <c r="N54" s="22" t="n">
        <f aca="false">IF($B54="","",IFERROR(INDEX(고객사!$J$5:$J$104,MATCH($B54,고객사!$A$5:$A$104,0)),0))</f>
        <v>390000</v>
      </c>
      <c r="O54" s="22" t="n">
        <f aca="false">IF($B54="","",G54*N54)</f>
        <v>8580000</v>
      </c>
      <c r="P54" s="22" t="n">
        <f aca="false">IF($B54="","",IFERROR(INDEX(고객사!$K$5:$K$104,MATCH($B54,고객사!$A$5:$A$104,0)),0))</f>
        <v>305000</v>
      </c>
      <c r="Q54" s="22" t="n">
        <f aca="false">IF($B54="","",G54*P54)</f>
        <v>6710000</v>
      </c>
      <c r="R54" s="22" t="n">
        <f aca="false">IF($B54="","",O54-Q54-L54)</f>
        <v>1870000</v>
      </c>
      <c r="S54" s="21" t="n">
        <f aca="false">IF(OR($B54="",N(O54)=0),"",R54/O54)</f>
        <v>0.217948717948718</v>
      </c>
      <c r="T54" s="14"/>
      <c r="U54" s="19" t="n">
        <f aca="false">IF(OR($B54="",$A54=""),0,IF(COUNTIFS($A$5:$A54,$A54,$B$5:$B54,$B54)=1,1,0))</f>
        <v>1</v>
      </c>
    </row>
    <row r="55" customFormat="false" ht="15" hidden="false" customHeight="false" outlineLevel="0" collapsed="false">
      <c r="A55" s="17" t="n">
        <v>46277</v>
      </c>
      <c r="B55" s="13" t="s">
        <v>36</v>
      </c>
      <c r="C55" s="20" t="str">
        <f aca="false">IF($B55="","",IFERROR(INDEX(고객사!$B$5:$B$104,MATCH($B55,고객사!$A$5:$A$104,0)),"코드 확인"))</f>
        <v>예시) 한빛전자 비나</v>
      </c>
      <c r="D55" s="15" t="s">
        <v>93</v>
      </c>
      <c r="E55" s="15" t="s">
        <v>94</v>
      </c>
      <c r="F55" s="16" t="n">
        <v>40</v>
      </c>
      <c r="G55" s="16" t="n">
        <v>39</v>
      </c>
      <c r="H55" s="21" t="n">
        <f aca="false">IF(OR($B55="",F55=0),"",G55/F55)</f>
        <v>0.975</v>
      </c>
      <c r="I55" s="22" t="n">
        <f aca="false">IF($B55="","",MAX(F55-G55,0))</f>
        <v>1</v>
      </c>
      <c r="J55" s="23" t="str">
        <f aca="false">IF($B55="","",IFERROR(INDEX(고객사!$G$5:$G$104,MATCH($B55,고객사!$A$5:$A$104,0)),""))</f>
        <v>Y</v>
      </c>
      <c r="K55" s="16" t="n">
        <v>0</v>
      </c>
      <c r="L55" s="22" t="n">
        <f aca="false">IF($B55="","",K55*IFERROR(INDEX(고객사!$L$5:$L$104,MATCH($B55,고객사!$A$5:$A$104,0)),0))</f>
        <v>0</v>
      </c>
      <c r="M55" s="23" t="str">
        <f aca="false">IF($B55="","",IF(AND(J55="N",G55&gt;0,K55=0,IFERROR(INDEX(고객사!$H$5:$H$104,MATCH($B55,고객사!$A$5:$A$104,0)),"")="자사 차량 운행"),"차량 미배정",""))</f>
        <v/>
      </c>
      <c r="N55" s="22" t="n">
        <f aca="false">IF($B55="","",IFERROR(INDEX(고객사!$J$5:$J$104,MATCH($B55,고객사!$A$5:$A$104,0)),0))</f>
        <v>420000</v>
      </c>
      <c r="O55" s="22" t="n">
        <f aca="false">IF($B55="","",G55*N55)</f>
        <v>16380000</v>
      </c>
      <c r="P55" s="22" t="n">
        <f aca="false">IF($B55="","",IFERROR(INDEX(고객사!$K$5:$K$104,MATCH($B55,고객사!$A$5:$A$104,0)),0))</f>
        <v>330000</v>
      </c>
      <c r="Q55" s="22" t="n">
        <f aca="false">IF($B55="","",G55*P55)</f>
        <v>12870000</v>
      </c>
      <c r="R55" s="22" t="n">
        <f aca="false">IF($B55="","",O55-Q55-L55)</f>
        <v>3510000</v>
      </c>
      <c r="S55" s="21" t="n">
        <f aca="false">IF(OR($B55="",N(O55)=0),"",R55/O55)</f>
        <v>0.214285714285714</v>
      </c>
      <c r="T55" s="14"/>
      <c r="U55" s="19" t="n">
        <f aca="false">IF(OR($B55="",$A55=""),0,IF(COUNTIFS($A$5:$A55,$A55,$B$5:$B55,$B55)=1,1,0))</f>
        <v>1</v>
      </c>
    </row>
    <row r="56" customFormat="false" ht="15" hidden="false" customHeight="false" outlineLevel="0" collapsed="false">
      <c r="A56" s="17" t="n">
        <v>46277</v>
      </c>
      <c r="B56" s="13" t="s">
        <v>36</v>
      </c>
      <c r="C56" s="20" t="str">
        <f aca="false">IF($B56="","",IFERROR(INDEX(고객사!$B$5:$B$104,MATCH($B56,고객사!$A$5:$A$104,0)),"코드 확인"))</f>
        <v>예시) 한빛전자 비나</v>
      </c>
      <c r="D56" s="15" t="s">
        <v>96</v>
      </c>
      <c r="E56" s="15" t="s">
        <v>97</v>
      </c>
      <c r="F56" s="16" t="n">
        <v>12</v>
      </c>
      <c r="G56" s="16" t="n">
        <v>7</v>
      </c>
      <c r="H56" s="21" t="n">
        <f aca="false">IF(OR($B56="",F56=0),"",G56/F56)</f>
        <v>0.583333333333333</v>
      </c>
      <c r="I56" s="22" t="n">
        <f aca="false">IF($B56="","",MAX(F56-G56,0))</f>
        <v>5</v>
      </c>
      <c r="J56" s="23" t="str">
        <f aca="false">IF($B56="","",IFERROR(INDEX(고객사!$G$5:$G$104,MATCH($B56,고객사!$A$5:$A$104,0)),""))</f>
        <v>Y</v>
      </c>
      <c r="K56" s="16" t="n">
        <v>0</v>
      </c>
      <c r="L56" s="22" t="n">
        <f aca="false">IF($B56="","",K56*IFERROR(INDEX(고객사!$L$5:$L$104,MATCH($B56,고객사!$A$5:$A$104,0)),0))</f>
        <v>0</v>
      </c>
      <c r="M56" s="23" t="str">
        <f aca="false">IF($B56="","",IF(AND(J56="N",G56&gt;0,K56=0,IFERROR(INDEX(고객사!$H$5:$H$104,MATCH($B56,고객사!$A$5:$A$104,0)),"")="자사 차량 운행"),"차량 미배정",""))</f>
        <v/>
      </c>
      <c r="N56" s="22" t="n">
        <f aca="false">IF($B56="","",IFERROR(INDEX(고객사!$J$5:$J$104,MATCH($B56,고객사!$A$5:$A$104,0)),0))</f>
        <v>420000</v>
      </c>
      <c r="O56" s="22" t="n">
        <f aca="false">IF($B56="","",G56*N56)</f>
        <v>2940000</v>
      </c>
      <c r="P56" s="22" t="n">
        <f aca="false">IF($B56="","",IFERROR(INDEX(고객사!$K$5:$K$104,MATCH($B56,고객사!$A$5:$A$104,0)),0))</f>
        <v>330000</v>
      </c>
      <c r="Q56" s="22" t="n">
        <f aca="false">IF($B56="","",G56*P56)</f>
        <v>2310000</v>
      </c>
      <c r="R56" s="22" t="n">
        <f aca="false">IF($B56="","",O56-Q56-L56)</f>
        <v>630000</v>
      </c>
      <c r="S56" s="21" t="n">
        <f aca="false">IF(OR($B56="",N(O56)=0),"",R56/O56)</f>
        <v>0.214285714285714</v>
      </c>
      <c r="T56" s="14"/>
      <c r="U56" s="19" t="n">
        <f aca="false">IF(OR($B56="",$A56=""),0,IF(COUNTIFS($A$5:$A56,$A56,$B$5:$B56,$B56)=1,1,0))</f>
        <v>0</v>
      </c>
    </row>
    <row r="57" customFormat="false" ht="15" hidden="false" customHeight="false" outlineLevel="0" collapsed="false">
      <c r="A57" s="17" t="n">
        <v>46277</v>
      </c>
      <c r="B57" s="13" t="s">
        <v>46</v>
      </c>
      <c r="C57" s="20" t="str">
        <f aca="false">IF($B57="","",IFERROR(INDEX(고객사!$B$5:$B$104,MATCH($B57,고객사!$A$5:$A$104,0)),"코드 확인"))</f>
        <v>예시) 대성섬유 VN</v>
      </c>
      <c r="D57" s="15" t="s">
        <v>49</v>
      </c>
      <c r="E57" s="15" t="s">
        <v>94</v>
      </c>
      <c r="F57" s="16" t="n">
        <v>30</v>
      </c>
      <c r="G57" s="16" t="n">
        <v>28</v>
      </c>
      <c r="H57" s="21" t="n">
        <f aca="false">IF(OR($B57="",F57=0),"",G57/F57)</f>
        <v>0.933333333333333</v>
      </c>
      <c r="I57" s="22" t="n">
        <f aca="false">IF($B57="","",MAX(F57-G57,0))</f>
        <v>2</v>
      </c>
      <c r="J57" s="23" t="str">
        <f aca="false">IF($B57="","",IFERROR(INDEX(고객사!$G$5:$G$104,MATCH($B57,고객사!$A$5:$A$104,0)),""))</f>
        <v>N</v>
      </c>
      <c r="K57" s="16" t="n">
        <v>1</v>
      </c>
      <c r="L57" s="22" t="n">
        <f aca="false">IF($B57="","",K57*IFERROR(INDEX(고객사!$L$5:$L$104,MATCH($B57,고객사!$A$5:$A$104,0)),0))</f>
        <v>1200000</v>
      </c>
      <c r="M57" s="23" t="str">
        <f aca="false">IF($B57="","",IF(AND(J57="N",G57&gt;0,K57=0,IFERROR(INDEX(고객사!$H$5:$H$104,MATCH($B57,고객사!$A$5:$A$104,0)),"")="자사 차량 운행"),"차량 미배정",""))</f>
        <v/>
      </c>
      <c r="N57" s="22" t="n">
        <f aca="false">IF($B57="","",IFERROR(INDEX(고객사!$J$5:$J$104,MATCH($B57,고객사!$A$5:$A$104,0)),0))</f>
        <v>380000</v>
      </c>
      <c r="O57" s="22" t="n">
        <f aca="false">IF($B57="","",G57*N57)</f>
        <v>10640000</v>
      </c>
      <c r="P57" s="22" t="n">
        <f aca="false">IF($B57="","",IFERROR(INDEX(고객사!$K$5:$K$104,MATCH($B57,고객사!$A$5:$A$104,0)),0))</f>
        <v>300000</v>
      </c>
      <c r="Q57" s="22" t="n">
        <f aca="false">IF($B57="","",G57*P57)</f>
        <v>8400000</v>
      </c>
      <c r="R57" s="22" t="n">
        <f aca="false">IF($B57="","",O57-Q57-L57)</f>
        <v>1040000</v>
      </c>
      <c r="S57" s="21" t="n">
        <f aca="false">IF(OR($B57="",N(O57)=0),"",R57/O57)</f>
        <v>0.0977443609022556</v>
      </c>
      <c r="T57" s="14"/>
      <c r="U57" s="19" t="n">
        <f aca="false">IF(OR($B57="",$A57=""),0,IF(COUNTIFS($A$5:$A57,$A57,$B$5:$B57,$B57)=1,1,0))</f>
        <v>1</v>
      </c>
    </row>
    <row r="58" customFormat="false" ht="15" hidden="false" customHeight="false" outlineLevel="0" collapsed="false">
      <c r="A58" s="17" t="n">
        <v>46277</v>
      </c>
      <c r="B58" s="13" t="s">
        <v>56</v>
      </c>
      <c r="C58" s="20" t="str">
        <f aca="false">IF($B58="","",IFERROR(INDEX(고객사!$B$5:$B$104,MATCH($B58,고객사!$A$5:$A$104,0)),"코드 확인"))</f>
        <v>예시) 그린물류 하노이</v>
      </c>
      <c r="D58" s="15" t="s">
        <v>98</v>
      </c>
      <c r="E58" s="15" t="s">
        <v>94</v>
      </c>
      <c r="F58" s="16" t="n">
        <v>18</v>
      </c>
      <c r="G58" s="16" t="n">
        <v>13</v>
      </c>
      <c r="H58" s="21" t="n">
        <f aca="false">IF(OR($B58="",F58=0),"",G58/F58)</f>
        <v>0.722222222222222</v>
      </c>
      <c r="I58" s="22" t="n">
        <f aca="false">IF($B58="","",MAX(F58-G58,0))</f>
        <v>5</v>
      </c>
      <c r="J58" s="23" t="str">
        <f aca="false">IF($B58="","",IFERROR(INDEX(고객사!$G$5:$G$104,MATCH($B58,고객사!$A$5:$A$104,0)),""))</f>
        <v>N</v>
      </c>
      <c r="K58" s="16" t="n">
        <v>0</v>
      </c>
      <c r="L58" s="22" t="n">
        <f aca="false">IF($B58="","",K58*IFERROR(INDEX(고객사!$L$5:$L$104,MATCH($B58,고객사!$A$5:$A$104,0)),0))</f>
        <v>0</v>
      </c>
      <c r="M58" s="23" t="str">
        <f aca="false">IF($B58="","",IF(AND(J58="N",G58&gt;0,K58=0,IFERROR(INDEX(고객사!$H$5:$H$104,MATCH($B58,고객사!$A$5:$A$104,0)),"")="자사 차량 운행"),"차량 미배정",""))</f>
        <v/>
      </c>
      <c r="N58" s="22" t="n">
        <f aca="false">IF($B58="","",IFERROR(INDEX(고객사!$J$5:$J$104,MATCH($B58,고객사!$A$5:$A$104,0)),0))</f>
        <v>400000</v>
      </c>
      <c r="O58" s="22" t="n">
        <f aca="false">IF($B58="","",G58*N58)</f>
        <v>5200000</v>
      </c>
      <c r="P58" s="22" t="n">
        <f aca="false">IF($B58="","",IFERROR(INDEX(고객사!$K$5:$K$104,MATCH($B58,고객사!$A$5:$A$104,0)),0))</f>
        <v>315000</v>
      </c>
      <c r="Q58" s="22" t="n">
        <f aca="false">IF($B58="","",G58*P58)</f>
        <v>4095000</v>
      </c>
      <c r="R58" s="22" t="n">
        <f aca="false">IF($B58="","",O58-Q58-L58)</f>
        <v>1105000</v>
      </c>
      <c r="S58" s="21" t="n">
        <f aca="false">IF(OR($B58="",N(O58)=0),"",R58/O58)</f>
        <v>0.2125</v>
      </c>
      <c r="T58" s="14"/>
      <c r="U58" s="19" t="n">
        <f aca="false">IF(OR($B58="",$A58=""),0,IF(COUNTIFS($A$5:$A58,$A58,$B$5:$B58,$B58)=1,1,0))</f>
        <v>1</v>
      </c>
    </row>
    <row r="59" customFormat="false" ht="15" hidden="false" customHeight="false" outlineLevel="0" collapsed="false">
      <c r="A59" s="17" t="n">
        <v>46277</v>
      </c>
      <c r="B59" s="13" t="s">
        <v>64</v>
      </c>
      <c r="C59" s="20" t="str">
        <f aca="false">IF($B59="","",IFERROR(INDEX(고객사!$B$5:$B$104,MATCH($B59,고객사!$A$5:$A$104,0)),"코드 확인"))</f>
        <v>예시) 미래식품 빈즈엉</v>
      </c>
      <c r="D59" s="15" t="s">
        <v>99</v>
      </c>
      <c r="E59" s="13" t="s">
        <v>100</v>
      </c>
      <c r="F59" s="16" t="n">
        <v>22</v>
      </c>
      <c r="G59" s="16" t="n">
        <v>21</v>
      </c>
      <c r="H59" s="21" t="n">
        <f aca="false">IF(OR($B59="",F59=0),"",G59/F59)</f>
        <v>0.954545454545455</v>
      </c>
      <c r="I59" s="22" t="n">
        <f aca="false">IF($B59="","",MAX(F59-G59,0))</f>
        <v>1</v>
      </c>
      <c r="J59" s="23" t="str">
        <f aca="false">IF($B59="","",IFERROR(INDEX(고객사!$G$5:$G$104,MATCH($B59,고객사!$A$5:$A$104,0)),""))</f>
        <v>Y</v>
      </c>
      <c r="K59" s="16" t="n">
        <v>0</v>
      </c>
      <c r="L59" s="22" t="n">
        <f aca="false">IF($B59="","",K59*IFERROR(INDEX(고객사!$L$5:$L$104,MATCH($B59,고객사!$A$5:$A$104,0)),0))</f>
        <v>0</v>
      </c>
      <c r="M59" s="23" t="str">
        <f aca="false">IF($B59="","",IF(AND(J59="N",G59&gt;0,K59=0,IFERROR(INDEX(고객사!$H$5:$H$104,MATCH($B59,고객사!$A$5:$A$104,0)),"")="자사 차량 운행"),"차량 미배정",""))</f>
        <v/>
      </c>
      <c r="N59" s="22" t="n">
        <f aca="false">IF($B59="","",IFERROR(INDEX(고객사!$J$5:$J$104,MATCH($B59,고객사!$A$5:$A$104,0)),0))</f>
        <v>390000</v>
      </c>
      <c r="O59" s="22" t="n">
        <f aca="false">IF($B59="","",G59*N59)</f>
        <v>8190000</v>
      </c>
      <c r="P59" s="22" t="n">
        <f aca="false">IF($B59="","",IFERROR(INDEX(고객사!$K$5:$K$104,MATCH($B59,고객사!$A$5:$A$104,0)),0))</f>
        <v>305000</v>
      </c>
      <c r="Q59" s="22" t="n">
        <f aca="false">IF($B59="","",G59*P59)</f>
        <v>6405000</v>
      </c>
      <c r="R59" s="22" t="n">
        <f aca="false">IF($B59="","",O59-Q59-L59)</f>
        <v>1785000</v>
      </c>
      <c r="S59" s="21" t="n">
        <f aca="false">IF(OR($B59="",N(O59)=0),"",R59/O59)</f>
        <v>0.217948717948718</v>
      </c>
      <c r="T59" s="14"/>
      <c r="U59" s="19" t="n">
        <f aca="false">IF(OR($B59="",$A59=""),0,IF(COUNTIFS($A$5:$A59,$A59,$B$5:$B59,$B59)=1,1,0))</f>
        <v>1</v>
      </c>
    </row>
    <row r="60" customFormat="false" ht="15" hidden="false" customHeight="false" outlineLevel="0" collapsed="false">
      <c r="A60" s="17" t="n">
        <v>46279</v>
      </c>
      <c r="B60" s="13" t="s">
        <v>36</v>
      </c>
      <c r="C60" s="20" t="str">
        <f aca="false">IF($B60="","",IFERROR(INDEX(고객사!$B$5:$B$104,MATCH($B60,고객사!$A$5:$A$104,0)),"코드 확인"))</f>
        <v>예시) 한빛전자 비나</v>
      </c>
      <c r="D60" s="15" t="s">
        <v>93</v>
      </c>
      <c r="E60" s="15" t="s">
        <v>94</v>
      </c>
      <c r="F60" s="16" t="n">
        <v>40</v>
      </c>
      <c r="G60" s="16" t="n">
        <v>40</v>
      </c>
      <c r="H60" s="21" t="n">
        <f aca="false">IF(OR($B60="",F60=0),"",G60/F60)</f>
        <v>1</v>
      </c>
      <c r="I60" s="22" t="n">
        <f aca="false">IF($B60="","",MAX(F60-G60,0))</f>
        <v>0</v>
      </c>
      <c r="J60" s="23" t="str">
        <f aca="false">IF($B60="","",IFERROR(INDEX(고객사!$G$5:$G$104,MATCH($B60,고객사!$A$5:$A$104,0)),""))</f>
        <v>Y</v>
      </c>
      <c r="K60" s="16" t="n">
        <v>0</v>
      </c>
      <c r="L60" s="22" t="n">
        <f aca="false">IF($B60="","",K60*IFERROR(INDEX(고객사!$L$5:$L$104,MATCH($B60,고객사!$A$5:$A$104,0)),0))</f>
        <v>0</v>
      </c>
      <c r="M60" s="23" t="str">
        <f aca="false">IF($B60="","",IF(AND(J60="N",G60&gt;0,K60=0,IFERROR(INDEX(고객사!$H$5:$H$104,MATCH($B60,고객사!$A$5:$A$104,0)),"")="자사 차량 운행"),"차량 미배정",""))</f>
        <v/>
      </c>
      <c r="N60" s="22" t="n">
        <f aca="false">IF($B60="","",IFERROR(INDEX(고객사!$J$5:$J$104,MATCH($B60,고객사!$A$5:$A$104,0)),0))</f>
        <v>420000</v>
      </c>
      <c r="O60" s="22" t="n">
        <f aca="false">IF($B60="","",G60*N60)</f>
        <v>16800000</v>
      </c>
      <c r="P60" s="22" t="n">
        <f aca="false">IF($B60="","",IFERROR(INDEX(고객사!$K$5:$K$104,MATCH($B60,고객사!$A$5:$A$104,0)),0))</f>
        <v>330000</v>
      </c>
      <c r="Q60" s="22" t="n">
        <f aca="false">IF($B60="","",G60*P60)</f>
        <v>13200000</v>
      </c>
      <c r="R60" s="22" t="n">
        <f aca="false">IF($B60="","",O60-Q60-L60)</f>
        <v>3600000</v>
      </c>
      <c r="S60" s="21" t="n">
        <f aca="false">IF(OR($B60="",N(O60)=0),"",R60/O60)</f>
        <v>0.214285714285714</v>
      </c>
      <c r="T60" s="14"/>
      <c r="U60" s="19" t="n">
        <f aca="false">IF(OR($B60="",$A60=""),0,IF(COUNTIFS($A$5:$A60,$A60,$B$5:$B60,$B60)=1,1,0))</f>
        <v>1</v>
      </c>
    </row>
    <row r="61" customFormat="false" ht="15" hidden="false" customHeight="false" outlineLevel="0" collapsed="false">
      <c r="A61" s="17" t="n">
        <v>46279</v>
      </c>
      <c r="B61" s="13" t="s">
        <v>36</v>
      </c>
      <c r="C61" s="20" t="str">
        <f aca="false">IF($B61="","",IFERROR(INDEX(고객사!$B$5:$B$104,MATCH($B61,고객사!$A$5:$A$104,0)),"코드 확인"))</f>
        <v>예시) 한빛전자 비나</v>
      </c>
      <c r="D61" s="15" t="s">
        <v>96</v>
      </c>
      <c r="E61" s="15" t="s">
        <v>97</v>
      </c>
      <c r="F61" s="16" t="n">
        <v>12</v>
      </c>
      <c r="G61" s="16" t="n">
        <v>12</v>
      </c>
      <c r="H61" s="21" t="n">
        <f aca="false">IF(OR($B61="",F61=0),"",G61/F61)</f>
        <v>1</v>
      </c>
      <c r="I61" s="22" t="n">
        <f aca="false">IF($B61="","",MAX(F61-G61,0))</f>
        <v>0</v>
      </c>
      <c r="J61" s="23" t="str">
        <f aca="false">IF($B61="","",IFERROR(INDEX(고객사!$G$5:$G$104,MATCH($B61,고객사!$A$5:$A$104,0)),""))</f>
        <v>Y</v>
      </c>
      <c r="K61" s="16" t="n">
        <v>0</v>
      </c>
      <c r="L61" s="22" t="n">
        <f aca="false">IF($B61="","",K61*IFERROR(INDEX(고객사!$L$5:$L$104,MATCH($B61,고객사!$A$5:$A$104,0)),0))</f>
        <v>0</v>
      </c>
      <c r="M61" s="23" t="str">
        <f aca="false">IF($B61="","",IF(AND(J61="N",G61&gt;0,K61=0,IFERROR(INDEX(고객사!$H$5:$H$104,MATCH($B61,고객사!$A$5:$A$104,0)),"")="자사 차량 운행"),"차량 미배정",""))</f>
        <v/>
      </c>
      <c r="N61" s="22" t="n">
        <f aca="false">IF($B61="","",IFERROR(INDEX(고객사!$J$5:$J$104,MATCH($B61,고객사!$A$5:$A$104,0)),0))</f>
        <v>420000</v>
      </c>
      <c r="O61" s="22" t="n">
        <f aca="false">IF($B61="","",G61*N61)</f>
        <v>5040000</v>
      </c>
      <c r="P61" s="22" t="n">
        <f aca="false">IF($B61="","",IFERROR(INDEX(고객사!$K$5:$K$104,MATCH($B61,고객사!$A$5:$A$104,0)),0))</f>
        <v>330000</v>
      </c>
      <c r="Q61" s="22" t="n">
        <f aca="false">IF($B61="","",G61*P61)</f>
        <v>3960000</v>
      </c>
      <c r="R61" s="22" t="n">
        <f aca="false">IF($B61="","",O61-Q61-L61)</f>
        <v>1080000</v>
      </c>
      <c r="S61" s="21" t="n">
        <f aca="false">IF(OR($B61="",N(O61)=0),"",R61/O61)</f>
        <v>0.214285714285714</v>
      </c>
      <c r="T61" s="14"/>
      <c r="U61" s="19" t="n">
        <f aca="false">IF(OR($B61="",$A61=""),0,IF(COUNTIFS($A$5:$A61,$A61,$B$5:$B61,$B61)=1,1,0))</f>
        <v>0</v>
      </c>
    </row>
    <row r="62" customFormat="false" ht="15" hidden="false" customHeight="false" outlineLevel="0" collapsed="false">
      <c r="A62" s="17" t="n">
        <v>46279</v>
      </c>
      <c r="B62" s="13" t="s">
        <v>46</v>
      </c>
      <c r="C62" s="20" t="str">
        <f aca="false">IF($B62="","",IFERROR(INDEX(고객사!$B$5:$B$104,MATCH($B62,고객사!$A$5:$A$104,0)),"코드 확인"))</f>
        <v>예시) 대성섬유 VN</v>
      </c>
      <c r="D62" s="15" t="s">
        <v>49</v>
      </c>
      <c r="E62" s="15" t="s">
        <v>94</v>
      </c>
      <c r="F62" s="16" t="n">
        <v>30</v>
      </c>
      <c r="G62" s="16" t="n">
        <v>27</v>
      </c>
      <c r="H62" s="21" t="n">
        <f aca="false">IF(OR($B62="",F62=0),"",G62/F62)</f>
        <v>0.9</v>
      </c>
      <c r="I62" s="22" t="n">
        <f aca="false">IF($B62="","",MAX(F62-G62,0))</f>
        <v>3</v>
      </c>
      <c r="J62" s="23" t="str">
        <f aca="false">IF($B62="","",IFERROR(INDEX(고객사!$G$5:$G$104,MATCH($B62,고객사!$A$5:$A$104,0)),""))</f>
        <v>N</v>
      </c>
      <c r="K62" s="16" t="n">
        <v>1</v>
      </c>
      <c r="L62" s="22" t="n">
        <f aca="false">IF($B62="","",K62*IFERROR(INDEX(고객사!$L$5:$L$104,MATCH($B62,고객사!$A$5:$A$104,0)),0))</f>
        <v>1200000</v>
      </c>
      <c r="M62" s="23" t="str">
        <f aca="false">IF($B62="","",IF(AND(J62="N",G62&gt;0,K62=0,IFERROR(INDEX(고객사!$H$5:$H$104,MATCH($B62,고객사!$A$5:$A$104,0)),"")="자사 차량 운행"),"차량 미배정",""))</f>
        <v/>
      </c>
      <c r="N62" s="22" t="n">
        <f aca="false">IF($B62="","",IFERROR(INDEX(고객사!$J$5:$J$104,MATCH($B62,고객사!$A$5:$A$104,0)),0))</f>
        <v>380000</v>
      </c>
      <c r="O62" s="22" t="n">
        <f aca="false">IF($B62="","",G62*N62)</f>
        <v>10260000</v>
      </c>
      <c r="P62" s="22" t="n">
        <f aca="false">IF($B62="","",IFERROR(INDEX(고객사!$K$5:$K$104,MATCH($B62,고객사!$A$5:$A$104,0)),0))</f>
        <v>300000</v>
      </c>
      <c r="Q62" s="22" t="n">
        <f aca="false">IF($B62="","",G62*P62)</f>
        <v>8100000</v>
      </c>
      <c r="R62" s="22" t="n">
        <f aca="false">IF($B62="","",O62-Q62-L62)</f>
        <v>960000</v>
      </c>
      <c r="S62" s="21" t="n">
        <f aca="false">IF(OR($B62="",N(O62)=0),"",R62/O62)</f>
        <v>0.0935672514619883</v>
      </c>
      <c r="T62" s="14"/>
      <c r="U62" s="19" t="n">
        <f aca="false">IF(OR($B62="",$A62=""),0,IF(COUNTIFS($A$5:$A62,$A62,$B$5:$B62,$B62)=1,1,0))</f>
        <v>1</v>
      </c>
    </row>
    <row r="63" customFormat="false" ht="15" hidden="false" customHeight="false" outlineLevel="0" collapsed="false">
      <c r="A63" s="17" t="n">
        <v>46279</v>
      </c>
      <c r="B63" s="13" t="s">
        <v>56</v>
      </c>
      <c r="C63" s="20" t="str">
        <f aca="false">IF($B63="","",IFERROR(INDEX(고객사!$B$5:$B$104,MATCH($B63,고객사!$A$5:$A$104,0)),"코드 확인"))</f>
        <v>예시) 그린물류 하노이</v>
      </c>
      <c r="D63" s="15" t="s">
        <v>98</v>
      </c>
      <c r="E63" s="15" t="s">
        <v>94</v>
      </c>
      <c r="F63" s="16" t="n">
        <v>18</v>
      </c>
      <c r="G63" s="16" t="n">
        <v>18</v>
      </c>
      <c r="H63" s="21" t="n">
        <f aca="false">IF(OR($B63="",F63=0),"",G63/F63)</f>
        <v>1</v>
      </c>
      <c r="I63" s="22" t="n">
        <f aca="false">IF($B63="","",MAX(F63-G63,0))</f>
        <v>0</v>
      </c>
      <c r="J63" s="23" t="str">
        <f aca="false">IF($B63="","",IFERROR(INDEX(고객사!$G$5:$G$104,MATCH($B63,고객사!$A$5:$A$104,0)),""))</f>
        <v>N</v>
      </c>
      <c r="K63" s="16" t="n">
        <v>0</v>
      </c>
      <c r="L63" s="22" t="n">
        <f aca="false">IF($B63="","",K63*IFERROR(INDEX(고객사!$L$5:$L$104,MATCH($B63,고객사!$A$5:$A$104,0)),0))</f>
        <v>0</v>
      </c>
      <c r="M63" s="23" t="str">
        <f aca="false">IF($B63="","",IF(AND(J63="N",G63&gt;0,K63=0,IFERROR(INDEX(고객사!$H$5:$H$104,MATCH($B63,고객사!$A$5:$A$104,0)),"")="자사 차량 운행"),"차량 미배정",""))</f>
        <v/>
      </c>
      <c r="N63" s="22" t="n">
        <f aca="false">IF($B63="","",IFERROR(INDEX(고객사!$J$5:$J$104,MATCH($B63,고객사!$A$5:$A$104,0)),0))</f>
        <v>400000</v>
      </c>
      <c r="O63" s="22" t="n">
        <f aca="false">IF($B63="","",G63*N63)</f>
        <v>7200000</v>
      </c>
      <c r="P63" s="22" t="n">
        <f aca="false">IF($B63="","",IFERROR(INDEX(고객사!$K$5:$K$104,MATCH($B63,고객사!$A$5:$A$104,0)),0))</f>
        <v>315000</v>
      </c>
      <c r="Q63" s="22" t="n">
        <f aca="false">IF($B63="","",G63*P63)</f>
        <v>5670000</v>
      </c>
      <c r="R63" s="22" t="n">
        <f aca="false">IF($B63="","",O63-Q63-L63)</f>
        <v>1530000</v>
      </c>
      <c r="S63" s="21" t="n">
        <f aca="false">IF(OR($B63="",N(O63)=0),"",R63/O63)</f>
        <v>0.2125</v>
      </c>
      <c r="T63" s="14"/>
      <c r="U63" s="19" t="n">
        <f aca="false">IF(OR($B63="",$A63=""),0,IF(COUNTIFS($A$5:$A63,$A63,$B$5:$B63,$B63)=1,1,0))</f>
        <v>1</v>
      </c>
    </row>
    <row r="64" customFormat="false" ht="15" hidden="false" customHeight="false" outlineLevel="0" collapsed="false">
      <c r="A64" s="17" t="n">
        <v>46279</v>
      </c>
      <c r="B64" s="13" t="s">
        <v>64</v>
      </c>
      <c r="C64" s="20" t="str">
        <f aca="false">IF($B64="","",IFERROR(INDEX(고객사!$B$5:$B$104,MATCH($B64,고객사!$A$5:$A$104,0)),"코드 확인"))</f>
        <v>예시) 미래식품 빈즈엉</v>
      </c>
      <c r="D64" s="15" t="s">
        <v>99</v>
      </c>
      <c r="E64" s="13" t="s">
        <v>100</v>
      </c>
      <c r="F64" s="16" t="n">
        <v>22</v>
      </c>
      <c r="G64" s="16" t="n">
        <v>20</v>
      </c>
      <c r="H64" s="21" t="n">
        <f aca="false">IF(OR($B64="",F64=0),"",G64/F64)</f>
        <v>0.909090909090909</v>
      </c>
      <c r="I64" s="22" t="n">
        <f aca="false">IF($B64="","",MAX(F64-G64,0))</f>
        <v>2</v>
      </c>
      <c r="J64" s="23" t="str">
        <f aca="false">IF($B64="","",IFERROR(INDEX(고객사!$G$5:$G$104,MATCH($B64,고객사!$A$5:$A$104,0)),""))</f>
        <v>Y</v>
      </c>
      <c r="K64" s="16" t="n">
        <v>0</v>
      </c>
      <c r="L64" s="22" t="n">
        <f aca="false">IF($B64="","",K64*IFERROR(INDEX(고객사!$L$5:$L$104,MATCH($B64,고객사!$A$5:$A$104,0)),0))</f>
        <v>0</v>
      </c>
      <c r="M64" s="23" t="str">
        <f aca="false">IF($B64="","",IF(AND(J64="N",G64&gt;0,K64=0,IFERROR(INDEX(고객사!$H$5:$H$104,MATCH($B64,고객사!$A$5:$A$104,0)),"")="자사 차량 운행"),"차량 미배정",""))</f>
        <v/>
      </c>
      <c r="N64" s="22" t="n">
        <f aca="false">IF($B64="","",IFERROR(INDEX(고객사!$J$5:$J$104,MATCH($B64,고객사!$A$5:$A$104,0)),0))</f>
        <v>390000</v>
      </c>
      <c r="O64" s="22" t="n">
        <f aca="false">IF($B64="","",G64*N64)</f>
        <v>7800000</v>
      </c>
      <c r="P64" s="22" t="n">
        <f aca="false">IF($B64="","",IFERROR(INDEX(고객사!$K$5:$K$104,MATCH($B64,고객사!$A$5:$A$104,0)),0))</f>
        <v>305000</v>
      </c>
      <c r="Q64" s="22" t="n">
        <f aca="false">IF($B64="","",G64*P64)</f>
        <v>6100000</v>
      </c>
      <c r="R64" s="22" t="n">
        <f aca="false">IF($B64="","",O64-Q64-L64)</f>
        <v>1700000</v>
      </c>
      <c r="S64" s="21" t="n">
        <f aca="false">IF(OR($B64="",N(O64)=0),"",R64/O64)</f>
        <v>0.217948717948718</v>
      </c>
      <c r="T64" s="14"/>
      <c r="U64" s="19" t="n">
        <f aca="false">IF(OR($B64="",$A64=""),0,IF(COUNTIFS($A$5:$A64,$A64,$B$5:$B64,$B64)=1,1,0))</f>
        <v>1</v>
      </c>
    </row>
    <row r="65" customFormat="false" ht="15" hidden="false" customHeight="false" outlineLevel="0" collapsed="false">
      <c r="A65" s="17" t="n">
        <v>46280</v>
      </c>
      <c r="B65" s="13" t="s">
        <v>36</v>
      </c>
      <c r="C65" s="20" t="str">
        <f aca="false">IF($B65="","",IFERROR(INDEX(고객사!$B$5:$B$104,MATCH($B65,고객사!$A$5:$A$104,0)),"코드 확인"))</f>
        <v>예시) 한빛전자 비나</v>
      </c>
      <c r="D65" s="15" t="s">
        <v>93</v>
      </c>
      <c r="E65" s="15" t="s">
        <v>94</v>
      </c>
      <c r="F65" s="16" t="n">
        <v>40</v>
      </c>
      <c r="G65" s="16" t="n">
        <v>40</v>
      </c>
      <c r="H65" s="21" t="n">
        <f aca="false">IF(OR($B65="",F65=0),"",G65/F65)</f>
        <v>1</v>
      </c>
      <c r="I65" s="22" t="n">
        <f aca="false">IF($B65="","",MAX(F65-G65,0))</f>
        <v>0</v>
      </c>
      <c r="J65" s="23" t="str">
        <f aca="false">IF($B65="","",IFERROR(INDEX(고객사!$G$5:$G$104,MATCH($B65,고객사!$A$5:$A$104,0)),""))</f>
        <v>Y</v>
      </c>
      <c r="K65" s="16" t="n">
        <v>0</v>
      </c>
      <c r="L65" s="22" t="n">
        <f aca="false">IF($B65="","",K65*IFERROR(INDEX(고객사!$L$5:$L$104,MATCH($B65,고객사!$A$5:$A$104,0)),0))</f>
        <v>0</v>
      </c>
      <c r="M65" s="23" t="str">
        <f aca="false">IF($B65="","",IF(AND(J65="N",G65&gt;0,K65=0,IFERROR(INDEX(고객사!$H$5:$H$104,MATCH($B65,고객사!$A$5:$A$104,0)),"")="자사 차량 운행"),"차량 미배정",""))</f>
        <v/>
      </c>
      <c r="N65" s="22" t="n">
        <f aca="false">IF($B65="","",IFERROR(INDEX(고객사!$J$5:$J$104,MATCH($B65,고객사!$A$5:$A$104,0)),0))</f>
        <v>420000</v>
      </c>
      <c r="O65" s="22" t="n">
        <f aca="false">IF($B65="","",G65*N65)</f>
        <v>16800000</v>
      </c>
      <c r="P65" s="22" t="n">
        <f aca="false">IF($B65="","",IFERROR(INDEX(고객사!$K$5:$K$104,MATCH($B65,고객사!$A$5:$A$104,0)),0))</f>
        <v>330000</v>
      </c>
      <c r="Q65" s="22" t="n">
        <f aca="false">IF($B65="","",G65*P65)</f>
        <v>13200000</v>
      </c>
      <c r="R65" s="22" t="n">
        <f aca="false">IF($B65="","",O65-Q65-L65)</f>
        <v>3600000</v>
      </c>
      <c r="S65" s="21" t="n">
        <f aca="false">IF(OR($B65="",N(O65)=0),"",R65/O65)</f>
        <v>0.214285714285714</v>
      </c>
      <c r="T65" s="14"/>
      <c r="U65" s="19" t="n">
        <f aca="false">IF(OR($B65="",$A65=""),0,IF(COUNTIFS($A$5:$A65,$A65,$B$5:$B65,$B65)=1,1,0))</f>
        <v>1</v>
      </c>
    </row>
    <row r="66" customFormat="false" ht="15" hidden="false" customHeight="false" outlineLevel="0" collapsed="false">
      <c r="A66" s="17" t="n">
        <v>46280</v>
      </c>
      <c r="B66" s="13" t="s">
        <v>36</v>
      </c>
      <c r="C66" s="20" t="str">
        <f aca="false">IF($B66="","",IFERROR(INDEX(고객사!$B$5:$B$104,MATCH($B66,고객사!$A$5:$A$104,0)),"코드 확인"))</f>
        <v>예시) 한빛전자 비나</v>
      </c>
      <c r="D66" s="15" t="s">
        <v>96</v>
      </c>
      <c r="E66" s="15" t="s">
        <v>97</v>
      </c>
      <c r="F66" s="16" t="n">
        <v>12</v>
      </c>
      <c r="G66" s="16" t="n">
        <v>7</v>
      </c>
      <c r="H66" s="21" t="n">
        <f aca="false">IF(OR($B66="",F66=0),"",G66/F66)</f>
        <v>0.583333333333333</v>
      </c>
      <c r="I66" s="22" t="n">
        <f aca="false">IF($B66="","",MAX(F66-G66,0))</f>
        <v>5</v>
      </c>
      <c r="J66" s="23" t="str">
        <f aca="false">IF($B66="","",IFERROR(INDEX(고객사!$G$5:$G$104,MATCH($B66,고객사!$A$5:$A$104,0)),""))</f>
        <v>Y</v>
      </c>
      <c r="K66" s="16" t="n">
        <v>0</v>
      </c>
      <c r="L66" s="22" t="n">
        <f aca="false">IF($B66="","",K66*IFERROR(INDEX(고객사!$L$5:$L$104,MATCH($B66,고객사!$A$5:$A$104,0)),0))</f>
        <v>0</v>
      </c>
      <c r="M66" s="23" t="str">
        <f aca="false">IF($B66="","",IF(AND(J66="N",G66&gt;0,K66=0,IFERROR(INDEX(고객사!$H$5:$H$104,MATCH($B66,고객사!$A$5:$A$104,0)),"")="자사 차량 운행"),"차량 미배정",""))</f>
        <v/>
      </c>
      <c r="N66" s="22" t="n">
        <f aca="false">IF($B66="","",IFERROR(INDEX(고객사!$J$5:$J$104,MATCH($B66,고객사!$A$5:$A$104,0)),0))</f>
        <v>420000</v>
      </c>
      <c r="O66" s="22" t="n">
        <f aca="false">IF($B66="","",G66*N66)</f>
        <v>2940000</v>
      </c>
      <c r="P66" s="22" t="n">
        <f aca="false">IF($B66="","",IFERROR(INDEX(고객사!$K$5:$K$104,MATCH($B66,고객사!$A$5:$A$104,0)),0))</f>
        <v>330000</v>
      </c>
      <c r="Q66" s="22" t="n">
        <f aca="false">IF($B66="","",G66*P66)</f>
        <v>2310000</v>
      </c>
      <c r="R66" s="22" t="n">
        <f aca="false">IF($B66="","",O66-Q66-L66)</f>
        <v>630000</v>
      </c>
      <c r="S66" s="21" t="n">
        <f aca="false">IF(OR($B66="",N(O66)=0),"",R66/O66)</f>
        <v>0.214285714285714</v>
      </c>
      <c r="T66" s="14"/>
      <c r="U66" s="19" t="n">
        <f aca="false">IF(OR($B66="",$A66=""),0,IF(COUNTIFS($A$5:$A66,$A66,$B$5:$B66,$B66)=1,1,0))</f>
        <v>0</v>
      </c>
    </row>
    <row r="67" customFormat="false" ht="15" hidden="false" customHeight="false" outlineLevel="0" collapsed="false">
      <c r="A67" s="17" t="n">
        <v>46280</v>
      </c>
      <c r="B67" s="13" t="s">
        <v>46</v>
      </c>
      <c r="C67" s="20" t="str">
        <f aca="false">IF($B67="","",IFERROR(INDEX(고객사!$B$5:$B$104,MATCH($B67,고객사!$A$5:$A$104,0)),"코드 확인"))</f>
        <v>예시) 대성섬유 VN</v>
      </c>
      <c r="D67" s="15" t="s">
        <v>49</v>
      </c>
      <c r="E67" s="15" t="s">
        <v>94</v>
      </c>
      <c r="F67" s="16" t="n">
        <v>30</v>
      </c>
      <c r="G67" s="16" t="n">
        <v>27</v>
      </c>
      <c r="H67" s="21" t="n">
        <f aca="false">IF(OR($B67="",F67=0),"",G67/F67)</f>
        <v>0.9</v>
      </c>
      <c r="I67" s="22" t="n">
        <f aca="false">IF($B67="","",MAX(F67-G67,0))</f>
        <v>3</v>
      </c>
      <c r="J67" s="23" t="str">
        <f aca="false">IF($B67="","",IFERROR(INDEX(고객사!$G$5:$G$104,MATCH($B67,고객사!$A$5:$A$104,0)),""))</f>
        <v>N</v>
      </c>
      <c r="K67" s="16" t="n">
        <v>1</v>
      </c>
      <c r="L67" s="22" t="n">
        <f aca="false">IF($B67="","",K67*IFERROR(INDEX(고객사!$L$5:$L$104,MATCH($B67,고객사!$A$5:$A$104,0)),0))</f>
        <v>1200000</v>
      </c>
      <c r="M67" s="23" t="str">
        <f aca="false">IF($B67="","",IF(AND(J67="N",G67&gt;0,K67=0,IFERROR(INDEX(고객사!$H$5:$H$104,MATCH($B67,고객사!$A$5:$A$104,0)),"")="자사 차량 운행"),"차량 미배정",""))</f>
        <v/>
      </c>
      <c r="N67" s="22" t="n">
        <f aca="false">IF($B67="","",IFERROR(INDEX(고객사!$J$5:$J$104,MATCH($B67,고객사!$A$5:$A$104,0)),0))</f>
        <v>380000</v>
      </c>
      <c r="O67" s="22" t="n">
        <f aca="false">IF($B67="","",G67*N67)</f>
        <v>10260000</v>
      </c>
      <c r="P67" s="22" t="n">
        <f aca="false">IF($B67="","",IFERROR(INDEX(고객사!$K$5:$K$104,MATCH($B67,고객사!$A$5:$A$104,0)),0))</f>
        <v>300000</v>
      </c>
      <c r="Q67" s="22" t="n">
        <f aca="false">IF($B67="","",G67*P67)</f>
        <v>8100000</v>
      </c>
      <c r="R67" s="22" t="n">
        <f aca="false">IF($B67="","",O67-Q67-L67)</f>
        <v>960000</v>
      </c>
      <c r="S67" s="21" t="n">
        <f aca="false">IF(OR($B67="",N(O67)=0),"",R67/O67)</f>
        <v>0.0935672514619883</v>
      </c>
      <c r="T67" s="14"/>
      <c r="U67" s="19" t="n">
        <f aca="false">IF(OR($B67="",$A67=""),0,IF(COUNTIFS($A$5:$A67,$A67,$B$5:$B67,$B67)=1,1,0))</f>
        <v>1</v>
      </c>
    </row>
    <row r="68" customFormat="false" ht="15" hidden="false" customHeight="false" outlineLevel="0" collapsed="false">
      <c r="A68" s="17" t="n">
        <v>46280</v>
      </c>
      <c r="B68" s="13" t="s">
        <v>56</v>
      </c>
      <c r="C68" s="20" t="str">
        <f aca="false">IF($B68="","",IFERROR(INDEX(고객사!$B$5:$B$104,MATCH($B68,고객사!$A$5:$A$104,0)),"코드 확인"))</f>
        <v>예시) 그린물류 하노이</v>
      </c>
      <c r="D68" s="15" t="s">
        <v>98</v>
      </c>
      <c r="E68" s="15" t="s">
        <v>94</v>
      </c>
      <c r="F68" s="16" t="n">
        <v>18</v>
      </c>
      <c r="G68" s="16" t="n">
        <v>18</v>
      </c>
      <c r="H68" s="21" t="n">
        <f aca="false">IF(OR($B68="",F68=0),"",G68/F68)</f>
        <v>1</v>
      </c>
      <c r="I68" s="22" t="n">
        <f aca="false">IF($B68="","",MAX(F68-G68,0))</f>
        <v>0</v>
      </c>
      <c r="J68" s="23" t="str">
        <f aca="false">IF($B68="","",IFERROR(INDEX(고객사!$G$5:$G$104,MATCH($B68,고객사!$A$5:$A$104,0)),""))</f>
        <v>N</v>
      </c>
      <c r="K68" s="16" t="n">
        <v>0</v>
      </c>
      <c r="L68" s="22" t="n">
        <f aca="false">IF($B68="","",K68*IFERROR(INDEX(고객사!$L$5:$L$104,MATCH($B68,고객사!$A$5:$A$104,0)),0))</f>
        <v>0</v>
      </c>
      <c r="M68" s="23" t="str">
        <f aca="false">IF($B68="","",IF(AND(J68="N",G68&gt;0,K68=0,IFERROR(INDEX(고객사!$H$5:$H$104,MATCH($B68,고객사!$A$5:$A$104,0)),"")="자사 차량 운행"),"차량 미배정",""))</f>
        <v/>
      </c>
      <c r="N68" s="22" t="n">
        <f aca="false">IF($B68="","",IFERROR(INDEX(고객사!$J$5:$J$104,MATCH($B68,고객사!$A$5:$A$104,0)),0))</f>
        <v>400000</v>
      </c>
      <c r="O68" s="22" t="n">
        <f aca="false">IF($B68="","",G68*N68)</f>
        <v>7200000</v>
      </c>
      <c r="P68" s="22" t="n">
        <f aca="false">IF($B68="","",IFERROR(INDEX(고객사!$K$5:$K$104,MATCH($B68,고객사!$A$5:$A$104,0)),0))</f>
        <v>315000</v>
      </c>
      <c r="Q68" s="22" t="n">
        <f aca="false">IF($B68="","",G68*P68)</f>
        <v>5670000</v>
      </c>
      <c r="R68" s="22" t="n">
        <f aca="false">IF($B68="","",O68-Q68-L68)</f>
        <v>1530000</v>
      </c>
      <c r="S68" s="21" t="n">
        <f aca="false">IF(OR($B68="",N(O68)=0),"",R68/O68)</f>
        <v>0.2125</v>
      </c>
      <c r="T68" s="14"/>
      <c r="U68" s="19" t="n">
        <f aca="false">IF(OR($B68="",$A68=""),0,IF(COUNTIFS($A$5:$A68,$A68,$B$5:$B68,$B68)=1,1,0))</f>
        <v>1</v>
      </c>
    </row>
    <row r="69" customFormat="false" ht="15" hidden="false" customHeight="false" outlineLevel="0" collapsed="false">
      <c r="A69" s="17" t="n">
        <v>46280</v>
      </c>
      <c r="B69" s="13" t="s">
        <v>64</v>
      </c>
      <c r="C69" s="20" t="str">
        <f aca="false">IF($B69="","",IFERROR(INDEX(고객사!$B$5:$B$104,MATCH($B69,고객사!$A$5:$A$104,0)),"코드 확인"))</f>
        <v>예시) 미래식품 빈즈엉</v>
      </c>
      <c r="D69" s="15" t="s">
        <v>99</v>
      </c>
      <c r="E69" s="13" t="s">
        <v>100</v>
      </c>
      <c r="F69" s="16" t="n">
        <v>22</v>
      </c>
      <c r="G69" s="16" t="n">
        <v>22</v>
      </c>
      <c r="H69" s="21" t="n">
        <f aca="false">IF(OR($B69="",F69=0),"",G69/F69)</f>
        <v>1</v>
      </c>
      <c r="I69" s="22" t="n">
        <f aca="false">IF($B69="","",MAX(F69-G69,0))</f>
        <v>0</v>
      </c>
      <c r="J69" s="23" t="str">
        <f aca="false">IF($B69="","",IFERROR(INDEX(고객사!$G$5:$G$104,MATCH($B69,고객사!$A$5:$A$104,0)),""))</f>
        <v>Y</v>
      </c>
      <c r="K69" s="16" t="n">
        <v>0</v>
      </c>
      <c r="L69" s="22" t="n">
        <f aca="false">IF($B69="","",K69*IFERROR(INDEX(고객사!$L$5:$L$104,MATCH($B69,고객사!$A$5:$A$104,0)),0))</f>
        <v>0</v>
      </c>
      <c r="M69" s="23" t="str">
        <f aca="false">IF($B69="","",IF(AND(J69="N",G69&gt;0,K69=0,IFERROR(INDEX(고객사!$H$5:$H$104,MATCH($B69,고객사!$A$5:$A$104,0)),"")="자사 차량 운행"),"차량 미배정",""))</f>
        <v/>
      </c>
      <c r="N69" s="22" t="n">
        <f aca="false">IF($B69="","",IFERROR(INDEX(고객사!$J$5:$J$104,MATCH($B69,고객사!$A$5:$A$104,0)),0))</f>
        <v>390000</v>
      </c>
      <c r="O69" s="22" t="n">
        <f aca="false">IF($B69="","",G69*N69)</f>
        <v>8580000</v>
      </c>
      <c r="P69" s="22" t="n">
        <f aca="false">IF($B69="","",IFERROR(INDEX(고객사!$K$5:$K$104,MATCH($B69,고객사!$A$5:$A$104,0)),0))</f>
        <v>305000</v>
      </c>
      <c r="Q69" s="22" t="n">
        <f aca="false">IF($B69="","",G69*P69)</f>
        <v>6710000</v>
      </c>
      <c r="R69" s="22" t="n">
        <f aca="false">IF($B69="","",O69-Q69-L69)</f>
        <v>1870000</v>
      </c>
      <c r="S69" s="21" t="n">
        <f aca="false">IF(OR($B69="",N(O69)=0),"",R69/O69)</f>
        <v>0.217948717948718</v>
      </c>
      <c r="T69" s="14"/>
      <c r="U69" s="19" t="n">
        <f aca="false">IF(OR($B69="",$A69=""),0,IF(COUNTIFS($A$5:$A69,$A69,$B$5:$B69,$B69)=1,1,0))</f>
        <v>1</v>
      </c>
    </row>
    <row r="70" customFormat="false" ht="15" hidden="false" customHeight="false" outlineLevel="0" collapsed="false">
      <c r="A70" s="17" t="n">
        <v>46281</v>
      </c>
      <c r="B70" s="13" t="s">
        <v>36</v>
      </c>
      <c r="C70" s="20" t="str">
        <f aca="false">IF($B70="","",IFERROR(INDEX(고객사!$B$5:$B$104,MATCH($B70,고객사!$A$5:$A$104,0)),"코드 확인"))</f>
        <v>예시) 한빛전자 비나</v>
      </c>
      <c r="D70" s="15" t="s">
        <v>93</v>
      </c>
      <c r="E70" s="15" t="s">
        <v>94</v>
      </c>
      <c r="F70" s="16" t="n">
        <v>40</v>
      </c>
      <c r="G70" s="16" t="n">
        <v>38</v>
      </c>
      <c r="H70" s="21" t="n">
        <f aca="false">IF(OR($B70="",F70=0),"",G70/F70)</f>
        <v>0.95</v>
      </c>
      <c r="I70" s="22" t="n">
        <f aca="false">IF($B70="","",MAX(F70-G70,0))</f>
        <v>2</v>
      </c>
      <c r="J70" s="23" t="str">
        <f aca="false">IF($B70="","",IFERROR(INDEX(고객사!$G$5:$G$104,MATCH($B70,고객사!$A$5:$A$104,0)),""))</f>
        <v>Y</v>
      </c>
      <c r="K70" s="16" t="n">
        <v>0</v>
      </c>
      <c r="L70" s="22" t="n">
        <f aca="false">IF($B70="","",K70*IFERROR(INDEX(고객사!$L$5:$L$104,MATCH($B70,고객사!$A$5:$A$104,0)),0))</f>
        <v>0</v>
      </c>
      <c r="M70" s="23" t="str">
        <f aca="false">IF($B70="","",IF(AND(J70="N",G70&gt;0,K70=0,IFERROR(INDEX(고객사!$H$5:$H$104,MATCH($B70,고객사!$A$5:$A$104,0)),"")="자사 차량 운행"),"차량 미배정",""))</f>
        <v/>
      </c>
      <c r="N70" s="22" t="n">
        <f aca="false">IF($B70="","",IFERROR(INDEX(고객사!$J$5:$J$104,MATCH($B70,고객사!$A$5:$A$104,0)),0))</f>
        <v>420000</v>
      </c>
      <c r="O70" s="22" t="n">
        <f aca="false">IF($B70="","",G70*N70)</f>
        <v>15960000</v>
      </c>
      <c r="P70" s="22" t="n">
        <f aca="false">IF($B70="","",IFERROR(INDEX(고객사!$K$5:$K$104,MATCH($B70,고객사!$A$5:$A$104,0)),0))</f>
        <v>330000</v>
      </c>
      <c r="Q70" s="22" t="n">
        <f aca="false">IF($B70="","",G70*P70)</f>
        <v>12540000</v>
      </c>
      <c r="R70" s="22" t="n">
        <f aca="false">IF($B70="","",O70-Q70-L70)</f>
        <v>3420000</v>
      </c>
      <c r="S70" s="21" t="n">
        <f aca="false">IF(OR($B70="",N(O70)=0),"",R70/O70)</f>
        <v>0.214285714285714</v>
      </c>
      <c r="T70" s="14"/>
      <c r="U70" s="19" t="n">
        <f aca="false">IF(OR($B70="",$A70=""),0,IF(COUNTIFS($A$5:$A70,$A70,$B$5:$B70,$B70)=1,1,0))</f>
        <v>1</v>
      </c>
    </row>
    <row r="71" customFormat="false" ht="15" hidden="false" customHeight="false" outlineLevel="0" collapsed="false">
      <c r="A71" s="17" t="n">
        <v>46281</v>
      </c>
      <c r="B71" s="13" t="s">
        <v>36</v>
      </c>
      <c r="C71" s="20" t="str">
        <f aca="false">IF($B71="","",IFERROR(INDEX(고객사!$B$5:$B$104,MATCH($B71,고객사!$A$5:$A$104,0)),"코드 확인"))</f>
        <v>예시) 한빛전자 비나</v>
      </c>
      <c r="D71" s="15" t="s">
        <v>96</v>
      </c>
      <c r="E71" s="15" t="s">
        <v>97</v>
      </c>
      <c r="F71" s="16" t="n">
        <v>12</v>
      </c>
      <c r="G71" s="16" t="n">
        <v>10</v>
      </c>
      <c r="H71" s="21" t="n">
        <f aca="false">IF(OR($B71="",F71=0),"",G71/F71)</f>
        <v>0.833333333333333</v>
      </c>
      <c r="I71" s="22" t="n">
        <f aca="false">IF($B71="","",MAX(F71-G71,0))</f>
        <v>2</v>
      </c>
      <c r="J71" s="23" t="str">
        <f aca="false">IF($B71="","",IFERROR(INDEX(고객사!$G$5:$G$104,MATCH($B71,고객사!$A$5:$A$104,0)),""))</f>
        <v>Y</v>
      </c>
      <c r="K71" s="16" t="n">
        <v>0</v>
      </c>
      <c r="L71" s="22" t="n">
        <f aca="false">IF($B71="","",K71*IFERROR(INDEX(고객사!$L$5:$L$104,MATCH($B71,고객사!$A$5:$A$104,0)),0))</f>
        <v>0</v>
      </c>
      <c r="M71" s="23" t="str">
        <f aca="false">IF($B71="","",IF(AND(J71="N",G71&gt;0,K71=0,IFERROR(INDEX(고객사!$H$5:$H$104,MATCH($B71,고객사!$A$5:$A$104,0)),"")="자사 차량 운행"),"차량 미배정",""))</f>
        <v/>
      </c>
      <c r="N71" s="22" t="n">
        <f aca="false">IF($B71="","",IFERROR(INDEX(고객사!$J$5:$J$104,MATCH($B71,고객사!$A$5:$A$104,0)),0))</f>
        <v>420000</v>
      </c>
      <c r="O71" s="22" t="n">
        <f aca="false">IF($B71="","",G71*N71)</f>
        <v>4200000</v>
      </c>
      <c r="P71" s="22" t="n">
        <f aca="false">IF($B71="","",IFERROR(INDEX(고객사!$K$5:$K$104,MATCH($B71,고객사!$A$5:$A$104,0)),0))</f>
        <v>330000</v>
      </c>
      <c r="Q71" s="22" t="n">
        <f aca="false">IF($B71="","",G71*P71)</f>
        <v>3300000</v>
      </c>
      <c r="R71" s="22" t="n">
        <f aca="false">IF($B71="","",O71-Q71-L71)</f>
        <v>900000</v>
      </c>
      <c r="S71" s="21" t="n">
        <f aca="false">IF(OR($B71="",N(O71)=0),"",R71/O71)</f>
        <v>0.214285714285714</v>
      </c>
      <c r="T71" s="14"/>
      <c r="U71" s="19" t="n">
        <f aca="false">IF(OR($B71="",$A71=""),0,IF(COUNTIFS($A$5:$A71,$A71,$B$5:$B71,$B71)=1,1,0))</f>
        <v>0</v>
      </c>
    </row>
    <row r="72" customFormat="false" ht="15" hidden="false" customHeight="false" outlineLevel="0" collapsed="false">
      <c r="A72" s="17" t="n">
        <v>46281</v>
      </c>
      <c r="B72" s="13" t="s">
        <v>46</v>
      </c>
      <c r="C72" s="20" t="str">
        <f aca="false">IF($B72="","",IFERROR(INDEX(고객사!$B$5:$B$104,MATCH($B72,고객사!$A$5:$A$104,0)),"코드 확인"))</f>
        <v>예시) 대성섬유 VN</v>
      </c>
      <c r="D72" s="15" t="s">
        <v>49</v>
      </c>
      <c r="E72" s="15" t="s">
        <v>94</v>
      </c>
      <c r="F72" s="16" t="n">
        <v>30</v>
      </c>
      <c r="G72" s="16" t="n">
        <v>28</v>
      </c>
      <c r="H72" s="21" t="n">
        <f aca="false">IF(OR($B72="",F72=0),"",G72/F72)</f>
        <v>0.933333333333333</v>
      </c>
      <c r="I72" s="22" t="n">
        <f aca="false">IF($B72="","",MAX(F72-G72,0))</f>
        <v>2</v>
      </c>
      <c r="J72" s="23" t="str">
        <f aca="false">IF($B72="","",IFERROR(INDEX(고객사!$G$5:$G$104,MATCH($B72,고객사!$A$5:$A$104,0)),""))</f>
        <v>N</v>
      </c>
      <c r="K72" s="16" t="n">
        <v>1</v>
      </c>
      <c r="L72" s="22" t="n">
        <f aca="false">IF($B72="","",K72*IFERROR(INDEX(고객사!$L$5:$L$104,MATCH($B72,고객사!$A$5:$A$104,0)),0))</f>
        <v>1200000</v>
      </c>
      <c r="M72" s="23" t="str">
        <f aca="false">IF($B72="","",IF(AND(J72="N",G72&gt;0,K72=0,IFERROR(INDEX(고객사!$H$5:$H$104,MATCH($B72,고객사!$A$5:$A$104,0)),"")="자사 차량 운행"),"차량 미배정",""))</f>
        <v/>
      </c>
      <c r="N72" s="22" t="n">
        <f aca="false">IF($B72="","",IFERROR(INDEX(고객사!$J$5:$J$104,MATCH($B72,고객사!$A$5:$A$104,0)),0))</f>
        <v>380000</v>
      </c>
      <c r="O72" s="22" t="n">
        <f aca="false">IF($B72="","",G72*N72)</f>
        <v>10640000</v>
      </c>
      <c r="P72" s="22" t="n">
        <f aca="false">IF($B72="","",IFERROR(INDEX(고객사!$K$5:$K$104,MATCH($B72,고객사!$A$5:$A$104,0)),0))</f>
        <v>300000</v>
      </c>
      <c r="Q72" s="22" t="n">
        <f aca="false">IF($B72="","",G72*P72)</f>
        <v>8400000</v>
      </c>
      <c r="R72" s="22" t="n">
        <f aca="false">IF($B72="","",O72-Q72-L72)</f>
        <v>1040000</v>
      </c>
      <c r="S72" s="21" t="n">
        <f aca="false">IF(OR($B72="",N(O72)=0),"",R72/O72)</f>
        <v>0.0977443609022556</v>
      </c>
      <c r="T72" s="14"/>
      <c r="U72" s="19" t="n">
        <f aca="false">IF(OR($B72="",$A72=""),0,IF(COUNTIFS($A$5:$A72,$A72,$B$5:$B72,$B72)=1,1,0))</f>
        <v>1</v>
      </c>
    </row>
    <row r="73" customFormat="false" ht="15" hidden="false" customHeight="false" outlineLevel="0" collapsed="false">
      <c r="A73" s="17" t="n">
        <v>46281</v>
      </c>
      <c r="B73" s="13" t="s">
        <v>56</v>
      </c>
      <c r="C73" s="20" t="str">
        <f aca="false">IF($B73="","",IFERROR(INDEX(고객사!$B$5:$B$104,MATCH($B73,고객사!$A$5:$A$104,0)),"코드 확인"))</f>
        <v>예시) 그린물류 하노이</v>
      </c>
      <c r="D73" s="15" t="s">
        <v>98</v>
      </c>
      <c r="E73" s="15" t="s">
        <v>94</v>
      </c>
      <c r="F73" s="16" t="n">
        <v>18</v>
      </c>
      <c r="G73" s="16" t="n">
        <v>13</v>
      </c>
      <c r="H73" s="21" t="n">
        <f aca="false">IF(OR($B73="",F73=0),"",G73/F73)</f>
        <v>0.722222222222222</v>
      </c>
      <c r="I73" s="22" t="n">
        <f aca="false">IF($B73="","",MAX(F73-G73,0))</f>
        <v>5</v>
      </c>
      <c r="J73" s="23" t="str">
        <f aca="false">IF($B73="","",IFERROR(INDEX(고객사!$G$5:$G$104,MATCH($B73,고객사!$A$5:$A$104,0)),""))</f>
        <v>N</v>
      </c>
      <c r="K73" s="16" t="n">
        <v>0</v>
      </c>
      <c r="L73" s="22" t="n">
        <f aca="false">IF($B73="","",K73*IFERROR(INDEX(고객사!$L$5:$L$104,MATCH($B73,고객사!$A$5:$A$104,0)),0))</f>
        <v>0</v>
      </c>
      <c r="M73" s="23" t="str">
        <f aca="false">IF($B73="","",IF(AND(J73="N",G73&gt;0,K73=0,IFERROR(INDEX(고객사!$H$5:$H$104,MATCH($B73,고객사!$A$5:$A$104,0)),"")="자사 차량 운행"),"차량 미배정",""))</f>
        <v/>
      </c>
      <c r="N73" s="22" t="n">
        <f aca="false">IF($B73="","",IFERROR(INDEX(고객사!$J$5:$J$104,MATCH($B73,고객사!$A$5:$A$104,0)),0))</f>
        <v>400000</v>
      </c>
      <c r="O73" s="22" t="n">
        <f aca="false">IF($B73="","",G73*N73)</f>
        <v>5200000</v>
      </c>
      <c r="P73" s="22" t="n">
        <f aca="false">IF($B73="","",IFERROR(INDEX(고객사!$K$5:$K$104,MATCH($B73,고객사!$A$5:$A$104,0)),0))</f>
        <v>315000</v>
      </c>
      <c r="Q73" s="22" t="n">
        <f aca="false">IF($B73="","",G73*P73)</f>
        <v>4095000</v>
      </c>
      <c r="R73" s="22" t="n">
        <f aca="false">IF($B73="","",O73-Q73-L73)</f>
        <v>1105000</v>
      </c>
      <c r="S73" s="21" t="n">
        <f aca="false">IF(OR($B73="",N(O73)=0),"",R73/O73)</f>
        <v>0.2125</v>
      </c>
      <c r="T73" s="14"/>
      <c r="U73" s="19" t="n">
        <f aca="false">IF(OR($B73="",$A73=""),0,IF(COUNTIFS($A$5:$A73,$A73,$B$5:$B73,$B73)=1,1,0))</f>
        <v>1</v>
      </c>
    </row>
    <row r="74" customFormat="false" ht="15" hidden="false" customHeight="false" outlineLevel="0" collapsed="false">
      <c r="A74" s="17" t="n">
        <v>46281</v>
      </c>
      <c r="B74" s="13" t="s">
        <v>64</v>
      </c>
      <c r="C74" s="20" t="str">
        <f aca="false">IF($B74="","",IFERROR(INDEX(고객사!$B$5:$B$104,MATCH($B74,고객사!$A$5:$A$104,0)),"코드 확인"))</f>
        <v>예시) 미래식품 빈즈엉</v>
      </c>
      <c r="D74" s="15" t="s">
        <v>99</v>
      </c>
      <c r="E74" s="13" t="s">
        <v>100</v>
      </c>
      <c r="F74" s="16" t="n">
        <v>22</v>
      </c>
      <c r="G74" s="16" t="n">
        <v>17</v>
      </c>
      <c r="H74" s="21" t="n">
        <f aca="false">IF(OR($B74="",F74=0),"",G74/F74)</f>
        <v>0.772727272727273</v>
      </c>
      <c r="I74" s="22" t="n">
        <f aca="false">IF($B74="","",MAX(F74-G74,0))</f>
        <v>5</v>
      </c>
      <c r="J74" s="23" t="str">
        <f aca="false">IF($B74="","",IFERROR(INDEX(고객사!$G$5:$G$104,MATCH($B74,고객사!$A$5:$A$104,0)),""))</f>
        <v>Y</v>
      </c>
      <c r="K74" s="16" t="n">
        <v>0</v>
      </c>
      <c r="L74" s="22" t="n">
        <f aca="false">IF($B74="","",K74*IFERROR(INDEX(고객사!$L$5:$L$104,MATCH($B74,고객사!$A$5:$A$104,0)),0))</f>
        <v>0</v>
      </c>
      <c r="M74" s="23" t="str">
        <f aca="false">IF($B74="","",IF(AND(J74="N",G74&gt;0,K74=0,IFERROR(INDEX(고객사!$H$5:$H$104,MATCH($B74,고객사!$A$5:$A$104,0)),"")="자사 차량 운행"),"차량 미배정",""))</f>
        <v/>
      </c>
      <c r="N74" s="22" t="n">
        <f aca="false">IF($B74="","",IFERROR(INDEX(고객사!$J$5:$J$104,MATCH($B74,고객사!$A$5:$A$104,0)),0))</f>
        <v>390000</v>
      </c>
      <c r="O74" s="22" t="n">
        <f aca="false">IF($B74="","",G74*N74)</f>
        <v>6630000</v>
      </c>
      <c r="P74" s="22" t="n">
        <f aca="false">IF($B74="","",IFERROR(INDEX(고객사!$K$5:$K$104,MATCH($B74,고객사!$A$5:$A$104,0)),0))</f>
        <v>305000</v>
      </c>
      <c r="Q74" s="22" t="n">
        <f aca="false">IF($B74="","",G74*P74)</f>
        <v>5185000</v>
      </c>
      <c r="R74" s="22" t="n">
        <f aca="false">IF($B74="","",O74-Q74-L74)</f>
        <v>1445000</v>
      </c>
      <c r="S74" s="21" t="n">
        <f aca="false">IF(OR($B74="",N(O74)=0),"",R74/O74)</f>
        <v>0.217948717948718</v>
      </c>
      <c r="T74" s="14"/>
      <c r="U74" s="19" t="n">
        <f aca="false">IF(OR($B74="",$A74=""),0,IF(COUNTIFS($A$5:$A74,$A74,$B$5:$B74,$B74)=1,1,0))</f>
        <v>1</v>
      </c>
    </row>
    <row r="75" customFormat="false" ht="15" hidden="false" customHeight="false" outlineLevel="0" collapsed="false">
      <c r="A75" s="17" t="n">
        <v>46282</v>
      </c>
      <c r="B75" s="13" t="s">
        <v>36</v>
      </c>
      <c r="C75" s="20" t="str">
        <f aca="false">IF($B75="","",IFERROR(INDEX(고객사!$B$5:$B$104,MATCH($B75,고객사!$A$5:$A$104,0)),"코드 확인"))</f>
        <v>예시) 한빛전자 비나</v>
      </c>
      <c r="D75" s="15" t="s">
        <v>93</v>
      </c>
      <c r="E75" s="15" t="s">
        <v>94</v>
      </c>
      <c r="F75" s="16" t="n">
        <v>40</v>
      </c>
      <c r="G75" s="16" t="n">
        <v>40</v>
      </c>
      <c r="H75" s="21" t="n">
        <f aca="false">IF(OR($B75="",F75=0),"",G75/F75)</f>
        <v>1</v>
      </c>
      <c r="I75" s="22" t="n">
        <f aca="false">IF($B75="","",MAX(F75-G75,0))</f>
        <v>0</v>
      </c>
      <c r="J75" s="23" t="str">
        <f aca="false">IF($B75="","",IFERROR(INDEX(고객사!$G$5:$G$104,MATCH($B75,고객사!$A$5:$A$104,0)),""))</f>
        <v>Y</v>
      </c>
      <c r="K75" s="16" t="n">
        <v>0</v>
      </c>
      <c r="L75" s="22" t="n">
        <f aca="false">IF($B75="","",K75*IFERROR(INDEX(고객사!$L$5:$L$104,MATCH($B75,고객사!$A$5:$A$104,0)),0))</f>
        <v>0</v>
      </c>
      <c r="M75" s="23" t="str">
        <f aca="false">IF($B75="","",IF(AND(J75="N",G75&gt;0,K75=0,IFERROR(INDEX(고객사!$H$5:$H$104,MATCH($B75,고객사!$A$5:$A$104,0)),"")="자사 차량 운행"),"차량 미배정",""))</f>
        <v/>
      </c>
      <c r="N75" s="22" t="n">
        <f aca="false">IF($B75="","",IFERROR(INDEX(고객사!$J$5:$J$104,MATCH($B75,고객사!$A$5:$A$104,0)),0))</f>
        <v>420000</v>
      </c>
      <c r="O75" s="22" t="n">
        <f aca="false">IF($B75="","",G75*N75)</f>
        <v>16800000</v>
      </c>
      <c r="P75" s="22" t="n">
        <f aca="false">IF($B75="","",IFERROR(INDEX(고객사!$K$5:$K$104,MATCH($B75,고객사!$A$5:$A$104,0)),0))</f>
        <v>330000</v>
      </c>
      <c r="Q75" s="22" t="n">
        <f aca="false">IF($B75="","",G75*P75)</f>
        <v>13200000</v>
      </c>
      <c r="R75" s="22" t="n">
        <f aca="false">IF($B75="","",O75-Q75-L75)</f>
        <v>3600000</v>
      </c>
      <c r="S75" s="21" t="n">
        <f aca="false">IF(OR($B75="",N(O75)=0),"",R75/O75)</f>
        <v>0.214285714285714</v>
      </c>
      <c r="T75" s="14"/>
      <c r="U75" s="19" t="n">
        <f aca="false">IF(OR($B75="",$A75=""),0,IF(COUNTIFS($A$5:$A75,$A75,$B$5:$B75,$B75)=1,1,0))</f>
        <v>1</v>
      </c>
    </row>
    <row r="76" customFormat="false" ht="15" hidden="false" customHeight="false" outlineLevel="0" collapsed="false">
      <c r="A76" s="17" t="n">
        <v>46282</v>
      </c>
      <c r="B76" s="13" t="s">
        <v>36</v>
      </c>
      <c r="C76" s="20" t="str">
        <f aca="false">IF($B76="","",IFERROR(INDEX(고객사!$B$5:$B$104,MATCH($B76,고객사!$A$5:$A$104,0)),"코드 확인"))</f>
        <v>예시) 한빛전자 비나</v>
      </c>
      <c r="D76" s="15" t="s">
        <v>96</v>
      </c>
      <c r="E76" s="15" t="s">
        <v>97</v>
      </c>
      <c r="F76" s="16" t="n">
        <v>12</v>
      </c>
      <c r="G76" s="16" t="n">
        <v>12</v>
      </c>
      <c r="H76" s="21" t="n">
        <f aca="false">IF(OR($B76="",F76=0),"",G76/F76)</f>
        <v>1</v>
      </c>
      <c r="I76" s="22" t="n">
        <f aca="false">IF($B76="","",MAX(F76-G76,0))</f>
        <v>0</v>
      </c>
      <c r="J76" s="23" t="str">
        <f aca="false">IF($B76="","",IFERROR(INDEX(고객사!$G$5:$G$104,MATCH($B76,고객사!$A$5:$A$104,0)),""))</f>
        <v>Y</v>
      </c>
      <c r="K76" s="16" t="n">
        <v>0</v>
      </c>
      <c r="L76" s="22" t="n">
        <f aca="false">IF($B76="","",K76*IFERROR(INDEX(고객사!$L$5:$L$104,MATCH($B76,고객사!$A$5:$A$104,0)),0))</f>
        <v>0</v>
      </c>
      <c r="M76" s="23" t="str">
        <f aca="false">IF($B76="","",IF(AND(J76="N",G76&gt;0,K76=0,IFERROR(INDEX(고객사!$H$5:$H$104,MATCH($B76,고객사!$A$5:$A$104,0)),"")="자사 차량 운행"),"차량 미배정",""))</f>
        <v/>
      </c>
      <c r="N76" s="22" t="n">
        <f aca="false">IF($B76="","",IFERROR(INDEX(고객사!$J$5:$J$104,MATCH($B76,고객사!$A$5:$A$104,0)),0))</f>
        <v>420000</v>
      </c>
      <c r="O76" s="22" t="n">
        <f aca="false">IF($B76="","",G76*N76)</f>
        <v>5040000</v>
      </c>
      <c r="P76" s="22" t="n">
        <f aca="false">IF($B76="","",IFERROR(INDEX(고객사!$K$5:$K$104,MATCH($B76,고객사!$A$5:$A$104,0)),0))</f>
        <v>330000</v>
      </c>
      <c r="Q76" s="22" t="n">
        <f aca="false">IF($B76="","",G76*P76)</f>
        <v>3960000</v>
      </c>
      <c r="R76" s="22" t="n">
        <f aca="false">IF($B76="","",O76-Q76-L76)</f>
        <v>1080000</v>
      </c>
      <c r="S76" s="21" t="n">
        <f aca="false">IF(OR($B76="",N(O76)=0),"",R76/O76)</f>
        <v>0.214285714285714</v>
      </c>
      <c r="T76" s="14"/>
      <c r="U76" s="19" t="n">
        <f aca="false">IF(OR($B76="",$A76=""),0,IF(COUNTIFS($A$5:$A76,$A76,$B$5:$B76,$B76)=1,1,0))</f>
        <v>0</v>
      </c>
    </row>
    <row r="77" customFormat="false" ht="15" hidden="false" customHeight="false" outlineLevel="0" collapsed="false">
      <c r="A77" s="17" t="n">
        <v>46282</v>
      </c>
      <c r="B77" s="13" t="s">
        <v>46</v>
      </c>
      <c r="C77" s="20" t="str">
        <f aca="false">IF($B77="","",IFERROR(INDEX(고객사!$B$5:$B$104,MATCH($B77,고객사!$A$5:$A$104,0)),"코드 확인"))</f>
        <v>예시) 대성섬유 VN</v>
      </c>
      <c r="D77" s="15" t="s">
        <v>49</v>
      </c>
      <c r="E77" s="15" t="s">
        <v>94</v>
      </c>
      <c r="F77" s="16" t="n">
        <v>30</v>
      </c>
      <c r="G77" s="16" t="n">
        <v>29</v>
      </c>
      <c r="H77" s="21" t="n">
        <f aca="false">IF(OR($B77="",F77=0),"",G77/F77)</f>
        <v>0.966666666666667</v>
      </c>
      <c r="I77" s="22" t="n">
        <f aca="false">IF($B77="","",MAX(F77-G77,0))</f>
        <v>1</v>
      </c>
      <c r="J77" s="23" t="str">
        <f aca="false">IF($B77="","",IFERROR(INDEX(고객사!$G$5:$G$104,MATCH($B77,고객사!$A$5:$A$104,0)),""))</f>
        <v>N</v>
      </c>
      <c r="K77" s="16" t="n">
        <v>1</v>
      </c>
      <c r="L77" s="22" t="n">
        <f aca="false">IF($B77="","",K77*IFERROR(INDEX(고객사!$L$5:$L$104,MATCH($B77,고객사!$A$5:$A$104,0)),0))</f>
        <v>1200000</v>
      </c>
      <c r="M77" s="23" t="str">
        <f aca="false">IF($B77="","",IF(AND(J77="N",G77&gt;0,K77=0,IFERROR(INDEX(고객사!$H$5:$H$104,MATCH($B77,고객사!$A$5:$A$104,0)),"")="자사 차량 운행"),"차량 미배정",""))</f>
        <v/>
      </c>
      <c r="N77" s="22" t="n">
        <f aca="false">IF($B77="","",IFERROR(INDEX(고객사!$J$5:$J$104,MATCH($B77,고객사!$A$5:$A$104,0)),0))</f>
        <v>380000</v>
      </c>
      <c r="O77" s="22" t="n">
        <f aca="false">IF($B77="","",G77*N77)</f>
        <v>11020000</v>
      </c>
      <c r="P77" s="22" t="n">
        <f aca="false">IF($B77="","",IFERROR(INDEX(고객사!$K$5:$K$104,MATCH($B77,고객사!$A$5:$A$104,0)),0))</f>
        <v>300000</v>
      </c>
      <c r="Q77" s="22" t="n">
        <f aca="false">IF($B77="","",G77*P77)</f>
        <v>8700000</v>
      </c>
      <c r="R77" s="22" t="n">
        <f aca="false">IF($B77="","",O77-Q77-L77)</f>
        <v>1120000</v>
      </c>
      <c r="S77" s="21" t="n">
        <f aca="false">IF(OR($B77="",N(O77)=0),"",R77/O77)</f>
        <v>0.101633393829401</v>
      </c>
      <c r="T77" s="14"/>
      <c r="U77" s="19" t="n">
        <f aca="false">IF(OR($B77="",$A77=""),0,IF(COUNTIFS($A$5:$A77,$A77,$B$5:$B77,$B77)=1,1,0))</f>
        <v>1</v>
      </c>
    </row>
    <row r="78" customFormat="false" ht="15" hidden="false" customHeight="false" outlineLevel="0" collapsed="false">
      <c r="A78" s="17" t="n">
        <v>46282</v>
      </c>
      <c r="B78" s="13" t="s">
        <v>56</v>
      </c>
      <c r="C78" s="20" t="str">
        <f aca="false">IF($B78="","",IFERROR(INDEX(고객사!$B$5:$B$104,MATCH($B78,고객사!$A$5:$A$104,0)),"코드 확인"))</f>
        <v>예시) 그린물류 하노이</v>
      </c>
      <c r="D78" s="15" t="s">
        <v>98</v>
      </c>
      <c r="E78" s="15" t="s">
        <v>94</v>
      </c>
      <c r="F78" s="16" t="n">
        <v>18</v>
      </c>
      <c r="G78" s="16" t="n">
        <v>13</v>
      </c>
      <c r="H78" s="21" t="n">
        <f aca="false">IF(OR($B78="",F78=0),"",G78/F78)</f>
        <v>0.722222222222222</v>
      </c>
      <c r="I78" s="22" t="n">
        <f aca="false">IF($B78="","",MAX(F78-G78,0))</f>
        <v>5</v>
      </c>
      <c r="J78" s="23" t="str">
        <f aca="false">IF($B78="","",IFERROR(INDEX(고객사!$G$5:$G$104,MATCH($B78,고객사!$A$5:$A$104,0)),""))</f>
        <v>N</v>
      </c>
      <c r="K78" s="16" t="n">
        <v>0</v>
      </c>
      <c r="L78" s="22" t="n">
        <f aca="false">IF($B78="","",K78*IFERROR(INDEX(고객사!$L$5:$L$104,MATCH($B78,고객사!$A$5:$A$104,0)),0))</f>
        <v>0</v>
      </c>
      <c r="M78" s="23" t="str">
        <f aca="false">IF($B78="","",IF(AND(J78="N",G78&gt;0,K78=0,IFERROR(INDEX(고객사!$H$5:$H$104,MATCH($B78,고객사!$A$5:$A$104,0)),"")="자사 차량 운행"),"차량 미배정",""))</f>
        <v/>
      </c>
      <c r="N78" s="22" t="n">
        <f aca="false">IF($B78="","",IFERROR(INDEX(고객사!$J$5:$J$104,MATCH($B78,고객사!$A$5:$A$104,0)),0))</f>
        <v>400000</v>
      </c>
      <c r="O78" s="22" t="n">
        <f aca="false">IF($B78="","",G78*N78)</f>
        <v>5200000</v>
      </c>
      <c r="P78" s="22" t="n">
        <f aca="false">IF($B78="","",IFERROR(INDEX(고객사!$K$5:$K$104,MATCH($B78,고객사!$A$5:$A$104,0)),0))</f>
        <v>315000</v>
      </c>
      <c r="Q78" s="22" t="n">
        <f aca="false">IF($B78="","",G78*P78)</f>
        <v>4095000</v>
      </c>
      <c r="R78" s="22" t="n">
        <f aca="false">IF($B78="","",O78-Q78-L78)</f>
        <v>1105000</v>
      </c>
      <c r="S78" s="21" t="n">
        <f aca="false">IF(OR($B78="",N(O78)=0),"",R78/O78)</f>
        <v>0.2125</v>
      </c>
      <c r="T78" s="14"/>
      <c r="U78" s="19" t="n">
        <f aca="false">IF(OR($B78="",$A78=""),0,IF(COUNTIFS($A$5:$A78,$A78,$B$5:$B78,$B78)=1,1,0))</f>
        <v>1</v>
      </c>
    </row>
    <row r="79" customFormat="false" ht="15" hidden="false" customHeight="false" outlineLevel="0" collapsed="false">
      <c r="A79" s="17" t="n">
        <v>46282</v>
      </c>
      <c r="B79" s="13" t="s">
        <v>64</v>
      </c>
      <c r="C79" s="20" t="str">
        <f aca="false">IF($B79="","",IFERROR(INDEX(고객사!$B$5:$B$104,MATCH($B79,고객사!$A$5:$A$104,0)),"코드 확인"))</f>
        <v>예시) 미래식품 빈즈엉</v>
      </c>
      <c r="D79" s="15" t="s">
        <v>99</v>
      </c>
      <c r="E79" s="13" t="s">
        <v>100</v>
      </c>
      <c r="F79" s="16" t="n">
        <v>22</v>
      </c>
      <c r="G79" s="16" t="n">
        <v>22</v>
      </c>
      <c r="H79" s="21" t="n">
        <f aca="false">IF(OR($B79="",F79=0),"",G79/F79)</f>
        <v>1</v>
      </c>
      <c r="I79" s="22" t="n">
        <f aca="false">IF($B79="","",MAX(F79-G79,0))</f>
        <v>0</v>
      </c>
      <c r="J79" s="23" t="str">
        <f aca="false">IF($B79="","",IFERROR(INDEX(고객사!$G$5:$G$104,MATCH($B79,고객사!$A$5:$A$104,0)),""))</f>
        <v>Y</v>
      </c>
      <c r="K79" s="16" t="n">
        <v>0</v>
      </c>
      <c r="L79" s="22" t="n">
        <f aca="false">IF($B79="","",K79*IFERROR(INDEX(고객사!$L$5:$L$104,MATCH($B79,고객사!$A$5:$A$104,0)),0))</f>
        <v>0</v>
      </c>
      <c r="M79" s="23" t="str">
        <f aca="false">IF($B79="","",IF(AND(J79="N",G79&gt;0,K79=0,IFERROR(INDEX(고객사!$H$5:$H$104,MATCH($B79,고객사!$A$5:$A$104,0)),"")="자사 차량 운행"),"차량 미배정",""))</f>
        <v/>
      </c>
      <c r="N79" s="22" t="n">
        <f aca="false">IF($B79="","",IFERROR(INDEX(고객사!$J$5:$J$104,MATCH($B79,고객사!$A$5:$A$104,0)),0))</f>
        <v>390000</v>
      </c>
      <c r="O79" s="22" t="n">
        <f aca="false">IF($B79="","",G79*N79)</f>
        <v>8580000</v>
      </c>
      <c r="P79" s="22" t="n">
        <f aca="false">IF($B79="","",IFERROR(INDEX(고객사!$K$5:$K$104,MATCH($B79,고객사!$A$5:$A$104,0)),0))</f>
        <v>305000</v>
      </c>
      <c r="Q79" s="22" t="n">
        <f aca="false">IF($B79="","",G79*P79)</f>
        <v>6710000</v>
      </c>
      <c r="R79" s="22" t="n">
        <f aca="false">IF($B79="","",O79-Q79-L79)</f>
        <v>1870000</v>
      </c>
      <c r="S79" s="21" t="n">
        <f aca="false">IF(OR($B79="",N(O79)=0),"",R79/O79)</f>
        <v>0.217948717948718</v>
      </c>
      <c r="T79" s="14"/>
      <c r="U79" s="19" t="n">
        <f aca="false">IF(OR($B79="",$A79=""),0,IF(COUNTIFS($A$5:$A79,$A79,$B$5:$B79,$B79)=1,1,0))</f>
        <v>1</v>
      </c>
    </row>
    <row r="80" customFormat="false" ht="15" hidden="false" customHeight="false" outlineLevel="0" collapsed="false">
      <c r="A80" s="17" t="n">
        <v>46283</v>
      </c>
      <c r="B80" s="13" t="s">
        <v>36</v>
      </c>
      <c r="C80" s="20" t="str">
        <f aca="false">IF($B80="","",IFERROR(INDEX(고객사!$B$5:$B$104,MATCH($B80,고객사!$A$5:$A$104,0)),"코드 확인"))</f>
        <v>예시) 한빛전자 비나</v>
      </c>
      <c r="D80" s="15" t="s">
        <v>93</v>
      </c>
      <c r="E80" s="15" t="s">
        <v>94</v>
      </c>
      <c r="F80" s="16" t="n">
        <v>40</v>
      </c>
      <c r="G80" s="16" t="n">
        <v>40</v>
      </c>
      <c r="H80" s="21" t="n">
        <f aca="false">IF(OR($B80="",F80=0),"",G80/F80)</f>
        <v>1</v>
      </c>
      <c r="I80" s="22" t="n">
        <f aca="false">IF($B80="","",MAX(F80-G80,0))</f>
        <v>0</v>
      </c>
      <c r="J80" s="23" t="str">
        <f aca="false">IF($B80="","",IFERROR(INDEX(고객사!$G$5:$G$104,MATCH($B80,고객사!$A$5:$A$104,0)),""))</f>
        <v>Y</v>
      </c>
      <c r="K80" s="16" t="n">
        <v>0</v>
      </c>
      <c r="L80" s="22" t="n">
        <f aca="false">IF($B80="","",K80*IFERROR(INDEX(고객사!$L$5:$L$104,MATCH($B80,고객사!$A$5:$A$104,0)),0))</f>
        <v>0</v>
      </c>
      <c r="M80" s="23" t="str">
        <f aca="false">IF($B80="","",IF(AND(J80="N",G80&gt;0,K80=0,IFERROR(INDEX(고객사!$H$5:$H$104,MATCH($B80,고객사!$A$5:$A$104,0)),"")="자사 차량 운행"),"차량 미배정",""))</f>
        <v/>
      </c>
      <c r="N80" s="22" t="n">
        <f aca="false">IF($B80="","",IFERROR(INDEX(고객사!$J$5:$J$104,MATCH($B80,고객사!$A$5:$A$104,0)),0))</f>
        <v>420000</v>
      </c>
      <c r="O80" s="22" t="n">
        <f aca="false">IF($B80="","",G80*N80)</f>
        <v>16800000</v>
      </c>
      <c r="P80" s="22" t="n">
        <f aca="false">IF($B80="","",IFERROR(INDEX(고객사!$K$5:$K$104,MATCH($B80,고객사!$A$5:$A$104,0)),0))</f>
        <v>330000</v>
      </c>
      <c r="Q80" s="22" t="n">
        <f aca="false">IF($B80="","",G80*P80)</f>
        <v>13200000</v>
      </c>
      <c r="R80" s="22" t="n">
        <f aca="false">IF($B80="","",O80-Q80-L80)</f>
        <v>3600000</v>
      </c>
      <c r="S80" s="21" t="n">
        <f aca="false">IF(OR($B80="",N(O80)=0),"",R80/O80)</f>
        <v>0.214285714285714</v>
      </c>
      <c r="T80" s="14"/>
      <c r="U80" s="19" t="n">
        <f aca="false">IF(OR($B80="",$A80=""),0,IF(COUNTIFS($A$5:$A80,$A80,$B$5:$B80,$B80)=1,1,0))</f>
        <v>1</v>
      </c>
    </row>
    <row r="81" customFormat="false" ht="15" hidden="false" customHeight="false" outlineLevel="0" collapsed="false">
      <c r="A81" s="17" t="n">
        <v>46283</v>
      </c>
      <c r="B81" s="13" t="s">
        <v>36</v>
      </c>
      <c r="C81" s="20" t="str">
        <f aca="false">IF($B81="","",IFERROR(INDEX(고객사!$B$5:$B$104,MATCH($B81,고객사!$A$5:$A$104,0)),"코드 확인"))</f>
        <v>예시) 한빛전자 비나</v>
      </c>
      <c r="D81" s="15" t="s">
        <v>96</v>
      </c>
      <c r="E81" s="15" t="s">
        <v>97</v>
      </c>
      <c r="F81" s="16" t="n">
        <v>12</v>
      </c>
      <c r="G81" s="16" t="n">
        <v>11</v>
      </c>
      <c r="H81" s="21" t="n">
        <f aca="false">IF(OR($B81="",F81=0),"",G81/F81)</f>
        <v>0.916666666666667</v>
      </c>
      <c r="I81" s="22" t="n">
        <f aca="false">IF($B81="","",MAX(F81-G81,0))</f>
        <v>1</v>
      </c>
      <c r="J81" s="23" t="str">
        <f aca="false">IF($B81="","",IFERROR(INDEX(고객사!$G$5:$G$104,MATCH($B81,고객사!$A$5:$A$104,0)),""))</f>
        <v>Y</v>
      </c>
      <c r="K81" s="16" t="n">
        <v>0</v>
      </c>
      <c r="L81" s="22" t="n">
        <f aca="false">IF($B81="","",K81*IFERROR(INDEX(고객사!$L$5:$L$104,MATCH($B81,고객사!$A$5:$A$104,0)),0))</f>
        <v>0</v>
      </c>
      <c r="M81" s="23" t="str">
        <f aca="false">IF($B81="","",IF(AND(J81="N",G81&gt;0,K81=0,IFERROR(INDEX(고객사!$H$5:$H$104,MATCH($B81,고객사!$A$5:$A$104,0)),"")="자사 차량 운행"),"차량 미배정",""))</f>
        <v/>
      </c>
      <c r="N81" s="22" t="n">
        <f aca="false">IF($B81="","",IFERROR(INDEX(고객사!$J$5:$J$104,MATCH($B81,고객사!$A$5:$A$104,0)),0))</f>
        <v>420000</v>
      </c>
      <c r="O81" s="22" t="n">
        <f aca="false">IF($B81="","",G81*N81)</f>
        <v>4620000</v>
      </c>
      <c r="P81" s="22" t="n">
        <f aca="false">IF($B81="","",IFERROR(INDEX(고객사!$K$5:$K$104,MATCH($B81,고객사!$A$5:$A$104,0)),0))</f>
        <v>330000</v>
      </c>
      <c r="Q81" s="22" t="n">
        <f aca="false">IF($B81="","",G81*P81)</f>
        <v>3630000</v>
      </c>
      <c r="R81" s="22" t="n">
        <f aca="false">IF($B81="","",O81-Q81-L81)</f>
        <v>990000</v>
      </c>
      <c r="S81" s="21" t="n">
        <f aca="false">IF(OR($B81="",N(O81)=0),"",R81/O81)</f>
        <v>0.214285714285714</v>
      </c>
      <c r="T81" s="14"/>
      <c r="U81" s="19" t="n">
        <f aca="false">IF(OR($B81="",$A81=""),0,IF(COUNTIFS($A$5:$A81,$A81,$B$5:$B81,$B81)=1,1,0))</f>
        <v>0</v>
      </c>
    </row>
    <row r="82" customFormat="false" ht="15" hidden="false" customHeight="false" outlineLevel="0" collapsed="false">
      <c r="A82" s="17" t="n">
        <v>46283</v>
      </c>
      <c r="B82" s="13" t="s">
        <v>46</v>
      </c>
      <c r="C82" s="20" t="str">
        <f aca="false">IF($B82="","",IFERROR(INDEX(고객사!$B$5:$B$104,MATCH($B82,고객사!$A$5:$A$104,0)),"코드 확인"))</f>
        <v>예시) 대성섬유 VN</v>
      </c>
      <c r="D82" s="15" t="s">
        <v>49</v>
      </c>
      <c r="E82" s="15" t="s">
        <v>94</v>
      </c>
      <c r="F82" s="16" t="n">
        <v>30</v>
      </c>
      <c r="G82" s="16" t="n">
        <v>25</v>
      </c>
      <c r="H82" s="21" t="n">
        <f aca="false">IF(OR($B82="",F82=0),"",G82/F82)</f>
        <v>0.833333333333333</v>
      </c>
      <c r="I82" s="22" t="n">
        <f aca="false">IF($B82="","",MAX(F82-G82,0))</f>
        <v>5</v>
      </c>
      <c r="J82" s="23" t="str">
        <f aca="false">IF($B82="","",IFERROR(INDEX(고객사!$G$5:$G$104,MATCH($B82,고객사!$A$5:$A$104,0)),""))</f>
        <v>N</v>
      </c>
      <c r="K82" s="16" t="n">
        <v>1</v>
      </c>
      <c r="L82" s="22" t="n">
        <f aca="false">IF($B82="","",K82*IFERROR(INDEX(고객사!$L$5:$L$104,MATCH($B82,고객사!$A$5:$A$104,0)),0))</f>
        <v>1200000</v>
      </c>
      <c r="M82" s="23" t="str">
        <f aca="false">IF($B82="","",IF(AND(J82="N",G82&gt;0,K82=0,IFERROR(INDEX(고객사!$H$5:$H$104,MATCH($B82,고객사!$A$5:$A$104,0)),"")="자사 차량 운행"),"차량 미배정",""))</f>
        <v/>
      </c>
      <c r="N82" s="22" t="n">
        <f aca="false">IF($B82="","",IFERROR(INDEX(고객사!$J$5:$J$104,MATCH($B82,고객사!$A$5:$A$104,0)),0))</f>
        <v>380000</v>
      </c>
      <c r="O82" s="22" t="n">
        <f aca="false">IF($B82="","",G82*N82)</f>
        <v>9500000</v>
      </c>
      <c r="P82" s="22" t="n">
        <f aca="false">IF($B82="","",IFERROR(INDEX(고객사!$K$5:$K$104,MATCH($B82,고객사!$A$5:$A$104,0)),0))</f>
        <v>300000</v>
      </c>
      <c r="Q82" s="22" t="n">
        <f aca="false">IF($B82="","",G82*P82)</f>
        <v>7500000</v>
      </c>
      <c r="R82" s="22" t="n">
        <f aca="false">IF($B82="","",O82-Q82-L82)</f>
        <v>800000</v>
      </c>
      <c r="S82" s="21" t="n">
        <f aca="false">IF(OR($B82="",N(O82)=0),"",R82/O82)</f>
        <v>0.0842105263157895</v>
      </c>
      <c r="T82" s="14"/>
      <c r="U82" s="19" t="n">
        <f aca="false">IF(OR($B82="",$A82=""),0,IF(COUNTIFS($A$5:$A82,$A82,$B$5:$B82,$B82)=1,1,0))</f>
        <v>1</v>
      </c>
    </row>
    <row r="83" customFormat="false" ht="15" hidden="false" customHeight="false" outlineLevel="0" collapsed="false">
      <c r="A83" s="17" t="n">
        <v>46283</v>
      </c>
      <c r="B83" s="13" t="s">
        <v>56</v>
      </c>
      <c r="C83" s="20" t="str">
        <f aca="false">IF($B83="","",IFERROR(INDEX(고객사!$B$5:$B$104,MATCH($B83,고객사!$A$5:$A$104,0)),"코드 확인"))</f>
        <v>예시) 그린물류 하노이</v>
      </c>
      <c r="D83" s="15" t="s">
        <v>98</v>
      </c>
      <c r="E83" s="15" t="s">
        <v>94</v>
      </c>
      <c r="F83" s="16" t="n">
        <v>18</v>
      </c>
      <c r="G83" s="16" t="n">
        <v>17</v>
      </c>
      <c r="H83" s="21" t="n">
        <f aca="false">IF(OR($B83="",F83=0),"",G83/F83)</f>
        <v>0.944444444444444</v>
      </c>
      <c r="I83" s="22" t="n">
        <f aca="false">IF($B83="","",MAX(F83-G83,0))</f>
        <v>1</v>
      </c>
      <c r="J83" s="23" t="str">
        <f aca="false">IF($B83="","",IFERROR(INDEX(고객사!$G$5:$G$104,MATCH($B83,고객사!$A$5:$A$104,0)),""))</f>
        <v>N</v>
      </c>
      <c r="K83" s="16" t="n">
        <v>0</v>
      </c>
      <c r="L83" s="22" t="n">
        <f aca="false">IF($B83="","",K83*IFERROR(INDEX(고객사!$L$5:$L$104,MATCH($B83,고객사!$A$5:$A$104,0)),0))</f>
        <v>0</v>
      </c>
      <c r="M83" s="23" t="str">
        <f aca="false">IF($B83="","",IF(AND(J83="N",G83&gt;0,K83=0,IFERROR(INDEX(고객사!$H$5:$H$104,MATCH($B83,고객사!$A$5:$A$104,0)),"")="자사 차량 운행"),"차량 미배정",""))</f>
        <v/>
      </c>
      <c r="N83" s="22" t="n">
        <f aca="false">IF($B83="","",IFERROR(INDEX(고객사!$J$5:$J$104,MATCH($B83,고객사!$A$5:$A$104,0)),0))</f>
        <v>400000</v>
      </c>
      <c r="O83" s="22" t="n">
        <f aca="false">IF($B83="","",G83*N83)</f>
        <v>6800000</v>
      </c>
      <c r="P83" s="22" t="n">
        <f aca="false">IF($B83="","",IFERROR(INDEX(고객사!$K$5:$K$104,MATCH($B83,고객사!$A$5:$A$104,0)),0))</f>
        <v>315000</v>
      </c>
      <c r="Q83" s="22" t="n">
        <f aca="false">IF($B83="","",G83*P83)</f>
        <v>5355000</v>
      </c>
      <c r="R83" s="22" t="n">
        <f aca="false">IF($B83="","",O83-Q83-L83)</f>
        <v>1445000</v>
      </c>
      <c r="S83" s="21" t="n">
        <f aca="false">IF(OR($B83="",N(O83)=0),"",R83/O83)</f>
        <v>0.2125</v>
      </c>
      <c r="T83" s="14"/>
      <c r="U83" s="19" t="n">
        <f aca="false">IF(OR($B83="",$A83=""),0,IF(COUNTIFS($A$5:$A83,$A83,$B$5:$B83,$B83)=1,1,0))</f>
        <v>1</v>
      </c>
    </row>
    <row r="84" customFormat="false" ht="15" hidden="false" customHeight="false" outlineLevel="0" collapsed="false">
      <c r="A84" s="17" t="n">
        <v>46283</v>
      </c>
      <c r="B84" s="13" t="s">
        <v>64</v>
      </c>
      <c r="C84" s="20" t="str">
        <f aca="false">IF($B84="","",IFERROR(INDEX(고객사!$B$5:$B$104,MATCH($B84,고객사!$A$5:$A$104,0)),"코드 확인"))</f>
        <v>예시) 미래식품 빈즈엉</v>
      </c>
      <c r="D84" s="15" t="s">
        <v>99</v>
      </c>
      <c r="E84" s="13" t="s">
        <v>100</v>
      </c>
      <c r="F84" s="16" t="n">
        <v>22</v>
      </c>
      <c r="G84" s="16" t="n">
        <v>19</v>
      </c>
      <c r="H84" s="21" t="n">
        <f aca="false">IF(OR($B84="",F84=0),"",G84/F84)</f>
        <v>0.863636363636364</v>
      </c>
      <c r="I84" s="22" t="n">
        <f aca="false">IF($B84="","",MAX(F84-G84,0))</f>
        <v>3</v>
      </c>
      <c r="J84" s="23" t="str">
        <f aca="false">IF($B84="","",IFERROR(INDEX(고객사!$G$5:$G$104,MATCH($B84,고객사!$A$5:$A$104,0)),""))</f>
        <v>Y</v>
      </c>
      <c r="K84" s="16" t="n">
        <v>0</v>
      </c>
      <c r="L84" s="22" t="n">
        <f aca="false">IF($B84="","",K84*IFERROR(INDEX(고객사!$L$5:$L$104,MATCH($B84,고객사!$A$5:$A$104,0)),0))</f>
        <v>0</v>
      </c>
      <c r="M84" s="23" t="str">
        <f aca="false">IF($B84="","",IF(AND(J84="N",G84&gt;0,K84=0,IFERROR(INDEX(고객사!$H$5:$H$104,MATCH($B84,고객사!$A$5:$A$104,0)),"")="자사 차량 운행"),"차량 미배정",""))</f>
        <v/>
      </c>
      <c r="N84" s="22" t="n">
        <f aca="false">IF($B84="","",IFERROR(INDEX(고객사!$J$5:$J$104,MATCH($B84,고객사!$A$5:$A$104,0)),0))</f>
        <v>390000</v>
      </c>
      <c r="O84" s="22" t="n">
        <f aca="false">IF($B84="","",G84*N84)</f>
        <v>7410000</v>
      </c>
      <c r="P84" s="22" t="n">
        <f aca="false">IF($B84="","",IFERROR(INDEX(고객사!$K$5:$K$104,MATCH($B84,고객사!$A$5:$A$104,0)),0))</f>
        <v>305000</v>
      </c>
      <c r="Q84" s="22" t="n">
        <f aca="false">IF($B84="","",G84*P84)</f>
        <v>5795000</v>
      </c>
      <c r="R84" s="22" t="n">
        <f aca="false">IF($B84="","",O84-Q84-L84)</f>
        <v>1615000</v>
      </c>
      <c r="S84" s="21" t="n">
        <f aca="false">IF(OR($B84="",N(O84)=0),"",R84/O84)</f>
        <v>0.217948717948718</v>
      </c>
      <c r="T84" s="14"/>
      <c r="U84" s="19" t="n">
        <f aca="false">IF(OR($B84="",$A84=""),0,IF(COUNTIFS($A$5:$A84,$A84,$B$5:$B84,$B84)=1,1,0))</f>
        <v>1</v>
      </c>
    </row>
    <row r="85" customFormat="false" ht="15" hidden="false" customHeight="false" outlineLevel="0" collapsed="false">
      <c r="A85" s="17" t="n">
        <v>46284</v>
      </c>
      <c r="B85" s="13" t="s">
        <v>36</v>
      </c>
      <c r="C85" s="20" t="str">
        <f aca="false">IF($B85="","",IFERROR(INDEX(고객사!$B$5:$B$104,MATCH($B85,고객사!$A$5:$A$104,0)),"코드 확인"))</f>
        <v>예시) 한빛전자 비나</v>
      </c>
      <c r="D85" s="15" t="s">
        <v>93</v>
      </c>
      <c r="E85" s="15" t="s">
        <v>94</v>
      </c>
      <c r="F85" s="16" t="n">
        <v>40</v>
      </c>
      <c r="G85" s="16" t="n">
        <v>38</v>
      </c>
      <c r="H85" s="21" t="n">
        <f aca="false">IF(OR($B85="",F85=0),"",G85/F85)</f>
        <v>0.95</v>
      </c>
      <c r="I85" s="22" t="n">
        <f aca="false">IF($B85="","",MAX(F85-G85,0))</f>
        <v>2</v>
      </c>
      <c r="J85" s="23" t="str">
        <f aca="false">IF($B85="","",IFERROR(INDEX(고객사!$G$5:$G$104,MATCH($B85,고객사!$A$5:$A$104,0)),""))</f>
        <v>Y</v>
      </c>
      <c r="K85" s="16" t="n">
        <v>0</v>
      </c>
      <c r="L85" s="22" t="n">
        <f aca="false">IF($B85="","",K85*IFERROR(INDEX(고객사!$L$5:$L$104,MATCH($B85,고객사!$A$5:$A$104,0)),0))</f>
        <v>0</v>
      </c>
      <c r="M85" s="23" t="str">
        <f aca="false">IF($B85="","",IF(AND(J85="N",G85&gt;0,K85=0,IFERROR(INDEX(고객사!$H$5:$H$104,MATCH($B85,고객사!$A$5:$A$104,0)),"")="자사 차량 운행"),"차량 미배정",""))</f>
        <v/>
      </c>
      <c r="N85" s="22" t="n">
        <f aca="false">IF($B85="","",IFERROR(INDEX(고객사!$J$5:$J$104,MATCH($B85,고객사!$A$5:$A$104,0)),0))</f>
        <v>420000</v>
      </c>
      <c r="O85" s="22" t="n">
        <f aca="false">IF($B85="","",G85*N85)</f>
        <v>15960000</v>
      </c>
      <c r="P85" s="22" t="n">
        <f aca="false">IF($B85="","",IFERROR(INDEX(고객사!$K$5:$K$104,MATCH($B85,고객사!$A$5:$A$104,0)),0))</f>
        <v>330000</v>
      </c>
      <c r="Q85" s="22" t="n">
        <f aca="false">IF($B85="","",G85*P85)</f>
        <v>12540000</v>
      </c>
      <c r="R85" s="22" t="n">
        <f aca="false">IF($B85="","",O85-Q85-L85)</f>
        <v>3420000</v>
      </c>
      <c r="S85" s="21" t="n">
        <f aca="false">IF(OR($B85="",N(O85)=0),"",R85/O85)</f>
        <v>0.214285714285714</v>
      </c>
      <c r="T85" s="14"/>
      <c r="U85" s="19" t="n">
        <f aca="false">IF(OR($B85="",$A85=""),0,IF(COUNTIFS($A$5:$A85,$A85,$B$5:$B85,$B85)=1,1,0))</f>
        <v>1</v>
      </c>
    </row>
    <row r="86" customFormat="false" ht="15" hidden="false" customHeight="false" outlineLevel="0" collapsed="false">
      <c r="A86" s="17" t="n">
        <v>46284</v>
      </c>
      <c r="B86" s="13" t="s">
        <v>36</v>
      </c>
      <c r="C86" s="20" t="str">
        <f aca="false">IF($B86="","",IFERROR(INDEX(고객사!$B$5:$B$104,MATCH($B86,고객사!$A$5:$A$104,0)),"코드 확인"))</f>
        <v>예시) 한빛전자 비나</v>
      </c>
      <c r="D86" s="15" t="s">
        <v>96</v>
      </c>
      <c r="E86" s="15" t="s">
        <v>97</v>
      </c>
      <c r="F86" s="16" t="n">
        <v>12</v>
      </c>
      <c r="G86" s="16" t="n">
        <v>12</v>
      </c>
      <c r="H86" s="21" t="n">
        <f aca="false">IF(OR($B86="",F86=0),"",G86/F86)</f>
        <v>1</v>
      </c>
      <c r="I86" s="22" t="n">
        <f aca="false">IF($B86="","",MAX(F86-G86,0))</f>
        <v>0</v>
      </c>
      <c r="J86" s="23" t="str">
        <f aca="false">IF($B86="","",IFERROR(INDEX(고객사!$G$5:$G$104,MATCH($B86,고객사!$A$5:$A$104,0)),""))</f>
        <v>Y</v>
      </c>
      <c r="K86" s="16" t="n">
        <v>0</v>
      </c>
      <c r="L86" s="22" t="n">
        <f aca="false">IF($B86="","",K86*IFERROR(INDEX(고객사!$L$5:$L$104,MATCH($B86,고객사!$A$5:$A$104,0)),0))</f>
        <v>0</v>
      </c>
      <c r="M86" s="23" t="str">
        <f aca="false">IF($B86="","",IF(AND(J86="N",G86&gt;0,K86=0,IFERROR(INDEX(고객사!$H$5:$H$104,MATCH($B86,고객사!$A$5:$A$104,0)),"")="자사 차량 운행"),"차량 미배정",""))</f>
        <v/>
      </c>
      <c r="N86" s="22" t="n">
        <f aca="false">IF($B86="","",IFERROR(INDEX(고객사!$J$5:$J$104,MATCH($B86,고객사!$A$5:$A$104,0)),0))</f>
        <v>420000</v>
      </c>
      <c r="O86" s="22" t="n">
        <f aca="false">IF($B86="","",G86*N86)</f>
        <v>5040000</v>
      </c>
      <c r="P86" s="22" t="n">
        <f aca="false">IF($B86="","",IFERROR(INDEX(고객사!$K$5:$K$104,MATCH($B86,고객사!$A$5:$A$104,0)),0))</f>
        <v>330000</v>
      </c>
      <c r="Q86" s="22" t="n">
        <f aca="false">IF($B86="","",G86*P86)</f>
        <v>3960000</v>
      </c>
      <c r="R86" s="22" t="n">
        <f aca="false">IF($B86="","",O86-Q86-L86)</f>
        <v>1080000</v>
      </c>
      <c r="S86" s="21" t="n">
        <f aca="false">IF(OR($B86="",N(O86)=0),"",R86/O86)</f>
        <v>0.214285714285714</v>
      </c>
      <c r="T86" s="14"/>
      <c r="U86" s="19" t="n">
        <f aca="false">IF(OR($B86="",$A86=""),0,IF(COUNTIFS($A$5:$A86,$A86,$B$5:$B86,$B86)=1,1,0))</f>
        <v>0</v>
      </c>
    </row>
    <row r="87" customFormat="false" ht="15" hidden="false" customHeight="false" outlineLevel="0" collapsed="false">
      <c r="A87" s="17" t="n">
        <v>46284</v>
      </c>
      <c r="B87" s="13" t="s">
        <v>46</v>
      </c>
      <c r="C87" s="20" t="str">
        <f aca="false">IF($B87="","",IFERROR(INDEX(고객사!$B$5:$B$104,MATCH($B87,고객사!$A$5:$A$104,0)),"코드 확인"))</f>
        <v>예시) 대성섬유 VN</v>
      </c>
      <c r="D87" s="15" t="s">
        <v>49</v>
      </c>
      <c r="E87" s="15" t="s">
        <v>94</v>
      </c>
      <c r="F87" s="16" t="n">
        <v>30</v>
      </c>
      <c r="G87" s="16" t="n">
        <v>25</v>
      </c>
      <c r="H87" s="21" t="n">
        <f aca="false">IF(OR($B87="",F87=0),"",G87/F87)</f>
        <v>0.833333333333333</v>
      </c>
      <c r="I87" s="22" t="n">
        <f aca="false">IF($B87="","",MAX(F87-G87,0))</f>
        <v>5</v>
      </c>
      <c r="J87" s="23" t="str">
        <f aca="false">IF($B87="","",IFERROR(INDEX(고객사!$G$5:$G$104,MATCH($B87,고객사!$A$5:$A$104,0)),""))</f>
        <v>N</v>
      </c>
      <c r="K87" s="16" t="n">
        <v>1</v>
      </c>
      <c r="L87" s="22" t="n">
        <f aca="false">IF($B87="","",K87*IFERROR(INDEX(고객사!$L$5:$L$104,MATCH($B87,고객사!$A$5:$A$104,0)),0))</f>
        <v>1200000</v>
      </c>
      <c r="M87" s="23" t="str">
        <f aca="false">IF($B87="","",IF(AND(J87="N",G87&gt;0,K87=0,IFERROR(INDEX(고객사!$H$5:$H$104,MATCH($B87,고객사!$A$5:$A$104,0)),"")="자사 차량 운행"),"차량 미배정",""))</f>
        <v/>
      </c>
      <c r="N87" s="22" t="n">
        <f aca="false">IF($B87="","",IFERROR(INDEX(고객사!$J$5:$J$104,MATCH($B87,고객사!$A$5:$A$104,0)),0))</f>
        <v>380000</v>
      </c>
      <c r="O87" s="22" t="n">
        <f aca="false">IF($B87="","",G87*N87)</f>
        <v>9500000</v>
      </c>
      <c r="P87" s="22" t="n">
        <f aca="false">IF($B87="","",IFERROR(INDEX(고객사!$K$5:$K$104,MATCH($B87,고객사!$A$5:$A$104,0)),0))</f>
        <v>300000</v>
      </c>
      <c r="Q87" s="22" t="n">
        <f aca="false">IF($B87="","",G87*P87)</f>
        <v>7500000</v>
      </c>
      <c r="R87" s="22" t="n">
        <f aca="false">IF($B87="","",O87-Q87-L87)</f>
        <v>800000</v>
      </c>
      <c r="S87" s="21" t="n">
        <f aca="false">IF(OR($B87="",N(O87)=0),"",R87/O87)</f>
        <v>0.0842105263157895</v>
      </c>
      <c r="T87" s="14"/>
      <c r="U87" s="19" t="n">
        <f aca="false">IF(OR($B87="",$A87=""),0,IF(COUNTIFS($A$5:$A87,$A87,$B$5:$B87,$B87)=1,1,0))</f>
        <v>1</v>
      </c>
    </row>
    <row r="88" customFormat="false" ht="15" hidden="false" customHeight="false" outlineLevel="0" collapsed="false">
      <c r="A88" s="17" t="n">
        <v>46284</v>
      </c>
      <c r="B88" s="13" t="s">
        <v>56</v>
      </c>
      <c r="C88" s="20" t="str">
        <f aca="false">IF($B88="","",IFERROR(INDEX(고객사!$B$5:$B$104,MATCH($B88,고객사!$A$5:$A$104,0)),"코드 확인"))</f>
        <v>예시) 그린물류 하노이</v>
      </c>
      <c r="D88" s="15" t="s">
        <v>98</v>
      </c>
      <c r="E88" s="15" t="s">
        <v>94</v>
      </c>
      <c r="F88" s="16" t="n">
        <v>18</v>
      </c>
      <c r="G88" s="16" t="n">
        <v>16</v>
      </c>
      <c r="H88" s="21" t="n">
        <f aca="false">IF(OR($B88="",F88=0),"",G88/F88)</f>
        <v>0.888888888888889</v>
      </c>
      <c r="I88" s="22" t="n">
        <f aca="false">IF($B88="","",MAX(F88-G88,0))</f>
        <v>2</v>
      </c>
      <c r="J88" s="23" t="str">
        <f aca="false">IF($B88="","",IFERROR(INDEX(고객사!$G$5:$G$104,MATCH($B88,고객사!$A$5:$A$104,0)),""))</f>
        <v>N</v>
      </c>
      <c r="K88" s="16" t="n">
        <v>0</v>
      </c>
      <c r="L88" s="22" t="n">
        <f aca="false">IF($B88="","",K88*IFERROR(INDEX(고객사!$L$5:$L$104,MATCH($B88,고객사!$A$5:$A$104,0)),0))</f>
        <v>0</v>
      </c>
      <c r="M88" s="23" t="str">
        <f aca="false">IF($B88="","",IF(AND(J88="N",G88&gt;0,K88=0,IFERROR(INDEX(고객사!$H$5:$H$104,MATCH($B88,고객사!$A$5:$A$104,0)),"")="자사 차량 운행"),"차량 미배정",""))</f>
        <v/>
      </c>
      <c r="N88" s="22" t="n">
        <f aca="false">IF($B88="","",IFERROR(INDEX(고객사!$J$5:$J$104,MATCH($B88,고객사!$A$5:$A$104,0)),0))</f>
        <v>400000</v>
      </c>
      <c r="O88" s="22" t="n">
        <f aca="false">IF($B88="","",G88*N88)</f>
        <v>6400000</v>
      </c>
      <c r="P88" s="22" t="n">
        <f aca="false">IF($B88="","",IFERROR(INDEX(고객사!$K$5:$K$104,MATCH($B88,고객사!$A$5:$A$104,0)),0))</f>
        <v>315000</v>
      </c>
      <c r="Q88" s="22" t="n">
        <f aca="false">IF($B88="","",G88*P88)</f>
        <v>5040000</v>
      </c>
      <c r="R88" s="22" t="n">
        <f aca="false">IF($B88="","",O88-Q88-L88)</f>
        <v>1360000</v>
      </c>
      <c r="S88" s="21" t="n">
        <f aca="false">IF(OR($B88="",N(O88)=0),"",R88/O88)</f>
        <v>0.2125</v>
      </c>
      <c r="T88" s="14"/>
      <c r="U88" s="19" t="n">
        <f aca="false">IF(OR($B88="",$A88=""),0,IF(COUNTIFS($A$5:$A88,$A88,$B$5:$B88,$B88)=1,1,0))</f>
        <v>1</v>
      </c>
    </row>
    <row r="89" customFormat="false" ht="15" hidden="false" customHeight="false" outlineLevel="0" collapsed="false">
      <c r="A89" s="17" t="n">
        <v>46284</v>
      </c>
      <c r="B89" s="13" t="s">
        <v>64</v>
      </c>
      <c r="C89" s="20" t="str">
        <f aca="false">IF($B89="","",IFERROR(INDEX(고객사!$B$5:$B$104,MATCH($B89,고객사!$A$5:$A$104,0)),"코드 확인"))</f>
        <v>예시) 미래식품 빈즈엉</v>
      </c>
      <c r="D89" s="15" t="s">
        <v>99</v>
      </c>
      <c r="E89" s="13" t="s">
        <v>100</v>
      </c>
      <c r="F89" s="16" t="n">
        <v>22</v>
      </c>
      <c r="G89" s="16" t="n">
        <v>22</v>
      </c>
      <c r="H89" s="21" t="n">
        <f aca="false">IF(OR($B89="",F89=0),"",G89/F89)</f>
        <v>1</v>
      </c>
      <c r="I89" s="22" t="n">
        <f aca="false">IF($B89="","",MAX(F89-G89,0))</f>
        <v>0</v>
      </c>
      <c r="J89" s="23" t="str">
        <f aca="false">IF($B89="","",IFERROR(INDEX(고객사!$G$5:$G$104,MATCH($B89,고객사!$A$5:$A$104,0)),""))</f>
        <v>Y</v>
      </c>
      <c r="K89" s="16" t="n">
        <v>0</v>
      </c>
      <c r="L89" s="22" t="n">
        <f aca="false">IF($B89="","",K89*IFERROR(INDEX(고객사!$L$5:$L$104,MATCH($B89,고객사!$A$5:$A$104,0)),0))</f>
        <v>0</v>
      </c>
      <c r="M89" s="23" t="str">
        <f aca="false">IF($B89="","",IF(AND(J89="N",G89&gt;0,K89=0,IFERROR(INDEX(고객사!$H$5:$H$104,MATCH($B89,고객사!$A$5:$A$104,0)),"")="자사 차량 운행"),"차량 미배정",""))</f>
        <v/>
      </c>
      <c r="N89" s="22" t="n">
        <f aca="false">IF($B89="","",IFERROR(INDEX(고객사!$J$5:$J$104,MATCH($B89,고객사!$A$5:$A$104,0)),0))</f>
        <v>390000</v>
      </c>
      <c r="O89" s="22" t="n">
        <f aca="false">IF($B89="","",G89*N89)</f>
        <v>8580000</v>
      </c>
      <c r="P89" s="22" t="n">
        <f aca="false">IF($B89="","",IFERROR(INDEX(고객사!$K$5:$K$104,MATCH($B89,고객사!$A$5:$A$104,0)),0))</f>
        <v>305000</v>
      </c>
      <c r="Q89" s="22" t="n">
        <f aca="false">IF($B89="","",G89*P89)</f>
        <v>6710000</v>
      </c>
      <c r="R89" s="22" t="n">
        <f aca="false">IF($B89="","",O89-Q89-L89)</f>
        <v>1870000</v>
      </c>
      <c r="S89" s="21" t="n">
        <f aca="false">IF(OR($B89="",N(O89)=0),"",R89/O89)</f>
        <v>0.217948717948718</v>
      </c>
      <c r="T89" s="14"/>
      <c r="U89" s="19" t="n">
        <f aca="false">IF(OR($B89="",$A89=""),0,IF(COUNTIFS($A$5:$A89,$A89,$B$5:$B89,$B89)=1,1,0))</f>
        <v>1</v>
      </c>
    </row>
    <row r="90" customFormat="false" ht="15" hidden="false" customHeight="false" outlineLevel="0" collapsed="false">
      <c r="A90" s="17" t="n">
        <v>46286</v>
      </c>
      <c r="B90" s="13" t="s">
        <v>36</v>
      </c>
      <c r="C90" s="20" t="str">
        <f aca="false">IF($B90="","",IFERROR(INDEX(고객사!$B$5:$B$104,MATCH($B90,고객사!$A$5:$A$104,0)),"코드 확인"))</f>
        <v>예시) 한빛전자 비나</v>
      </c>
      <c r="D90" s="15" t="s">
        <v>93</v>
      </c>
      <c r="E90" s="15" t="s">
        <v>94</v>
      </c>
      <c r="F90" s="16" t="n">
        <v>40</v>
      </c>
      <c r="G90" s="16" t="n">
        <v>40</v>
      </c>
      <c r="H90" s="21" t="n">
        <f aca="false">IF(OR($B90="",F90=0),"",G90/F90)</f>
        <v>1</v>
      </c>
      <c r="I90" s="22" t="n">
        <f aca="false">IF($B90="","",MAX(F90-G90,0))</f>
        <v>0</v>
      </c>
      <c r="J90" s="23" t="str">
        <f aca="false">IF($B90="","",IFERROR(INDEX(고객사!$G$5:$G$104,MATCH($B90,고객사!$A$5:$A$104,0)),""))</f>
        <v>Y</v>
      </c>
      <c r="K90" s="16" t="n">
        <v>0</v>
      </c>
      <c r="L90" s="22" t="n">
        <f aca="false">IF($B90="","",K90*IFERROR(INDEX(고객사!$L$5:$L$104,MATCH($B90,고객사!$A$5:$A$104,0)),0))</f>
        <v>0</v>
      </c>
      <c r="M90" s="23" t="str">
        <f aca="false">IF($B90="","",IF(AND(J90="N",G90&gt;0,K90=0,IFERROR(INDEX(고객사!$H$5:$H$104,MATCH($B90,고객사!$A$5:$A$104,0)),"")="자사 차량 운행"),"차량 미배정",""))</f>
        <v/>
      </c>
      <c r="N90" s="22" t="n">
        <f aca="false">IF($B90="","",IFERROR(INDEX(고객사!$J$5:$J$104,MATCH($B90,고객사!$A$5:$A$104,0)),0))</f>
        <v>420000</v>
      </c>
      <c r="O90" s="22" t="n">
        <f aca="false">IF($B90="","",G90*N90)</f>
        <v>16800000</v>
      </c>
      <c r="P90" s="22" t="n">
        <f aca="false">IF($B90="","",IFERROR(INDEX(고객사!$K$5:$K$104,MATCH($B90,고객사!$A$5:$A$104,0)),0))</f>
        <v>330000</v>
      </c>
      <c r="Q90" s="22" t="n">
        <f aca="false">IF($B90="","",G90*P90)</f>
        <v>13200000</v>
      </c>
      <c r="R90" s="22" t="n">
        <f aca="false">IF($B90="","",O90-Q90-L90)</f>
        <v>3600000</v>
      </c>
      <c r="S90" s="21" t="n">
        <f aca="false">IF(OR($B90="",N(O90)=0),"",R90/O90)</f>
        <v>0.214285714285714</v>
      </c>
      <c r="T90" s="14"/>
      <c r="U90" s="19" t="n">
        <f aca="false">IF(OR($B90="",$A90=""),0,IF(COUNTIFS($A$5:$A90,$A90,$B$5:$B90,$B90)=1,1,0))</f>
        <v>1</v>
      </c>
    </row>
    <row r="91" customFormat="false" ht="15" hidden="false" customHeight="false" outlineLevel="0" collapsed="false">
      <c r="A91" s="17" t="n">
        <v>46286</v>
      </c>
      <c r="B91" s="13" t="s">
        <v>36</v>
      </c>
      <c r="C91" s="20" t="str">
        <f aca="false">IF($B91="","",IFERROR(INDEX(고객사!$B$5:$B$104,MATCH($B91,고객사!$A$5:$A$104,0)),"코드 확인"))</f>
        <v>예시) 한빛전자 비나</v>
      </c>
      <c r="D91" s="15" t="s">
        <v>96</v>
      </c>
      <c r="E91" s="15" t="s">
        <v>97</v>
      </c>
      <c r="F91" s="16" t="n">
        <v>12</v>
      </c>
      <c r="G91" s="16" t="n">
        <v>7</v>
      </c>
      <c r="H91" s="21" t="n">
        <f aca="false">IF(OR($B91="",F91=0),"",G91/F91)</f>
        <v>0.583333333333333</v>
      </c>
      <c r="I91" s="22" t="n">
        <f aca="false">IF($B91="","",MAX(F91-G91,0))</f>
        <v>5</v>
      </c>
      <c r="J91" s="23" t="str">
        <f aca="false">IF($B91="","",IFERROR(INDEX(고객사!$G$5:$G$104,MATCH($B91,고객사!$A$5:$A$104,0)),""))</f>
        <v>Y</v>
      </c>
      <c r="K91" s="16" t="n">
        <v>0</v>
      </c>
      <c r="L91" s="22" t="n">
        <f aca="false">IF($B91="","",K91*IFERROR(INDEX(고객사!$L$5:$L$104,MATCH($B91,고객사!$A$5:$A$104,0)),0))</f>
        <v>0</v>
      </c>
      <c r="M91" s="23" t="str">
        <f aca="false">IF($B91="","",IF(AND(J91="N",G91&gt;0,K91=0,IFERROR(INDEX(고객사!$H$5:$H$104,MATCH($B91,고객사!$A$5:$A$104,0)),"")="자사 차량 운행"),"차량 미배정",""))</f>
        <v/>
      </c>
      <c r="N91" s="22" t="n">
        <f aca="false">IF($B91="","",IFERROR(INDEX(고객사!$J$5:$J$104,MATCH($B91,고객사!$A$5:$A$104,0)),0))</f>
        <v>420000</v>
      </c>
      <c r="O91" s="22" t="n">
        <f aca="false">IF($B91="","",G91*N91)</f>
        <v>2940000</v>
      </c>
      <c r="P91" s="22" t="n">
        <f aca="false">IF($B91="","",IFERROR(INDEX(고객사!$K$5:$K$104,MATCH($B91,고객사!$A$5:$A$104,0)),0))</f>
        <v>330000</v>
      </c>
      <c r="Q91" s="22" t="n">
        <f aca="false">IF($B91="","",G91*P91)</f>
        <v>2310000</v>
      </c>
      <c r="R91" s="22" t="n">
        <f aca="false">IF($B91="","",O91-Q91-L91)</f>
        <v>630000</v>
      </c>
      <c r="S91" s="21" t="n">
        <f aca="false">IF(OR($B91="",N(O91)=0),"",R91/O91)</f>
        <v>0.214285714285714</v>
      </c>
      <c r="T91" s="14"/>
      <c r="U91" s="19" t="n">
        <f aca="false">IF(OR($B91="",$A91=""),0,IF(COUNTIFS($A$5:$A91,$A91,$B$5:$B91,$B91)=1,1,0))</f>
        <v>0</v>
      </c>
    </row>
    <row r="92" customFormat="false" ht="15" hidden="false" customHeight="false" outlineLevel="0" collapsed="false">
      <c r="A92" s="17" t="n">
        <v>46286</v>
      </c>
      <c r="B92" s="13" t="s">
        <v>46</v>
      </c>
      <c r="C92" s="20" t="str">
        <f aca="false">IF($B92="","",IFERROR(INDEX(고객사!$B$5:$B$104,MATCH($B92,고객사!$A$5:$A$104,0)),"코드 확인"))</f>
        <v>예시) 대성섬유 VN</v>
      </c>
      <c r="D92" s="15" t="s">
        <v>49</v>
      </c>
      <c r="E92" s="15" t="s">
        <v>94</v>
      </c>
      <c r="F92" s="16" t="n">
        <v>30</v>
      </c>
      <c r="G92" s="16" t="n">
        <v>30</v>
      </c>
      <c r="H92" s="21" t="n">
        <f aca="false">IF(OR($B92="",F92=0),"",G92/F92)</f>
        <v>1</v>
      </c>
      <c r="I92" s="22" t="n">
        <f aca="false">IF($B92="","",MAX(F92-G92,0))</f>
        <v>0</v>
      </c>
      <c r="J92" s="23" t="str">
        <f aca="false">IF($B92="","",IFERROR(INDEX(고객사!$G$5:$G$104,MATCH($B92,고객사!$A$5:$A$104,0)),""))</f>
        <v>N</v>
      </c>
      <c r="K92" s="16" t="n">
        <v>1</v>
      </c>
      <c r="L92" s="22" t="n">
        <f aca="false">IF($B92="","",K92*IFERROR(INDEX(고객사!$L$5:$L$104,MATCH($B92,고객사!$A$5:$A$104,0)),0))</f>
        <v>1200000</v>
      </c>
      <c r="M92" s="23" t="str">
        <f aca="false">IF($B92="","",IF(AND(J92="N",G92&gt;0,K92=0,IFERROR(INDEX(고객사!$H$5:$H$104,MATCH($B92,고객사!$A$5:$A$104,0)),"")="자사 차량 운행"),"차량 미배정",""))</f>
        <v/>
      </c>
      <c r="N92" s="22" t="n">
        <f aca="false">IF($B92="","",IFERROR(INDEX(고객사!$J$5:$J$104,MATCH($B92,고객사!$A$5:$A$104,0)),0))</f>
        <v>380000</v>
      </c>
      <c r="O92" s="22" t="n">
        <f aca="false">IF($B92="","",G92*N92)</f>
        <v>11400000</v>
      </c>
      <c r="P92" s="22" t="n">
        <f aca="false">IF($B92="","",IFERROR(INDEX(고객사!$K$5:$K$104,MATCH($B92,고객사!$A$5:$A$104,0)),0))</f>
        <v>300000</v>
      </c>
      <c r="Q92" s="22" t="n">
        <f aca="false">IF($B92="","",G92*P92)</f>
        <v>9000000</v>
      </c>
      <c r="R92" s="22" t="n">
        <f aca="false">IF($B92="","",O92-Q92-L92)</f>
        <v>1200000</v>
      </c>
      <c r="S92" s="21" t="n">
        <f aca="false">IF(OR($B92="",N(O92)=0),"",R92/O92)</f>
        <v>0.105263157894737</v>
      </c>
      <c r="T92" s="14"/>
      <c r="U92" s="19" t="n">
        <f aca="false">IF(OR($B92="",$A92=""),0,IF(COUNTIFS($A$5:$A92,$A92,$B$5:$B92,$B92)=1,1,0))</f>
        <v>1</v>
      </c>
    </row>
    <row r="93" customFormat="false" ht="15" hidden="false" customHeight="false" outlineLevel="0" collapsed="false">
      <c r="A93" s="17" t="n">
        <v>46286</v>
      </c>
      <c r="B93" s="13" t="s">
        <v>56</v>
      </c>
      <c r="C93" s="20" t="str">
        <f aca="false">IF($B93="","",IFERROR(INDEX(고객사!$B$5:$B$104,MATCH($B93,고객사!$A$5:$A$104,0)),"코드 확인"))</f>
        <v>예시) 그린물류 하노이</v>
      </c>
      <c r="D93" s="15" t="s">
        <v>98</v>
      </c>
      <c r="E93" s="15" t="s">
        <v>94</v>
      </c>
      <c r="F93" s="16" t="n">
        <v>18</v>
      </c>
      <c r="G93" s="16" t="n">
        <v>17</v>
      </c>
      <c r="H93" s="21" t="n">
        <f aca="false">IF(OR($B93="",F93=0),"",G93/F93)</f>
        <v>0.944444444444444</v>
      </c>
      <c r="I93" s="22" t="n">
        <f aca="false">IF($B93="","",MAX(F93-G93,0))</f>
        <v>1</v>
      </c>
      <c r="J93" s="23" t="str">
        <f aca="false">IF($B93="","",IFERROR(INDEX(고객사!$G$5:$G$104,MATCH($B93,고객사!$A$5:$A$104,0)),""))</f>
        <v>N</v>
      </c>
      <c r="K93" s="16" t="n">
        <v>0</v>
      </c>
      <c r="L93" s="22" t="n">
        <f aca="false">IF($B93="","",K93*IFERROR(INDEX(고객사!$L$5:$L$104,MATCH($B93,고객사!$A$5:$A$104,0)),0))</f>
        <v>0</v>
      </c>
      <c r="M93" s="23" t="str">
        <f aca="false">IF($B93="","",IF(AND(J93="N",G93&gt;0,K93=0,IFERROR(INDEX(고객사!$H$5:$H$104,MATCH($B93,고객사!$A$5:$A$104,0)),"")="자사 차량 운행"),"차량 미배정",""))</f>
        <v/>
      </c>
      <c r="N93" s="22" t="n">
        <f aca="false">IF($B93="","",IFERROR(INDEX(고객사!$J$5:$J$104,MATCH($B93,고객사!$A$5:$A$104,0)),0))</f>
        <v>400000</v>
      </c>
      <c r="O93" s="22" t="n">
        <f aca="false">IF($B93="","",G93*N93)</f>
        <v>6800000</v>
      </c>
      <c r="P93" s="22" t="n">
        <f aca="false">IF($B93="","",IFERROR(INDEX(고객사!$K$5:$K$104,MATCH($B93,고객사!$A$5:$A$104,0)),0))</f>
        <v>315000</v>
      </c>
      <c r="Q93" s="22" t="n">
        <f aca="false">IF($B93="","",G93*P93)</f>
        <v>5355000</v>
      </c>
      <c r="R93" s="22" t="n">
        <f aca="false">IF($B93="","",O93-Q93-L93)</f>
        <v>1445000</v>
      </c>
      <c r="S93" s="21" t="n">
        <f aca="false">IF(OR($B93="",N(O93)=0),"",R93/O93)</f>
        <v>0.2125</v>
      </c>
      <c r="T93" s="14"/>
      <c r="U93" s="19" t="n">
        <f aca="false">IF(OR($B93="",$A93=""),0,IF(COUNTIFS($A$5:$A93,$A93,$B$5:$B93,$B93)=1,1,0))</f>
        <v>1</v>
      </c>
    </row>
    <row r="94" customFormat="false" ht="15" hidden="false" customHeight="false" outlineLevel="0" collapsed="false">
      <c r="A94" s="17" t="n">
        <v>46286</v>
      </c>
      <c r="B94" s="13" t="s">
        <v>64</v>
      </c>
      <c r="C94" s="20" t="str">
        <f aca="false">IF($B94="","",IFERROR(INDEX(고객사!$B$5:$B$104,MATCH($B94,고객사!$A$5:$A$104,0)),"코드 확인"))</f>
        <v>예시) 미래식품 빈즈엉</v>
      </c>
      <c r="D94" s="15" t="s">
        <v>99</v>
      </c>
      <c r="E94" s="13" t="s">
        <v>100</v>
      </c>
      <c r="F94" s="16" t="n">
        <v>22</v>
      </c>
      <c r="G94" s="16" t="n">
        <v>21</v>
      </c>
      <c r="H94" s="21" t="n">
        <f aca="false">IF(OR($B94="",F94=0),"",G94/F94)</f>
        <v>0.954545454545455</v>
      </c>
      <c r="I94" s="22" t="n">
        <f aca="false">IF($B94="","",MAX(F94-G94,0))</f>
        <v>1</v>
      </c>
      <c r="J94" s="23" t="str">
        <f aca="false">IF($B94="","",IFERROR(INDEX(고객사!$G$5:$G$104,MATCH($B94,고객사!$A$5:$A$104,0)),""))</f>
        <v>Y</v>
      </c>
      <c r="K94" s="16" t="n">
        <v>0</v>
      </c>
      <c r="L94" s="22" t="n">
        <f aca="false">IF($B94="","",K94*IFERROR(INDEX(고객사!$L$5:$L$104,MATCH($B94,고객사!$A$5:$A$104,0)),0))</f>
        <v>0</v>
      </c>
      <c r="M94" s="23" t="str">
        <f aca="false">IF($B94="","",IF(AND(J94="N",G94&gt;0,K94=0,IFERROR(INDEX(고객사!$H$5:$H$104,MATCH($B94,고객사!$A$5:$A$104,0)),"")="자사 차량 운행"),"차량 미배정",""))</f>
        <v/>
      </c>
      <c r="N94" s="22" t="n">
        <f aca="false">IF($B94="","",IFERROR(INDEX(고객사!$J$5:$J$104,MATCH($B94,고객사!$A$5:$A$104,0)),0))</f>
        <v>390000</v>
      </c>
      <c r="O94" s="22" t="n">
        <f aca="false">IF($B94="","",G94*N94)</f>
        <v>8190000</v>
      </c>
      <c r="P94" s="22" t="n">
        <f aca="false">IF($B94="","",IFERROR(INDEX(고객사!$K$5:$K$104,MATCH($B94,고객사!$A$5:$A$104,0)),0))</f>
        <v>305000</v>
      </c>
      <c r="Q94" s="22" t="n">
        <f aca="false">IF($B94="","",G94*P94)</f>
        <v>6405000</v>
      </c>
      <c r="R94" s="22" t="n">
        <f aca="false">IF($B94="","",O94-Q94-L94)</f>
        <v>1785000</v>
      </c>
      <c r="S94" s="21" t="n">
        <f aca="false">IF(OR($B94="",N(O94)=0),"",R94/O94)</f>
        <v>0.217948717948718</v>
      </c>
      <c r="T94" s="14"/>
      <c r="U94" s="19" t="n">
        <f aca="false">IF(OR($B94="",$A94=""),0,IF(COUNTIFS($A$5:$A94,$A94,$B$5:$B94,$B94)=1,1,0))</f>
        <v>1</v>
      </c>
    </row>
    <row r="95" customFormat="false" ht="15" hidden="false" customHeight="false" outlineLevel="0" collapsed="false">
      <c r="A95" s="17" t="n">
        <v>46287</v>
      </c>
      <c r="B95" s="13" t="s">
        <v>36</v>
      </c>
      <c r="C95" s="20" t="str">
        <f aca="false">IF($B95="","",IFERROR(INDEX(고객사!$B$5:$B$104,MATCH($B95,고객사!$A$5:$A$104,0)),"코드 확인"))</f>
        <v>예시) 한빛전자 비나</v>
      </c>
      <c r="D95" s="15" t="s">
        <v>93</v>
      </c>
      <c r="E95" s="15" t="s">
        <v>94</v>
      </c>
      <c r="F95" s="16" t="n">
        <v>40</v>
      </c>
      <c r="G95" s="16" t="n">
        <v>40</v>
      </c>
      <c r="H95" s="21" t="n">
        <f aca="false">IF(OR($B95="",F95=0),"",G95/F95)</f>
        <v>1</v>
      </c>
      <c r="I95" s="22" t="n">
        <f aca="false">IF($B95="","",MAX(F95-G95,0))</f>
        <v>0</v>
      </c>
      <c r="J95" s="23" t="str">
        <f aca="false">IF($B95="","",IFERROR(INDEX(고객사!$G$5:$G$104,MATCH($B95,고객사!$A$5:$A$104,0)),""))</f>
        <v>Y</v>
      </c>
      <c r="K95" s="16" t="n">
        <v>0</v>
      </c>
      <c r="L95" s="22" t="n">
        <f aca="false">IF($B95="","",K95*IFERROR(INDEX(고객사!$L$5:$L$104,MATCH($B95,고객사!$A$5:$A$104,0)),0))</f>
        <v>0</v>
      </c>
      <c r="M95" s="23" t="str">
        <f aca="false">IF($B95="","",IF(AND(J95="N",G95&gt;0,K95=0,IFERROR(INDEX(고객사!$H$5:$H$104,MATCH($B95,고객사!$A$5:$A$104,0)),"")="자사 차량 운행"),"차량 미배정",""))</f>
        <v/>
      </c>
      <c r="N95" s="22" t="n">
        <f aca="false">IF($B95="","",IFERROR(INDEX(고객사!$J$5:$J$104,MATCH($B95,고객사!$A$5:$A$104,0)),0))</f>
        <v>420000</v>
      </c>
      <c r="O95" s="22" t="n">
        <f aca="false">IF($B95="","",G95*N95)</f>
        <v>16800000</v>
      </c>
      <c r="P95" s="22" t="n">
        <f aca="false">IF($B95="","",IFERROR(INDEX(고객사!$K$5:$K$104,MATCH($B95,고객사!$A$5:$A$104,0)),0))</f>
        <v>330000</v>
      </c>
      <c r="Q95" s="22" t="n">
        <f aca="false">IF($B95="","",G95*P95)</f>
        <v>13200000</v>
      </c>
      <c r="R95" s="22" t="n">
        <f aca="false">IF($B95="","",O95-Q95-L95)</f>
        <v>3600000</v>
      </c>
      <c r="S95" s="21" t="n">
        <f aca="false">IF(OR($B95="",N(O95)=0),"",R95/O95)</f>
        <v>0.214285714285714</v>
      </c>
      <c r="T95" s="14"/>
      <c r="U95" s="19" t="n">
        <f aca="false">IF(OR($B95="",$A95=""),0,IF(COUNTIFS($A$5:$A95,$A95,$B$5:$B95,$B95)=1,1,0))</f>
        <v>1</v>
      </c>
    </row>
    <row r="96" customFormat="false" ht="15" hidden="false" customHeight="false" outlineLevel="0" collapsed="false">
      <c r="A96" s="17" t="n">
        <v>46287</v>
      </c>
      <c r="B96" s="13" t="s">
        <v>36</v>
      </c>
      <c r="C96" s="20" t="str">
        <f aca="false">IF($B96="","",IFERROR(INDEX(고객사!$B$5:$B$104,MATCH($B96,고객사!$A$5:$A$104,0)),"코드 확인"))</f>
        <v>예시) 한빛전자 비나</v>
      </c>
      <c r="D96" s="15" t="s">
        <v>96</v>
      </c>
      <c r="E96" s="15" t="s">
        <v>97</v>
      </c>
      <c r="F96" s="16" t="n">
        <v>12</v>
      </c>
      <c r="G96" s="16" t="n">
        <v>11</v>
      </c>
      <c r="H96" s="21" t="n">
        <f aca="false">IF(OR($B96="",F96=0),"",G96/F96)</f>
        <v>0.916666666666667</v>
      </c>
      <c r="I96" s="22" t="n">
        <f aca="false">IF($B96="","",MAX(F96-G96,0))</f>
        <v>1</v>
      </c>
      <c r="J96" s="23" t="str">
        <f aca="false">IF($B96="","",IFERROR(INDEX(고객사!$G$5:$G$104,MATCH($B96,고객사!$A$5:$A$104,0)),""))</f>
        <v>Y</v>
      </c>
      <c r="K96" s="16" t="n">
        <v>0</v>
      </c>
      <c r="L96" s="22" t="n">
        <f aca="false">IF($B96="","",K96*IFERROR(INDEX(고객사!$L$5:$L$104,MATCH($B96,고객사!$A$5:$A$104,0)),0))</f>
        <v>0</v>
      </c>
      <c r="M96" s="23" t="str">
        <f aca="false">IF($B96="","",IF(AND(J96="N",G96&gt;0,K96=0,IFERROR(INDEX(고객사!$H$5:$H$104,MATCH($B96,고객사!$A$5:$A$104,0)),"")="자사 차량 운행"),"차량 미배정",""))</f>
        <v/>
      </c>
      <c r="N96" s="22" t="n">
        <f aca="false">IF($B96="","",IFERROR(INDEX(고객사!$J$5:$J$104,MATCH($B96,고객사!$A$5:$A$104,0)),0))</f>
        <v>420000</v>
      </c>
      <c r="O96" s="22" t="n">
        <f aca="false">IF($B96="","",G96*N96)</f>
        <v>4620000</v>
      </c>
      <c r="P96" s="22" t="n">
        <f aca="false">IF($B96="","",IFERROR(INDEX(고객사!$K$5:$K$104,MATCH($B96,고객사!$A$5:$A$104,0)),0))</f>
        <v>330000</v>
      </c>
      <c r="Q96" s="22" t="n">
        <f aca="false">IF($B96="","",G96*P96)</f>
        <v>3630000</v>
      </c>
      <c r="R96" s="22" t="n">
        <f aca="false">IF($B96="","",O96-Q96-L96)</f>
        <v>990000</v>
      </c>
      <c r="S96" s="21" t="n">
        <f aca="false">IF(OR($B96="",N(O96)=0),"",R96/O96)</f>
        <v>0.214285714285714</v>
      </c>
      <c r="T96" s="14"/>
      <c r="U96" s="19" t="n">
        <f aca="false">IF(OR($B96="",$A96=""),0,IF(COUNTIFS($A$5:$A96,$A96,$B$5:$B96,$B96)=1,1,0))</f>
        <v>0</v>
      </c>
    </row>
    <row r="97" customFormat="false" ht="15" hidden="false" customHeight="false" outlineLevel="0" collapsed="false">
      <c r="A97" s="17" t="n">
        <v>46287</v>
      </c>
      <c r="B97" s="13" t="s">
        <v>46</v>
      </c>
      <c r="C97" s="20" t="str">
        <f aca="false">IF($B97="","",IFERROR(INDEX(고객사!$B$5:$B$104,MATCH($B97,고객사!$A$5:$A$104,0)),"코드 확인"))</f>
        <v>예시) 대성섬유 VN</v>
      </c>
      <c r="D97" s="15" t="s">
        <v>49</v>
      </c>
      <c r="E97" s="15" t="s">
        <v>94</v>
      </c>
      <c r="F97" s="16" t="n">
        <v>30</v>
      </c>
      <c r="G97" s="16" t="n">
        <v>27</v>
      </c>
      <c r="H97" s="21" t="n">
        <f aca="false">IF(OR($B97="",F97=0),"",G97/F97)</f>
        <v>0.9</v>
      </c>
      <c r="I97" s="22" t="n">
        <f aca="false">IF($B97="","",MAX(F97-G97,0))</f>
        <v>3</v>
      </c>
      <c r="J97" s="23" t="str">
        <f aca="false">IF($B97="","",IFERROR(INDEX(고객사!$G$5:$G$104,MATCH($B97,고객사!$A$5:$A$104,0)),""))</f>
        <v>N</v>
      </c>
      <c r="K97" s="16" t="n">
        <v>1</v>
      </c>
      <c r="L97" s="22" t="n">
        <f aca="false">IF($B97="","",K97*IFERROR(INDEX(고객사!$L$5:$L$104,MATCH($B97,고객사!$A$5:$A$104,0)),0))</f>
        <v>1200000</v>
      </c>
      <c r="M97" s="23" t="str">
        <f aca="false">IF($B97="","",IF(AND(J97="N",G97&gt;0,K97=0,IFERROR(INDEX(고객사!$H$5:$H$104,MATCH($B97,고객사!$A$5:$A$104,0)),"")="자사 차량 운행"),"차량 미배정",""))</f>
        <v/>
      </c>
      <c r="N97" s="22" t="n">
        <f aca="false">IF($B97="","",IFERROR(INDEX(고객사!$J$5:$J$104,MATCH($B97,고객사!$A$5:$A$104,0)),0))</f>
        <v>380000</v>
      </c>
      <c r="O97" s="22" t="n">
        <f aca="false">IF($B97="","",G97*N97)</f>
        <v>10260000</v>
      </c>
      <c r="P97" s="22" t="n">
        <f aca="false">IF($B97="","",IFERROR(INDEX(고객사!$K$5:$K$104,MATCH($B97,고객사!$A$5:$A$104,0)),0))</f>
        <v>300000</v>
      </c>
      <c r="Q97" s="22" t="n">
        <f aca="false">IF($B97="","",G97*P97)</f>
        <v>8100000</v>
      </c>
      <c r="R97" s="22" t="n">
        <f aca="false">IF($B97="","",O97-Q97-L97)</f>
        <v>960000</v>
      </c>
      <c r="S97" s="21" t="n">
        <f aca="false">IF(OR($B97="",N(O97)=0),"",R97/O97)</f>
        <v>0.0935672514619883</v>
      </c>
      <c r="T97" s="14"/>
      <c r="U97" s="19" t="n">
        <f aca="false">IF(OR($B97="",$A97=""),0,IF(COUNTIFS($A$5:$A97,$A97,$B$5:$B97,$B97)=1,1,0))</f>
        <v>1</v>
      </c>
    </row>
    <row r="98" customFormat="false" ht="15" hidden="false" customHeight="false" outlineLevel="0" collapsed="false">
      <c r="A98" s="17" t="n">
        <v>46287</v>
      </c>
      <c r="B98" s="13" t="s">
        <v>56</v>
      </c>
      <c r="C98" s="20" t="str">
        <f aca="false">IF($B98="","",IFERROR(INDEX(고객사!$B$5:$B$104,MATCH($B98,고객사!$A$5:$A$104,0)),"코드 확인"))</f>
        <v>예시) 그린물류 하노이</v>
      </c>
      <c r="D98" s="15" t="s">
        <v>98</v>
      </c>
      <c r="E98" s="15" t="s">
        <v>94</v>
      </c>
      <c r="F98" s="16" t="n">
        <v>18</v>
      </c>
      <c r="G98" s="16" t="n">
        <v>15</v>
      </c>
      <c r="H98" s="21" t="n">
        <f aca="false">IF(OR($B98="",F98=0),"",G98/F98)</f>
        <v>0.833333333333333</v>
      </c>
      <c r="I98" s="22" t="n">
        <f aca="false">IF($B98="","",MAX(F98-G98,0))</f>
        <v>3</v>
      </c>
      <c r="J98" s="23" t="str">
        <f aca="false">IF($B98="","",IFERROR(INDEX(고객사!$G$5:$G$104,MATCH($B98,고객사!$A$5:$A$104,0)),""))</f>
        <v>N</v>
      </c>
      <c r="K98" s="16" t="n">
        <v>0</v>
      </c>
      <c r="L98" s="22" t="n">
        <f aca="false">IF($B98="","",K98*IFERROR(INDEX(고객사!$L$5:$L$104,MATCH($B98,고객사!$A$5:$A$104,0)),0))</f>
        <v>0</v>
      </c>
      <c r="M98" s="23" t="str">
        <f aca="false">IF($B98="","",IF(AND(J98="N",G98&gt;0,K98=0,IFERROR(INDEX(고객사!$H$5:$H$104,MATCH($B98,고객사!$A$5:$A$104,0)),"")="자사 차량 운행"),"차량 미배정",""))</f>
        <v/>
      </c>
      <c r="N98" s="22" t="n">
        <f aca="false">IF($B98="","",IFERROR(INDEX(고객사!$J$5:$J$104,MATCH($B98,고객사!$A$5:$A$104,0)),0))</f>
        <v>400000</v>
      </c>
      <c r="O98" s="22" t="n">
        <f aca="false">IF($B98="","",G98*N98)</f>
        <v>6000000</v>
      </c>
      <c r="P98" s="22" t="n">
        <f aca="false">IF($B98="","",IFERROR(INDEX(고객사!$K$5:$K$104,MATCH($B98,고객사!$A$5:$A$104,0)),0))</f>
        <v>315000</v>
      </c>
      <c r="Q98" s="22" t="n">
        <f aca="false">IF($B98="","",G98*P98)</f>
        <v>4725000</v>
      </c>
      <c r="R98" s="22" t="n">
        <f aca="false">IF($B98="","",O98-Q98-L98)</f>
        <v>1275000</v>
      </c>
      <c r="S98" s="21" t="n">
        <f aca="false">IF(OR($B98="",N(O98)=0),"",R98/O98)</f>
        <v>0.2125</v>
      </c>
      <c r="T98" s="14"/>
      <c r="U98" s="19" t="n">
        <f aca="false">IF(OR($B98="",$A98=""),0,IF(COUNTIFS($A$5:$A98,$A98,$B$5:$B98,$B98)=1,1,0))</f>
        <v>1</v>
      </c>
    </row>
    <row r="99" customFormat="false" ht="15" hidden="false" customHeight="false" outlineLevel="0" collapsed="false">
      <c r="A99" s="17" t="n">
        <v>46287</v>
      </c>
      <c r="B99" s="13" t="s">
        <v>64</v>
      </c>
      <c r="C99" s="20" t="str">
        <f aca="false">IF($B99="","",IFERROR(INDEX(고객사!$B$5:$B$104,MATCH($B99,고객사!$A$5:$A$104,0)),"코드 확인"))</f>
        <v>예시) 미래식품 빈즈엉</v>
      </c>
      <c r="D99" s="15" t="s">
        <v>99</v>
      </c>
      <c r="E99" s="13" t="s">
        <v>100</v>
      </c>
      <c r="F99" s="16" t="n">
        <v>22</v>
      </c>
      <c r="G99" s="16" t="n">
        <v>17</v>
      </c>
      <c r="H99" s="21" t="n">
        <f aca="false">IF(OR($B99="",F99=0),"",G99/F99)</f>
        <v>0.772727272727273</v>
      </c>
      <c r="I99" s="22" t="n">
        <f aca="false">IF($B99="","",MAX(F99-G99,0))</f>
        <v>5</v>
      </c>
      <c r="J99" s="23" t="str">
        <f aca="false">IF($B99="","",IFERROR(INDEX(고객사!$G$5:$G$104,MATCH($B99,고객사!$A$5:$A$104,0)),""))</f>
        <v>Y</v>
      </c>
      <c r="K99" s="16" t="n">
        <v>0</v>
      </c>
      <c r="L99" s="22" t="n">
        <f aca="false">IF($B99="","",K99*IFERROR(INDEX(고객사!$L$5:$L$104,MATCH($B99,고객사!$A$5:$A$104,0)),0))</f>
        <v>0</v>
      </c>
      <c r="M99" s="23" t="str">
        <f aca="false">IF($B99="","",IF(AND(J99="N",G99&gt;0,K99=0,IFERROR(INDEX(고객사!$H$5:$H$104,MATCH($B99,고객사!$A$5:$A$104,0)),"")="자사 차량 운행"),"차량 미배정",""))</f>
        <v/>
      </c>
      <c r="N99" s="22" t="n">
        <f aca="false">IF($B99="","",IFERROR(INDEX(고객사!$J$5:$J$104,MATCH($B99,고객사!$A$5:$A$104,0)),0))</f>
        <v>390000</v>
      </c>
      <c r="O99" s="22" t="n">
        <f aca="false">IF($B99="","",G99*N99)</f>
        <v>6630000</v>
      </c>
      <c r="P99" s="22" t="n">
        <f aca="false">IF($B99="","",IFERROR(INDEX(고객사!$K$5:$K$104,MATCH($B99,고객사!$A$5:$A$104,0)),0))</f>
        <v>305000</v>
      </c>
      <c r="Q99" s="22" t="n">
        <f aca="false">IF($B99="","",G99*P99)</f>
        <v>5185000</v>
      </c>
      <c r="R99" s="22" t="n">
        <f aca="false">IF($B99="","",O99-Q99-L99)</f>
        <v>1445000</v>
      </c>
      <c r="S99" s="21" t="n">
        <f aca="false">IF(OR($B99="",N(O99)=0),"",R99/O99)</f>
        <v>0.217948717948718</v>
      </c>
      <c r="T99" s="14"/>
      <c r="U99" s="19" t="n">
        <f aca="false">IF(OR($B99="",$A99=""),0,IF(COUNTIFS($A$5:$A99,$A99,$B$5:$B99,$B99)=1,1,0))</f>
        <v>1</v>
      </c>
    </row>
    <row r="100" customFormat="false" ht="15" hidden="false" customHeight="false" outlineLevel="0" collapsed="false">
      <c r="A100" s="17" t="n">
        <v>46288</v>
      </c>
      <c r="B100" s="13" t="s">
        <v>36</v>
      </c>
      <c r="C100" s="20" t="str">
        <f aca="false">IF($B100="","",IFERROR(INDEX(고객사!$B$5:$B$104,MATCH($B100,고객사!$A$5:$A$104,0)),"코드 확인"))</f>
        <v>예시) 한빛전자 비나</v>
      </c>
      <c r="D100" s="15" t="s">
        <v>93</v>
      </c>
      <c r="E100" s="15" t="s">
        <v>94</v>
      </c>
      <c r="F100" s="16" t="n">
        <v>40</v>
      </c>
      <c r="G100" s="16" t="n">
        <v>40</v>
      </c>
      <c r="H100" s="21" t="n">
        <f aca="false">IF(OR($B100="",F100=0),"",G100/F100)</f>
        <v>1</v>
      </c>
      <c r="I100" s="22" t="n">
        <f aca="false">IF($B100="","",MAX(F100-G100,0))</f>
        <v>0</v>
      </c>
      <c r="J100" s="23" t="str">
        <f aca="false">IF($B100="","",IFERROR(INDEX(고객사!$G$5:$G$104,MATCH($B100,고객사!$A$5:$A$104,0)),""))</f>
        <v>Y</v>
      </c>
      <c r="K100" s="16" t="n">
        <v>0</v>
      </c>
      <c r="L100" s="22" t="n">
        <f aca="false">IF($B100="","",K100*IFERROR(INDEX(고객사!$L$5:$L$104,MATCH($B100,고객사!$A$5:$A$104,0)),0))</f>
        <v>0</v>
      </c>
      <c r="M100" s="23" t="str">
        <f aca="false">IF($B100="","",IF(AND(J100="N",G100&gt;0,K100=0,IFERROR(INDEX(고객사!$H$5:$H$104,MATCH($B100,고객사!$A$5:$A$104,0)),"")="자사 차량 운행"),"차량 미배정",""))</f>
        <v/>
      </c>
      <c r="N100" s="22" t="n">
        <f aca="false">IF($B100="","",IFERROR(INDEX(고객사!$J$5:$J$104,MATCH($B100,고객사!$A$5:$A$104,0)),0))</f>
        <v>420000</v>
      </c>
      <c r="O100" s="22" t="n">
        <f aca="false">IF($B100="","",G100*N100)</f>
        <v>16800000</v>
      </c>
      <c r="P100" s="22" t="n">
        <f aca="false">IF($B100="","",IFERROR(INDEX(고객사!$K$5:$K$104,MATCH($B100,고객사!$A$5:$A$104,0)),0))</f>
        <v>330000</v>
      </c>
      <c r="Q100" s="22" t="n">
        <f aca="false">IF($B100="","",G100*P100)</f>
        <v>13200000</v>
      </c>
      <c r="R100" s="22" t="n">
        <f aca="false">IF($B100="","",O100-Q100-L100)</f>
        <v>3600000</v>
      </c>
      <c r="S100" s="21" t="n">
        <f aca="false">IF(OR($B100="",N(O100)=0),"",R100/O100)</f>
        <v>0.214285714285714</v>
      </c>
      <c r="T100" s="14"/>
      <c r="U100" s="19" t="n">
        <f aca="false">IF(OR($B100="",$A100=""),0,IF(COUNTIFS($A$5:$A100,$A100,$B$5:$B100,$B100)=1,1,0))</f>
        <v>1</v>
      </c>
    </row>
    <row r="101" customFormat="false" ht="15" hidden="false" customHeight="false" outlineLevel="0" collapsed="false">
      <c r="A101" s="17" t="n">
        <v>46288</v>
      </c>
      <c r="B101" s="13" t="s">
        <v>36</v>
      </c>
      <c r="C101" s="20" t="str">
        <f aca="false">IF($B101="","",IFERROR(INDEX(고객사!$B$5:$B$104,MATCH($B101,고객사!$A$5:$A$104,0)),"코드 확인"))</f>
        <v>예시) 한빛전자 비나</v>
      </c>
      <c r="D101" s="15" t="s">
        <v>96</v>
      </c>
      <c r="E101" s="15" t="s">
        <v>97</v>
      </c>
      <c r="F101" s="16" t="n">
        <v>12</v>
      </c>
      <c r="G101" s="16" t="n">
        <v>12</v>
      </c>
      <c r="H101" s="21" t="n">
        <f aca="false">IF(OR($B101="",F101=0),"",G101/F101)</f>
        <v>1</v>
      </c>
      <c r="I101" s="22" t="n">
        <f aca="false">IF($B101="","",MAX(F101-G101,0))</f>
        <v>0</v>
      </c>
      <c r="J101" s="23" t="str">
        <f aca="false">IF($B101="","",IFERROR(INDEX(고객사!$G$5:$G$104,MATCH($B101,고객사!$A$5:$A$104,0)),""))</f>
        <v>Y</v>
      </c>
      <c r="K101" s="16" t="n">
        <v>0</v>
      </c>
      <c r="L101" s="22" t="n">
        <f aca="false">IF($B101="","",K101*IFERROR(INDEX(고객사!$L$5:$L$104,MATCH($B101,고객사!$A$5:$A$104,0)),0))</f>
        <v>0</v>
      </c>
      <c r="M101" s="23" t="str">
        <f aca="false">IF($B101="","",IF(AND(J101="N",G101&gt;0,K101=0,IFERROR(INDEX(고객사!$H$5:$H$104,MATCH($B101,고객사!$A$5:$A$104,0)),"")="자사 차량 운행"),"차량 미배정",""))</f>
        <v/>
      </c>
      <c r="N101" s="22" t="n">
        <f aca="false">IF($B101="","",IFERROR(INDEX(고객사!$J$5:$J$104,MATCH($B101,고객사!$A$5:$A$104,0)),0))</f>
        <v>420000</v>
      </c>
      <c r="O101" s="22" t="n">
        <f aca="false">IF($B101="","",G101*N101)</f>
        <v>5040000</v>
      </c>
      <c r="P101" s="22" t="n">
        <f aca="false">IF($B101="","",IFERROR(INDEX(고객사!$K$5:$K$104,MATCH($B101,고객사!$A$5:$A$104,0)),0))</f>
        <v>330000</v>
      </c>
      <c r="Q101" s="22" t="n">
        <f aca="false">IF($B101="","",G101*P101)</f>
        <v>3960000</v>
      </c>
      <c r="R101" s="22" t="n">
        <f aca="false">IF($B101="","",O101-Q101-L101)</f>
        <v>1080000</v>
      </c>
      <c r="S101" s="21" t="n">
        <f aca="false">IF(OR($B101="",N(O101)=0),"",R101/O101)</f>
        <v>0.214285714285714</v>
      </c>
      <c r="T101" s="14"/>
      <c r="U101" s="19" t="n">
        <f aca="false">IF(OR($B101="",$A101=""),0,IF(COUNTIFS($A$5:$A101,$A101,$B$5:$B101,$B101)=1,1,0))</f>
        <v>0</v>
      </c>
    </row>
    <row r="102" customFormat="false" ht="15" hidden="false" customHeight="false" outlineLevel="0" collapsed="false">
      <c r="A102" s="17" t="n">
        <v>46288</v>
      </c>
      <c r="B102" s="13" t="s">
        <v>46</v>
      </c>
      <c r="C102" s="20" t="str">
        <f aca="false">IF($B102="","",IFERROR(INDEX(고객사!$B$5:$B$104,MATCH($B102,고객사!$A$5:$A$104,0)),"코드 확인"))</f>
        <v>예시) 대성섬유 VN</v>
      </c>
      <c r="D102" s="15" t="s">
        <v>49</v>
      </c>
      <c r="E102" s="15" t="s">
        <v>94</v>
      </c>
      <c r="F102" s="16" t="n">
        <v>30</v>
      </c>
      <c r="G102" s="16" t="n">
        <v>25</v>
      </c>
      <c r="H102" s="21" t="n">
        <f aca="false">IF(OR($B102="",F102=0),"",G102/F102)</f>
        <v>0.833333333333333</v>
      </c>
      <c r="I102" s="22" t="n">
        <f aca="false">IF($B102="","",MAX(F102-G102,0))</f>
        <v>5</v>
      </c>
      <c r="J102" s="23" t="str">
        <f aca="false">IF($B102="","",IFERROR(INDEX(고객사!$G$5:$G$104,MATCH($B102,고객사!$A$5:$A$104,0)),""))</f>
        <v>N</v>
      </c>
      <c r="K102" s="16" t="n">
        <v>1</v>
      </c>
      <c r="L102" s="22" t="n">
        <f aca="false">IF($B102="","",K102*IFERROR(INDEX(고객사!$L$5:$L$104,MATCH($B102,고객사!$A$5:$A$104,0)),0))</f>
        <v>1200000</v>
      </c>
      <c r="M102" s="23" t="str">
        <f aca="false">IF($B102="","",IF(AND(J102="N",G102&gt;0,K102=0,IFERROR(INDEX(고객사!$H$5:$H$104,MATCH($B102,고객사!$A$5:$A$104,0)),"")="자사 차량 운행"),"차량 미배정",""))</f>
        <v/>
      </c>
      <c r="N102" s="22" t="n">
        <f aca="false">IF($B102="","",IFERROR(INDEX(고객사!$J$5:$J$104,MATCH($B102,고객사!$A$5:$A$104,0)),0))</f>
        <v>380000</v>
      </c>
      <c r="O102" s="22" t="n">
        <f aca="false">IF($B102="","",G102*N102)</f>
        <v>9500000</v>
      </c>
      <c r="P102" s="22" t="n">
        <f aca="false">IF($B102="","",IFERROR(INDEX(고객사!$K$5:$K$104,MATCH($B102,고객사!$A$5:$A$104,0)),0))</f>
        <v>300000</v>
      </c>
      <c r="Q102" s="22" t="n">
        <f aca="false">IF($B102="","",G102*P102)</f>
        <v>7500000</v>
      </c>
      <c r="R102" s="22" t="n">
        <f aca="false">IF($B102="","",O102-Q102-L102)</f>
        <v>800000</v>
      </c>
      <c r="S102" s="21" t="n">
        <f aca="false">IF(OR($B102="",N(O102)=0),"",R102/O102)</f>
        <v>0.0842105263157895</v>
      </c>
      <c r="T102" s="14"/>
      <c r="U102" s="19" t="n">
        <f aca="false">IF(OR($B102="",$A102=""),0,IF(COUNTIFS($A$5:$A102,$A102,$B$5:$B102,$B102)=1,1,0))</f>
        <v>1</v>
      </c>
    </row>
    <row r="103" customFormat="false" ht="15" hidden="false" customHeight="false" outlineLevel="0" collapsed="false">
      <c r="A103" s="17" t="n">
        <v>46288</v>
      </c>
      <c r="B103" s="13" t="s">
        <v>56</v>
      </c>
      <c r="C103" s="20" t="str">
        <f aca="false">IF($B103="","",IFERROR(INDEX(고객사!$B$5:$B$104,MATCH($B103,고객사!$A$5:$A$104,0)),"코드 확인"))</f>
        <v>예시) 그린물류 하노이</v>
      </c>
      <c r="D103" s="15" t="s">
        <v>98</v>
      </c>
      <c r="E103" s="15" t="s">
        <v>94</v>
      </c>
      <c r="F103" s="16" t="n">
        <v>18</v>
      </c>
      <c r="G103" s="16" t="n">
        <v>15</v>
      </c>
      <c r="H103" s="21" t="n">
        <f aca="false">IF(OR($B103="",F103=0),"",G103/F103)</f>
        <v>0.833333333333333</v>
      </c>
      <c r="I103" s="22" t="n">
        <f aca="false">IF($B103="","",MAX(F103-G103,0))</f>
        <v>3</v>
      </c>
      <c r="J103" s="23" t="str">
        <f aca="false">IF($B103="","",IFERROR(INDEX(고객사!$G$5:$G$104,MATCH($B103,고객사!$A$5:$A$104,0)),""))</f>
        <v>N</v>
      </c>
      <c r="K103" s="16" t="n">
        <v>0</v>
      </c>
      <c r="L103" s="22" t="n">
        <f aca="false">IF($B103="","",K103*IFERROR(INDEX(고객사!$L$5:$L$104,MATCH($B103,고객사!$A$5:$A$104,0)),0))</f>
        <v>0</v>
      </c>
      <c r="M103" s="23" t="str">
        <f aca="false">IF($B103="","",IF(AND(J103="N",G103&gt;0,K103=0,IFERROR(INDEX(고객사!$H$5:$H$104,MATCH($B103,고객사!$A$5:$A$104,0)),"")="자사 차량 운행"),"차량 미배정",""))</f>
        <v/>
      </c>
      <c r="N103" s="22" t="n">
        <f aca="false">IF($B103="","",IFERROR(INDEX(고객사!$J$5:$J$104,MATCH($B103,고객사!$A$5:$A$104,0)),0))</f>
        <v>400000</v>
      </c>
      <c r="O103" s="22" t="n">
        <f aca="false">IF($B103="","",G103*N103)</f>
        <v>6000000</v>
      </c>
      <c r="P103" s="22" t="n">
        <f aca="false">IF($B103="","",IFERROR(INDEX(고객사!$K$5:$K$104,MATCH($B103,고객사!$A$5:$A$104,0)),0))</f>
        <v>315000</v>
      </c>
      <c r="Q103" s="22" t="n">
        <f aca="false">IF($B103="","",G103*P103)</f>
        <v>4725000</v>
      </c>
      <c r="R103" s="22" t="n">
        <f aca="false">IF($B103="","",O103-Q103-L103)</f>
        <v>1275000</v>
      </c>
      <c r="S103" s="21" t="n">
        <f aca="false">IF(OR($B103="",N(O103)=0),"",R103/O103)</f>
        <v>0.2125</v>
      </c>
      <c r="T103" s="14"/>
      <c r="U103" s="19" t="n">
        <f aca="false">IF(OR($B103="",$A103=""),0,IF(COUNTIFS($A$5:$A103,$A103,$B$5:$B103,$B103)=1,1,0))</f>
        <v>1</v>
      </c>
    </row>
    <row r="104" customFormat="false" ht="15" hidden="false" customHeight="false" outlineLevel="0" collapsed="false">
      <c r="A104" s="17" t="n">
        <v>46288</v>
      </c>
      <c r="B104" s="13" t="s">
        <v>64</v>
      </c>
      <c r="C104" s="20" t="str">
        <f aca="false">IF($B104="","",IFERROR(INDEX(고객사!$B$5:$B$104,MATCH($B104,고객사!$A$5:$A$104,0)),"코드 확인"))</f>
        <v>예시) 미래식품 빈즈엉</v>
      </c>
      <c r="D104" s="15" t="s">
        <v>99</v>
      </c>
      <c r="E104" s="13" t="s">
        <v>100</v>
      </c>
      <c r="F104" s="16" t="n">
        <v>22</v>
      </c>
      <c r="G104" s="16" t="n">
        <v>21</v>
      </c>
      <c r="H104" s="21" t="n">
        <f aca="false">IF(OR($B104="",F104=0),"",G104/F104)</f>
        <v>0.954545454545455</v>
      </c>
      <c r="I104" s="22" t="n">
        <f aca="false">IF($B104="","",MAX(F104-G104,0))</f>
        <v>1</v>
      </c>
      <c r="J104" s="23" t="str">
        <f aca="false">IF($B104="","",IFERROR(INDEX(고객사!$G$5:$G$104,MATCH($B104,고객사!$A$5:$A$104,0)),""))</f>
        <v>Y</v>
      </c>
      <c r="K104" s="16" t="n">
        <v>0</v>
      </c>
      <c r="L104" s="22" t="n">
        <f aca="false">IF($B104="","",K104*IFERROR(INDEX(고객사!$L$5:$L$104,MATCH($B104,고객사!$A$5:$A$104,0)),0))</f>
        <v>0</v>
      </c>
      <c r="M104" s="23" t="str">
        <f aca="false">IF($B104="","",IF(AND(J104="N",G104&gt;0,K104=0,IFERROR(INDEX(고객사!$H$5:$H$104,MATCH($B104,고객사!$A$5:$A$104,0)),"")="자사 차량 운행"),"차량 미배정",""))</f>
        <v/>
      </c>
      <c r="N104" s="22" t="n">
        <f aca="false">IF($B104="","",IFERROR(INDEX(고객사!$J$5:$J$104,MATCH($B104,고객사!$A$5:$A$104,0)),0))</f>
        <v>390000</v>
      </c>
      <c r="O104" s="22" t="n">
        <f aca="false">IF($B104="","",G104*N104)</f>
        <v>8190000</v>
      </c>
      <c r="P104" s="22" t="n">
        <f aca="false">IF($B104="","",IFERROR(INDEX(고객사!$K$5:$K$104,MATCH($B104,고객사!$A$5:$A$104,0)),0))</f>
        <v>305000</v>
      </c>
      <c r="Q104" s="22" t="n">
        <f aca="false">IF($B104="","",G104*P104)</f>
        <v>6405000</v>
      </c>
      <c r="R104" s="22" t="n">
        <f aca="false">IF($B104="","",O104-Q104-L104)</f>
        <v>1785000</v>
      </c>
      <c r="S104" s="21" t="n">
        <f aca="false">IF(OR($B104="",N(O104)=0),"",R104/O104)</f>
        <v>0.217948717948718</v>
      </c>
      <c r="T104" s="14"/>
      <c r="U104" s="19" t="n">
        <f aca="false">IF(OR($B104="",$A104=""),0,IF(COUNTIFS($A$5:$A104,$A104,$B$5:$B104,$B104)=1,1,0))</f>
        <v>1</v>
      </c>
    </row>
    <row r="105" customFormat="false" ht="15" hidden="false" customHeight="false" outlineLevel="0" collapsed="false">
      <c r="A105" s="17" t="n">
        <v>46289</v>
      </c>
      <c r="B105" s="13" t="s">
        <v>36</v>
      </c>
      <c r="C105" s="20" t="str">
        <f aca="false">IF($B105="","",IFERROR(INDEX(고객사!$B$5:$B$104,MATCH($B105,고객사!$A$5:$A$104,0)),"코드 확인"))</f>
        <v>예시) 한빛전자 비나</v>
      </c>
      <c r="D105" s="15" t="s">
        <v>93</v>
      </c>
      <c r="E105" s="15" t="s">
        <v>94</v>
      </c>
      <c r="F105" s="16" t="n">
        <v>40</v>
      </c>
      <c r="G105" s="16" t="n">
        <v>40</v>
      </c>
      <c r="H105" s="21" t="n">
        <f aca="false">IF(OR($B105="",F105=0),"",G105/F105)</f>
        <v>1</v>
      </c>
      <c r="I105" s="22" t="n">
        <f aca="false">IF($B105="","",MAX(F105-G105,0))</f>
        <v>0</v>
      </c>
      <c r="J105" s="23" t="str">
        <f aca="false">IF($B105="","",IFERROR(INDEX(고객사!$G$5:$G$104,MATCH($B105,고객사!$A$5:$A$104,0)),""))</f>
        <v>Y</v>
      </c>
      <c r="K105" s="16" t="n">
        <v>0</v>
      </c>
      <c r="L105" s="22" t="n">
        <f aca="false">IF($B105="","",K105*IFERROR(INDEX(고객사!$L$5:$L$104,MATCH($B105,고객사!$A$5:$A$104,0)),0))</f>
        <v>0</v>
      </c>
      <c r="M105" s="23" t="str">
        <f aca="false">IF($B105="","",IF(AND(J105="N",G105&gt;0,K105=0,IFERROR(INDEX(고객사!$H$5:$H$104,MATCH($B105,고객사!$A$5:$A$104,0)),"")="자사 차량 운행"),"차량 미배정",""))</f>
        <v/>
      </c>
      <c r="N105" s="22" t="n">
        <f aca="false">IF($B105="","",IFERROR(INDEX(고객사!$J$5:$J$104,MATCH($B105,고객사!$A$5:$A$104,0)),0))</f>
        <v>420000</v>
      </c>
      <c r="O105" s="22" t="n">
        <f aca="false">IF($B105="","",G105*N105)</f>
        <v>16800000</v>
      </c>
      <c r="P105" s="22" t="n">
        <f aca="false">IF($B105="","",IFERROR(INDEX(고객사!$K$5:$K$104,MATCH($B105,고객사!$A$5:$A$104,0)),0))</f>
        <v>330000</v>
      </c>
      <c r="Q105" s="22" t="n">
        <f aca="false">IF($B105="","",G105*P105)</f>
        <v>13200000</v>
      </c>
      <c r="R105" s="22" t="n">
        <f aca="false">IF($B105="","",O105-Q105-L105)</f>
        <v>3600000</v>
      </c>
      <c r="S105" s="21" t="n">
        <f aca="false">IF(OR($B105="",N(O105)=0),"",R105/O105)</f>
        <v>0.214285714285714</v>
      </c>
      <c r="T105" s="14"/>
      <c r="U105" s="19" t="n">
        <f aca="false">IF(OR($B105="",$A105=""),0,IF(COUNTIFS($A$5:$A105,$A105,$B$5:$B105,$B105)=1,1,0))</f>
        <v>1</v>
      </c>
    </row>
    <row r="106" customFormat="false" ht="15" hidden="false" customHeight="false" outlineLevel="0" collapsed="false">
      <c r="A106" s="17" t="n">
        <v>46289</v>
      </c>
      <c r="B106" s="13" t="s">
        <v>36</v>
      </c>
      <c r="C106" s="20" t="str">
        <f aca="false">IF($B106="","",IFERROR(INDEX(고객사!$B$5:$B$104,MATCH($B106,고객사!$A$5:$A$104,0)),"코드 확인"))</f>
        <v>예시) 한빛전자 비나</v>
      </c>
      <c r="D106" s="15" t="s">
        <v>96</v>
      </c>
      <c r="E106" s="15" t="s">
        <v>97</v>
      </c>
      <c r="F106" s="16" t="n">
        <v>12</v>
      </c>
      <c r="G106" s="16" t="n">
        <v>9</v>
      </c>
      <c r="H106" s="21" t="n">
        <f aca="false">IF(OR($B106="",F106=0),"",G106/F106)</f>
        <v>0.75</v>
      </c>
      <c r="I106" s="22" t="n">
        <f aca="false">IF($B106="","",MAX(F106-G106,0))</f>
        <v>3</v>
      </c>
      <c r="J106" s="23" t="str">
        <f aca="false">IF($B106="","",IFERROR(INDEX(고객사!$G$5:$G$104,MATCH($B106,고객사!$A$5:$A$104,0)),""))</f>
        <v>Y</v>
      </c>
      <c r="K106" s="16" t="n">
        <v>0</v>
      </c>
      <c r="L106" s="22" t="n">
        <f aca="false">IF($B106="","",K106*IFERROR(INDEX(고객사!$L$5:$L$104,MATCH($B106,고객사!$A$5:$A$104,0)),0))</f>
        <v>0</v>
      </c>
      <c r="M106" s="23" t="str">
        <f aca="false">IF($B106="","",IF(AND(J106="N",G106&gt;0,K106=0,IFERROR(INDEX(고객사!$H$5:$H$104,MATCH($B106,고객사!$A$5:$A$104,0)),"")="자사 차량 운행"),"차량 미배정",""))</f>
        <v/>
      </c>
      <c r="N106" s="22" t="n">
        <f aca="false">IF($B106="","",IFERROR(INDEX(고객사!$J$5:$J$104,MATCH($B106,고객사!$A$5:$A$104,0)),0))</f>
        <v>420000</v>
      </c>
      <c r="O106" s="22" t="n">
        <f aca="false">IF($B106="","",G106*N106)</f>
        <v>3780000</v>
      </c>
      <c r="P106" s="22" t="n">
        <f aca="false">IF($B106="","",IFERROR(INDEX(고객사!$K$5:$K$104,MATCH($B106,고객사!$A$5:$A$104,0)),0))</f>
        <v>330000</v>
      </c>
      <c r="Q106" s="22" t="n">
        <f aca="false">IF($B106="","",G106*P106)</f>
        <v>2970000</v>
      </c>
      <c r="R106" s="22" t="n">
        <f aca="false">IF($B106="","",O106-Q106-L106)</f>
        <v>810000</v>
      </c>
      <c r="S106" s="21" t="n">
        <f aca="false">IF(OR($B106="",N(O106)=0),"",R106/O106)</f>
        <v>0.214285714285714</v>
      </c>
      <c r="T106" s="14"/>
      <c r="U106" s="19" t="n">
        <f aca="false">IF(OR($B106="",$A106=""),0,IF(COUNTIFS($A$5:$A106,$A106,$B$5:$B106,$B106)=1,1,0))</f>
        <v>0</v>
      </c>
    </row>
    <row r="107" customFormat="false" ht="15" hidden="false" customHeight="false" outlineLevel="0" collapsed="false">
      <c r="A107" s="17" t="n">
        <v>46289</v>
      </c>
      <c r="B107" s="13" t="s">
        <v>46</v>
      </c>
      <c r="C107" s="20" t="str">
        <f aca="false">IF($B107="","",IFERROR(INDEX(고객사!$B$5:$B$104,MATCH($B107,고객사!$A$5:$A$104,0)),"코드 확인"))</f>
        <v>예시) 대성섬유 VN</v>
      </c>
      <c r="D107" s="15" t="s">
        <v>49</v>
      </c>
      <c r="E107" s="15" t="s">
        <v>94</v>
      </c>
      <c r="F107" s="16" t="n">
        <v>30</v>
      </c>
      <c r="G107" s="16" t="n">
        <v>29</v>
      </c>
      <c r="H107" s="21" t="n">
        <f aca="false">IF(OR($B107="",F107=0),"",G107/F107)</f>
        <v>0.966666666666667</v>
      </c>
      <c r="I107" s="22" t="n">
        <f aca="false">IF($B107="","",MAX(F107-G107,0))</f>
        <v>1</v>
      </c>
      <c r="J107" s="23" t="str">
        <f aca="false">IF($B107="","",IFERROR(INDEX(고객사!$G$5:$G$104,MATCH($B107,고객사!$A$5:$A$104,0)),""))</f>
        <v>N</v>
      </c>
      <c r="K107" s="16" t="n">
        <v>1</v>
      </c>
      <c r="L107" s="22" t="n">
        <f aca="false">IF($B107="","",K107*IFERROR(INDEX(고객사!$L$5:$L$104,MATCH($B107,고객사!$A$5:$A$104,0)),0))</f>
        <v>1200000</v>
      </c>
      <c r="M107" s="23" t="str">
        <f aca="false">IF($B107="","",IF(AND(J107="N",G107&gt;0,K107=0,IFERROR(INDEX(고객사!$H$5:$H$104,MATCH($B107,고객사!$A$5:$A$104,0)),"")="자사 차량 운행"),"차량 미배정",""))</f>
        <v/>
      </c>
      <c r="N107" s="22" t="n">
        <f aca="false">IF($B107="","",IFERROR(INDEX(고객사!$J$5:$J$104,MATCH($B107,고객사!$A$5:$A$104,0)),0))</f>
        <v>380000</v>
      </c>
      <c r="O107" s="22" t="n">
        <f aca="false">IF($B107="","",G107*N107)</f>
        <v>11020000</v>
      </c>
      <c r="P107" s="22" t="n">
        <f aca="false">IF($B107="","",IFERROR(INDEX(고객사!$K$5:$K$104,MATCH($B107,고객사!$A$5:$A$104,0)),0))</f>
        <v>300000</v>
      </c>
      <c r="Q107" s="22" t="n">
        <f aca="false">IF($B107="","",G107*P107)</f>
        <v>8700000</v>
      </c>
      <c r="R107" s="22" t="n">
        <f aca="false">IF($B107="","",O107-Q107-L107)</f>
        <v>1120000</v>
      </c>
      <c r="S107" s="21" t="n">
        <f aca="false">IF(OR($B107="",N(O107)=0),"",R107/O107)</f>
        <v>0.101633393829401</v>
      </c>
      <c r="T107" s="14"/>
      <c r="U107" s="19" t="n">
        <f aca="false">IF(OR($B107="",$A107=""),0,IF(COUNTIFS($A$5:$A107,$A107,$B$5:$B107,$B107)=1,1,0))</f>
        <v>1</v>
      </c>
    </row>
    <row r="108" customFormat="false" ht="15" hidden="false" customHeight="false" outlineLevel="0" collapsed="false">
      <c r="A108" s="17" t="n">
        <v>46289</v>
      </c>
      <c r="B108" s="13" t="s">
        <v>56</v>
      </c>
      <c r="C108" s="20" t="str">
        <f aca="false">IF($B108="","",IFERROR(INDEX(고객사!$B$5:$B$104,MATCH($B108,고객사!$A$5:$A$104,0)),"코드 확인"))</f>
        <v>예시) 그린물류 하노이</v>
      </c>
      <c r="D108" s="15" t="s">
        <v>98</v>
      </c>
      <c r="E108" s="15" t="s">
        <v>94</v>
      </c>
      <c r="F108" s="16" t="n">
        <v>18</v>
      </c>
      <c r="G108" s="16" t="n">
        <v>15</v>
      </c>
      <c r="H108" s="21" t="n">
        <f aca="false">IF(OR($B108="",F108=0),"",G108/F108)</f>
        <v>0.833333333333333</v>
      </c>
      <c r="I108" s="22" t="n">
        <f aca="false">IF($B108="","",MAX(F108-G108,0))</f>
        <v>3</v>
      </c>
      <c r="J108" s="23" t="str">
        <f aca="false">IF($B108="","",IFERROR(INDEX(고객사!$G$5:$G$104,MATCH($B108,고객사!$A$5:$A$104,0)),""))</f>
        <v>N</v>
      </c>
      <c r="K108" s="16" t="n">
        <v>0</v>
      </c>
      <c r="L108" s="22" t="n">
        <f aca="false">IF($B108="","",K108*IFERROR(INDEX(고객사!$L$5:$L$104,MATCH($B108,고객사!$A$5:$A$104,0)),0))</f>
        <v>0</v>
      </c>
      <c r="M108" s="23" t="str">
        <f aca="false">IF($B108="","",IF(AND(J108="N",G108&gt;0,K108=0,IFERROR(INDEX(고객사!$H$5:$H$104,MATCH($B108,고객사!$A$5:$A$104,0)),"")="자사 차량 운행"),"차량 미배정",""))</f>
        <v/>
      </c>
      <c r="N108" s="22" t="n">
        <f aca="false">IF($B108="","",IFERROR(INDEX(고객사!$J$5:$J$104,MATCH($B108,고객사!$A$5:$A$104,0)),0))</f>
        <v>400000</v>
      </c>
      <c r="O108" s="22" t="n">
        <f aca="false">IF($B108="","",G108*N108)</f>
        <v>6000000</v>
      </c>
      <c r="P108" s="22" t="n">
        <f aca="false">IF($B108="","",IFERROR(INDEX(고객사!$K$5:$K$104,MATCH($B108,고객사!$A$5:$A$104,0)),0))</f>
        <v>315000</v>
      </c>
      <c r="Q108" s="22" t="n">
        <f aca="false">IF($B108="","",G108*P108)</f>
        <v>4725000</v>
      </c>
      <c r="R108" s="22" t="n">
        <f aca="false">IF($B108="","",O108-Q108-L108)</f>
        <v>1275000</v>
      </c>
      <c r="S108" s="21" t="n">
        <f aca="false">IF(OR($B108="",N(O108)=0),"",R108/O108)</f>
        <v>0.2125</v>
      </c>
      <c r="T108" s="14"/>
      <c r="U108" s="19" t="n">
        <f aca="false">IF(OR($B108="",$A108=""),0,IF(COUNTIFS($A$5:$A108,$A108,$B$5:$B108,$B108)=1,1,0))</f>
        <v>1</v>
      </c>
    </row>
    <row r="109" customFormat="false" ht="15" hidden="false" customHeight="false" outlineLevel="0" collapsed="false">
      <c r="A109" s="17" t="n">
        <v>46289</v>
      </c>
      <c r="B109" s="13" t="s">
        <v>64</v>
      </c>
      <c r="C109" s="20" t="str">
        <f aca="false">IF($B109="","",IFERROR(INDEX(고객사!$B$5:$B$104,MATCH($B109,고객사!$A$5:$A$104,0)),"코드 확인"))</f>
        <v>예시) 미래식품 빈즈엉</v>
      </c>
      <c r="D109" s="15" t="s">
        <v>99</v>
      </c>
      <c r="E109" s="13" t="s">
        <v>100</v>
      </c>
      <c r="F109" s="16" t="n">
        <v>22</v>
      </c>
      <c r="G109" s="16" t="n">
        <v>20</v>
      </c>
      <c r="H109" s="21" t="n">
        <f aca="false">IF(OR($B109="",F109=0),"",G109/F109)</f>
        <v>0.909090909090909</v>
      </c>
      <c r="I109" s="22" t="n">
        <f aca="false">IF($B109="","",MAX(F109-G109,0))</f>
        <v>2</v>
      </c>
      <c r="J109" s="23" t="str">
        <f aca="false">IF($B109="","",IFERROR(INDEX(고객사!$G$5:$G$104,MATCH($B109,고객사!$A$5:$A$104,0)),""))</f>
        <v>Y</v>
      </c>
      <c r="K109" s="16" t="n">
        <v>0</v>
      </c>
      <c r="L109" s="22" t="n">
        <f aca="false">IF($B109="","",K109*IFERROR(INDEX(고객사!$L$5:$L$104,MATCH($B109,고객사!$A$5:$A$104,0)),0))</f>
        <v>0</v>
      </c>
      <c r="M109" s="23" t="str">
        <f aca="false">IF($B109="","",IF(AND(J109="N",G109&gt;0,K109=0,IFERROR(INDEX(고객사!$H$5:$H$104,MATCH($B109,고객사!$A$5:$A$104,0)),"")="자사 차량 운행"),"차량 미배정",""))</f>
        <v/>
      </c>
      <c r="N109" s="22" t="n">
        <f aca="false">IF($B109="","",IFERROR(INDEX(고객사!$J$5:$J$104,MATCH($B109,고객사!$A$5:$A$104,0)),0))</f>
        <v>390000</v>
      </c>
      <c r="O109" s="22" t="n">
        <f aca="false">IF($B109="","",G109*N109)</f>
        <v>7800000</v>
      </c>
      <c r="P109" s="22" t="n">
        <f aca="false">IF($B109="","",IFERROR(INDEX(고객사!$K$5:$K$104,MATCH($B109,고객사!$A$5:$A$104,0)),0))</f>
        <v>305000</v>
      </c>
      <c r="Q109" s="22" t="n">
        <f aca="false">IF($B109="","",G109*P109)</f>
        <v>6100000</v>
      </c>
      <c r="R109" s="22" t="n">
        <f aca="false">IF($B109="","",O109-Q109-L109)</f>
        <v>1700000</v>
      </c>
      <c r="S109" s="21" t="n">
        <f aca="false">IF(OR($B109="",N(O109)=0),"",R109/O109)</f>
        <v>0.217948717948718</v>
      </c>
      <c r="T109" s="14"/>
      <c r="U109" s="19" t="n">
        <f aca="false">IF(OR($B109="",$A109=""),0,IF(COUNTIFS($A$5:$A109,$A109,$B$5:$B109,$B109)=1,1,0))</f>
        <v>1</v>
      </c>
    </row>
    <row r="110" customFormat="false" ht="15" hidden="false" customHeight="false" outlineLevel="0" collapsed="false">
      <c r="A110" s="17" t="n">
        <v>46290</v>
      </c>
      <c r="B110" s="13" t="s">
        <v>36</v>
      </c>
      <c r="C110" s="20" t="str">
        <f aca="false">IF($B110="","",IFERROR(INDEX(고객사!$B$5:$B$104,MATCH($B110,고객사!$A$5:$A$104,0)),"코드 확인"))</f>
        <v>예시) 한빛전자 비나</v>
      </c>
      <c r="D110" s="15" t="s">
        <v>93</v>
      </c>
      <c r="E110" s="15" t="s">
        <v>94</v>
      </c>
      <c r="F110" s="16" t="n">
        <v>40</v>
      </c>
      <c r="G110" s="16" t="n">
        <v>37</v>
      </c>
      <c r="H110" s="21" t="n">
        <f aca="false">IF(OR($B110="",F110=0),"",G110/F110)</f>
        <v>0.925</v>
      </c>
      <c r="I110" s="22" t="n">
        <f aca="false">IF($B110="","",MAX(F110-G110,0))</f>
        <v>3</v>
      </c>
      <c r="J110" s="23" t="str">
        <f aca="false">IF($B110="","",IFERROR(INDEX(고객사!$G$5:$G$104,MATCH($B110,고객사!$A$5:$A$104,0)),""))</f>
        <v>Y</v>
      </c>
      <c r="K110" s="16" t="n">
        <v>0</v>
      </c>
      <c r="L110" s="22" t="n">
        <f aca="false">IF($B110="","",K110*IFERROR(INDEX(고객사!$L$5:$L$104,MATCH($B110,고객사!$A$5:$A$104,0)),0))</f>
        <v>0</v>
      </c>
      <c r="M110" s="23" t="str">
        <f aca="false">IF($B110="","",IF(AND(J110="N",G110&gt;0,K110=0,IFERROR(INDEX(고객사!$H$5:$H$104,MATCH($B110,고객사!$A$5:$A$104,0)),"")="자사 차량 운행"),"차량 미배정",""))</f>
        <v/>
      </c>
      <c r="N110" s="22" t="n">
        <f aca="false">IF($B110="","",IFERROR(INDEX(고객사!$J$5:$J$104,MATCH($B110,고객사!$A$5:$A$104,0)),0))</f>
        <v>420000</v>
      </c>
      <c r="O110" s="22" t="n">
        <f aca="false">IF($B110="","",G110*N110)</f>
        <v>15540000</v>
      </c>
      <c r="P110" s="22" t="n">
        <f aca="false">IF($B110="","",IFERROR(INDEX(고객사!$K$5:$K$104,MATCH($B110,고객사!$A$5:$A$104,0)),0))</f>
        <v>330000</v>
      </c>
      <c r="Q110" s="22" t="n">
        <f aca="false">IF($B110="","",G110*P110)</f>
        <v>12210000</v>
      </c>
      <c r="R110" s="22" t="n">
        <f aca="false">IF($B110="","",O110-Q110-L110)</f>
        <v>3330000</v>
      </c>
      <c r="S110" s="21" t="n">
        <f aca="false">IF(OR($B110="",N(O110)=0),"",R110/O110)</f>
        <v>0.214285714285714</v>
      </c>
      <c r="T110" s="14"/>
      <c r="U110" s="19" t="n">
        <f aca="false">IF(OR($B110="",$A110=""),0,IF(COUNTIFS($A$5:$A110,$A110,$B$5:$B110,$B110)=1,1,0))</f>
        <v>1</v>
      </c>
    </row>
    <row r="111" customFormat="false" ht="15" hidden="false" customHeight="false" outlineLevel="0" collapsed="false">
      <c r="A111" s="17" t="n">
        <v>46290</v>
      </c>
      <c r="B111" s="13" t="s">
        <v>36</v>
      </c>
      <c r="C111" s="20" t="str">
        <f aca="false">IF($B111="","",IFERROR(INDEX(고객사!$B$5:$B$104,MATCH($B111,고객사!$A$5:$A$104,0)),"코드 확인"))</f>
        <v>예시) 한빛전자 비나</v>
      </c>
      <c r="D111" s="15" t="s">
        <v>96</v>
      </c>
      <c r="E111" s="15" t="s">
        <v>97</v>
      </c>
      <c r="F111" s="16" t="n">
        <v>12</v>
      </c>
      <c r="G111" s="16" t="n">
        <v>11</v>
      </c>
      <c r="H111" s="21" t="n">
        <f aca="false">IF(OR($B111="",F111=0),"",G111/F111)</f>
        <v>0.916666666666667</v>
      </c>
      <c r="I111" s="22" t="n">
        <f aca="false">IF($B111="","",MAX(F111-G111,0))</f>
        <v>1</v>
      </c>
      <c r="J111" s="23" t="str">
        <f aca="false">IF($B111="","",IFERROR(INDEX(고객사!$G$5:$G$104,MATCH($B111,고객사!$A$5:$A$104,0)),""))</f>
        <v>Y</v>
      </c>
      <c r="K111" s="16" t="n">
        <v>0</v>
      </c>
      <c r="L111" s="22" t="n">
        <f aca="false">IF($B111="","",K111*IFERROR(INDEX(고객사!$L$5:$L$104,MATCH($B111,고객사!$A$5:$A$104,0)),0))</f>
        <v>0</v>
      </c>
      <c r="M111" s="23" t="str">
        <f aca="false">IF($B111="","",IF(AND(J111="N",G111&gt;0,K111=0,IFERROR(INDEX(고객사!$H$5:$H$104,MATCH($B111,고객사!$A$5:$A$104,0)),"")="자사 차량 운행"),"차량 미배정",""))</f>
        <v/>
      </c>
      <c r="N111" s="22" t="n">
        <f aca="false">IF($B111="","",IFERROR(INDEX(고객사!$J$5:$J$104,MATCH($B111,고객사!$A$5:$A$104,0)),0))</f>
        <v>420000</v>
      </c>
      <c r="O111" s="22" t="n">
        <f aca="false">IF($B111="","",G111*N111)</f>
        <v>4620000</v>
      </c>
      <c r="P111" s="22" t="n">
        <f aca="false">IF($B111="","",IFERROR(INDEX(고객사!$K$5:$K$104,MATCH($B111,고객사!$A$5:$A$104,0)),0))</f>
        <v>330000</v>
      </c>
      <c r="Q111" s="22" t="n">
        <f aca="false">IF($B111="","",G111*P111)</f>
        <v>3630000</v>
      </c>
      <c r="R111" s="22" t="n">
        <f aca="false">IF($B111="","",O111-Q111-L111)</f>
        <v>990000</v>
      </c>
      <c r="S111" s="21" t="n">
        <f aca="false">IF(OR($B111="",N(O111)=0),"",R111/O111)</f>
        <v>0.214285714285714</v>
      </c>
      <c r="T111" s="14"/>
      <c r="U111" s="19" t="n">
        <f aca="false">IF(OR($B111="",$A111=""),0,IF(COUNTIFS($A$5:$A111,$A111,$B$5:$B111,$B111)=1,1,0))</f>
        <v>0</v>
      </c>
    </row>
    <row r="112" customFormat="false" ht="15" hidden="false" customHeight="false" outlineLevel="0" collapsed="false">
      <c r="A112" s="17" t="n">
        <v>46290</v>
      </c>
      <c r="B112" s="13" t="s">
        <v>46</v>
      </c>
      <c r="C112" s="20" t="str">
        <f aca="false">IF($B112="","",IFERROR(INDEX(고객사!$B$5:$B$104,MATCH($B112,고객사!$A$5:$A$104,0)),"코드 확인"))</f>
        <v>예시) 대성섬유 VN</v>
      </c>
      <c r="D112" s="15" t="s">
        <v>49</v>
      </c>
      <c r="E112" s="15" t="s">
        <v>94</v>
      </c>
      <c r="F112" s="16" t="n">
        <v>30</v>
      </c>
      <c r="G112" s="16" t="n">
        <v>30</v>
      </c>
      <c r="H112" s="21" t="n">
        <f aca="false">IF(OR($B112="",F112=0),"",G112/F112)</f>
        <v>1</v>
      </c>
      <c r="I112" s="22" t="n">
        <f aca="false">IF($B112="","",MAX(F112-G112,0))</f>
        <v>0</v>
      </c>
      <c r="J112" s="23" t="str">
        <f aca="false">IF($B112="","",IFERROR(INDEX(고객사!$G$5:$G$104,MATCH($B112,고객사!$A$5:$A$104,0)),""))</f>
        <v>N</v>
      </c>
      <c r="K112" s="16" t="n">
        <v>1</v>
      </c>
      <c r="L112" s="22" t="n">
        <f aca="false">IF($B112="","",K112*IFERROR(INDEX(고객사!$L$5:$L$104,MATCH($B112,고객사!$A$5:$A$104,0)),0))</f>
        <v>1200000</v>
      </c>
      <c r="M112" s="23" t="str">
        <f aca="false">IF($B112="","",IF(AND(J112="N",G112&gt;0,K112=0,IFERROR(INDEX(고객사!$H$5:$H$104,MATCH($B112,고객사!$A$5:$A$104,0)),"")="자사 차량 운행"),"차량 미배정",""))</f>
        <v/>
      </c>
      <c r="N112" s="22" t="n">
        <f aca="false">IF($B112="","",IFERROR(INDEX(고객사!$J$5:$J$104,MATCH($B112,고객사!$A$5:$A$104,0)),0))</f>
        <v>380000</v>
      </c>
      <c r="O112" s="22" t="n">
        <f aca="false">IF($B112="","",G112*N112)</f>
        <v>11400000</v>
      </c>
      <c r="P112" s="22" t="n">
        <f aca="false">IF($B112="","",IFERROR(INDEX(고객사!$K$5:$K$104,MATCH($B112,고객사!$A$5:$A$104,0)),0))</f>
        <v>300000</v>
      </c>
      <c r="Q112" s="22" t="n">
        <f aca="false">IF($B112="","",G112*P112)</f>
        <v>9000000</v>
      </c>
      <c r="R112" s="22" t="n">
        <f aca="false">IF($B112="","",O112-Q112-L112)</f>
        <v>1200000</v>
      </c>
      <c r="S112" s="21" t="n">
        <f aca="false">IF(OR($B112="",N(O112)=0),"",R112/O112)</f>
        <v>0.105263157894737</v>
      </c>
      <c r="T112" s="14"/>
      <c r="U112" s="19" t="n">
        <f aca="false">IF(OR($B112="",$A112=""),0,IF(COUNTIFS($A$5:$A112,$A112,$B$5:$B112,$B112)=1,1,0))</f>
        <v>1</v>
      </c>
    </row>
    <row r="113" customFormat="false" ht="15" hidden="false" customHeight="false" outlineLevel="0" collapsed="false">
      <c r="A113" s="17" t="n">
        <v>46290</v>
      </c>
      <c r="B113" s="13" t="s">
        <v>56</v>
      </c>
      <c r="C113" s="20" t="str">
        <f aca="false">IF($B113="","",IFERROR(INDEX(고객사!$B$5:$B$104,MATCH($B113,고객사!$A$5:$A$104,0)),"코드 확인"))</f>
        <v>예시) 그린물류 하노이</v>
      </c>
      <c r="D113" s="15" t="s">
        <v>98</v>
      </c>
      <c r="E113" s="15" t="s">
        <v>94</v>
      </c>
      <c r="F113" s="16" t="n">
        <v>18</v>
      </c>
      <c r="G113" s="16" t="n">
        <v>18</v>
      </c>
      <c r="H113" s="21" t="n">
        <f aca="false">IF(OR($B113="",F113=0),"",G113/F113)</f>
        <v>1</v>
      </c>
      <c r="I113" s="22" t="n">
        <f aca="false">IF($B113="","",MAX(F113-G113,0))</f>
        <v>0</v>
      </c>
      <c r="J113" s="23" t="str">
        <f aca="false">IF($B113="","",IFERROR(INDEX(고객사!$G$5:$G$104,MATCH($B113,고객사!$A$5:$A$104,0)),""))</f>
        <v>N</v>
      </c>
      <c r="K113" s="16" t="n">
        <v>0</v>
      </c>
      <c r="L113" s="22" t="n">
        <f aca="false">IF($B113="","",K113*IFERROR(INDEX(고객사!$L$5:$L$104,MATCH($B113,고객사!$A$5:$A$104,0)),0))</f>
        <v>0</v>
      </c>
      <c r="M113" s="23" t="str">
        <f aca="false">IF($B113="","",IF(AND(J113="N",G113&gt;0,K113=0,IFERROR(INDEX(고객사!$H$5:$H$104,MATCH($B113,고객사!$A$5:$A$104,0)),"")="자사 차량 운행"),"차량 미배정",""))</f>
        <v/>
      </c>
      <c r="N113" s="22" t="n">
        <f aca="false">IF($B113="","",IFERROR(INDEX(고객사!$J$5:$J$104,MATCH($B113,고객사!$A$5:$A$104,0)),0))</f>
        <v>400000</v>
      </c>
      <c r="O113" s="22" t="n">
        <f aca="false">IF($B113="","",G113*N113)</f>
        <v>7200000</v>
      </c>
      <c r="P113" s="22" t="n">
        <f aca="false">IF($B113="","",IFERROR(INDEX(고객사!$K$5:$K$104,MATCH($B113,고객사!$A$5:$A$104,0)),0))</f>
        <v>315000</v>
      </c>
      <c r="Q113" s="22" t="n">
        <f aca="false">IF($B113="","",G113*P113)</f>
        <v>5670000</v>
      </c>
      <c r="R113" s="22" t="n">
        <f aca="false">IF($B113="","",O113-Q113-L113)</f>
        <v>1530000</v>
      </c>
      <c r="S113" s="21" t="n">
        <f aca="false">IF(OR($B113="",N(O113)=0),"",R113/O113)</f>
        <v>0.2125</v>
      </c>
      <c r="T113" s="14"/>
      <c r="U113" s="19" t="n">
        <f aca="false">IF(OR($B113="",$A113=""),0,IF(COUNTIFS($A$5:$A113,$A113,$B$5:$B113,$B113)=1,1,0))</f>
        <v>1</v>
      </c>
    </row>
    <row r="114" customFormat="false" ht="15" hidden="false" customHeight="false" outlineLevel="0" collapsed="false">
      <c r="A114" s="17" t="n">
        <v>46290</v>
      </c>
      <c r="B114" s="13" t="s">
        <v>64</v>
      </c>
      <c r="C114" s="20" t="str">
        <f aca="false">IF($B114="","",IFERROR(INDEX(고객사!$B$5:$B$104,MATCH($B114,고객사!$A$5:$A$104,0)),"코드 확인"))</f>
        <v>예시) 미래식품 빈즈엉</v>
      </c>
      <c r="D114" s="15" t="s">
        <v>99</v>
      </c>
      <c r="E114" s="13" t="s">
        <v>100</v>
      </c>
      <c r="F114" s="16" t="n">
        <v>22</v>
      </c>
      <c r="G114" s="16" t="n">
        <v>22</v>
      </c>
      <c r="H114" s="21" t="n">
        <f aca="false">IF(OR($B114="",F114=0),"",G114/F114)</f>
        <v>1</v>
      </c>
      <c r="I114" s="22" t="n">
        <f aca="false">IF($B114="","",MAX(F114-G114,0))</f>
        <v>0</v>
      </c>
      <c r="J114" s="23" t="str">
        <f aca="false">IF($B114="","",IFERROR(INDEX(고객사!$G$5:$G$104,MATCH($B114,고객사!$A$5:$A$104,0)),""))</f>
        <v>Y</v>
      </c>
      <c r="K114" s="16" t="n">
        <v>0</v>
      </c>
      <c r="L114" s="22" t="n">
        <f aca="false">IF($B114="","",K114*IFERROR(INDEX(고객사!$L$5:$L$104,MATCH($B114,고객사!$A$5:$A$104,0)),0))</f>
        <v>0</v>
      </c>
      <c r="M114" s="23" t="str">
        <f aca="false">IF($B114="","",IF(AND(J114="N",G114&gt;0,K114=0,IFERROR(INDEX(고객사!$H$5:$H$104,MATCH($B114,고객사!$A$5:$A$104,0)),"")="자사 차량 운행"),"차량 미배정",""))</f>
        <v/>
      </c>
      <c r="N114" s="22" t="n">
        <f aca="false">IF($B114="","",IFERROR(INDEX(고객사!$J$5:$J$104,MATCH($B114,고객사!$A$5:$A$104,0)),0))</f>
        <v>390000</v>
      </c>
      <c r="O114" s="22" t="n">
        <f aca="false">IF($B114="","",G114*N114)</f>
        <v>8580000</v>
      </c>
      <c r="P114" s="22" t="n">
        <f aca="false">IF($B114="","",IFERROR(INDEX(고객사!$K$5:$K$104,MATCH($B114,고객사!$A$5:$A$104,0)),0))</f>
        <v>305000</v>
      </c>
      <c r="Q114" s="22" t="n">
        <f aca="false">IF($B114="","",G114*P114)</f>
        <v>6710000</v>
      </c>
      <c r="R114" s="22" t="n">
        <f aca="false">IF($B114="","",O114-Q114-L114)</f>
        <v>1870000</v>
      </c>
      <c r="S114" s="21" t="n">
        <f aca="false">IF(OR($B114="",N(O114)=0),"",R114/O114)</f>
        <v>0.217948717948718</v>
      </c>
      <c r="T114" s="14"/>
      <c r="U114" s="19" t="n">
        <f aca="false">IF(OR($B114="",$A114=""),0,IF(COUNTIFS($A$5:$A114,$A114,$B$5:$B114,$B114)=1,1,0))</f>
        <v>1</v>
      </c>
    </row>
    <row r="115" customFormat="false" ht="15" hidden="false" customHeight="false" outlineLevel="0" collapsed="false">
      <c r="A115" s="17"/>
      <c r="B115" s="13"/>
      <c r="C115" s="20" t="str">
        <f aca="false">IF($B115="","",IFERROR(INDEX(고객사!$B$5:$B$104,MATCH($B115,고객사!$A$5:$A$104,0)),"코드 확인"))</f>
        <v/>
      </c>
      <c r="D115" s="15"/>
      <c r="E115" s="15"/>
      <c r="F115" s="16"/>
      <c r="G115" s="16"/>
      <c r="H115" s="21" t="str">
        <f aca="false">IF(OR($B115="",F115=0),"",G115/F115)</f>
        <v/>
      </c>
      <c r="I115" s="22" t="str">
        <f aca="false">IF($B115="","",MAX(F115-G115,0))</f>
        <v/>
      </c>
      <c r="J115" s="23" t="str">
        <f aca="false">IF($B115="","",IFERROR(INDEX(고객사!$G$5:$G$104,MATCH($B115,고객사!$A$5:$A$104,0)),""))</f>
        <v/>
      </c>
      <c r="K115" s="16"/>
      <c r="L115" s="22" t="str">
        <f aca="false">IF($B115="","",K115*IFERROR(INDEX(고객사!$L$5:$L$104,MATCH($B115,고객사!$A$5:$A$104,0)),0))</f>
        <v/>
      </c>
      <c r="M115" s="23" t="str">
        <f aca="false">IF($B115="","",IF(AND(J115="N",G115&gt;0,K115=0,IFERROR(INDEX(고객사!$H$5:$H$104,MATCH($B115,고객사!$A$5:$A$104,0)),"")="자사 차량 운행"),"차량 미배정",""))</f>
        <v/>
      </c>
      <c r="N115" s="22" t="str">
        <f aca="false">IF($B115="","",IFERROR(INDEX(고객사!$J$5:$J$104,MATCH($B115,고객사!$A$5:$A$104,0)),0))</f>
        <v/>
      </c>
      <c r="O115" s="22" t="str">
        <f aca="false">IF($B115="","",G115*N115)</f>
        <v/>
      </c>
      <c r="P115" s="22" t="str">
        <f aca="false">IF($B115="","",IFERROR(INDEX(고객사!$K$5:$K$104,MATCH($B115,고객사!$A$5:$A$104,0)),0))</f>
        <v/>
      </c>
      <c r="Q115" s="22" t="str">
        <f aca="false">IF($B115="","",G115*P115)</f>
        <v/>
      </c>
      <c r="R115" s="22" t="str">
        <f aca="false">IF($B115="","",O115-Q115-L115)</f>
        <v/>
      </c>
      <c r="S115" s="21" t="str">
        <f aca="false">IF(OR($B115="",N(O115)=0),"",R115/O115)</f>
        <v/>
      </c>
      <c r="T115" s="14"/>
      <c r="U115" s="19" t="n">
        <f aca="false">IF(OR($B115="",$A115=""),0,IF(COUNTIFS($A$5:$A115,$A115,$B$5:$B115,$B115)=1,1,0))</f>
        <v>0</v>
      </c>
    </row>
    <row r="116" customFormat="false" ht="15" hidden="false" customHeight="false" outlineLevel="0" collapsed="false">
      <c r="A116" s="17"/>
      <c r="B116" s="13"/>
      <c r="C116" s="20" t="str">
        <f aca="false">IF($B116="","",IFERROR(INDEX(고객사!$B$5:$B$104,MATCH($B116,고객사!$A$5:$A$104,0)),"코드 확인"))</f>
        <v/>
      </c>
      <c r="D116" s="15"/>
      <c r="E116" s="15"/>
      <c r="F116" s="16"/>
      <c r="G116" s="16"/>
      <c r="H116" s="21" t="str">
        <f aca="false">IF(OR($B116="",F116=0),"",G116/F116)</f>
        <v/>
      </c>
      <c r="I116" s="22" t="str">
        <f aca="false">IF($B116="","",MAX(F116-G116,0))</f>
        <v/>
      </c>
      <c r="J116" s="23" t="str">
        <f aca="false">IF($B116="","",IFERROR(INDEX(고객사!$G$5:$G$104,MATCH($B116,고객사!$A$5:$A$104,0)),""))</f>
        <v/>
      </c>
      <c r="K116" s="16"/>
      <c r="L116" s="22" t="str">
        <f aca="false">IF($B116="","",K116*IFERROR(INDEX(고객사!$L$5:$L$104,MATCH($B116,고객사!$A$5:$A$104,0)),0))</f>
        <v/>
      </c>
      <c r="M116" s="23" t="str">
        <f aca="false">IF($B116="","",IF(AND(J116="N",G116&gt;0,K116=0,IFERROR(INDEX(고객사!$H$5:$H$104,MATCH($B116,고객사!$A$5:$A$104,0)),"")="자사 차량 운행"),"차량 미배정",""))</f>
        <v/>
      </c>
      <c r="N116" s="22" t="str">
        <f aca="false">IF($B116="","",IFERROR(INDEX(고객사!$J$5:$J$104,MATCH($B116,고객사!$A$5:$A$104,0)),0))</f>
        <v/>
      </c>
      <c r="O116" s="22" t="str">
        <f aca="false">IF($B116="","",G116*N116)</f>
        <v/>
      </c>
      <c r="P116" s="22" t="str">
        <f aca="false">IF($B116="","",IFERROR(INDEX(고객사!$K$5:$K$104,MATCH($B116,고객사!$A$5:$A$104,0)),0))</f>
        <v/>
      </c>
      <c r="Q116" s="22" t="str">
        <f aca="false">IF($B116="","",G116*P116)</f>
        <v/>
      </c>
      <c r="R116" s="22" t="str">
        <f aca="false">IF($B116="","",O116-Q116-L116)</f>
        <v/>
      </c>
      <c r="S116" s="21" t="str">
        <f aca="false">IF(OR($B116="",N(O116)=0),"",R116/O116)</f>
        <v/>
      </c>
      <c r="T116" s="14"/>
      <c r="U116" s="19" t="n">
        <f aca="false">IF(OR($B116="",$A116=""),0,IF(COUNTIFS($A$5:$A116,$A116,$B$5:$B116,$B116)=1,1,0))</f>
        <v>0</v>
      </c>
    </row>
    <row r="117" customFormat="false" ht="15" hidden="false" customHeight="false" outlineLevel="0" collapsed="false">
      <c r="A117" s="17"/>
      <c r="B117" s="13"/>
      <c r="C117" s="20" t="str">
        <f aca="false">IF($B117="","",IFERROR(INDEX(고객사!$B$5:$B$104,MATCH($B117,고객사!$A$5:$A$104,0)),"코드 확인"))</f>
        <v/>
      </c>
      <c r="D117" s="15"/>
      <c r="E117" s="15"/>
      <c r="F117" s="16"/>
      <c r="G117" s="16"/>
      <c r="H117" s="21" t="str">
        <f aca="false">IF(OR($B117="",F117=0),"",G117/F117)</f>
        <v/>
      </c>
      <c r="I117" s="22" t="str">
        <f aca="false">IF($B117="","",MAX(F117-G117,0))</f>
        <v/>
      </c>
      <c r="J117" s="23" t="str">
        <f aca="false">IF($B117="","",IFERROR(INDEX(고객사!$G$5:$G$104,MATCH($B117,고객사!$A$5:$A$104,0)),""))</f>
        <v/>
      </c>
      <c r="K117" s="16"/>
      <c r="L117" s="22" t="str">
        <f aca="false">IF($B117="","",K117*IFERROR(INDEX(고객사!$L$5:$L$104,MATCH($B117,고객사!$A$5:$A$104,0)),0))</f>
        <v/>
      </c>
      <c r="M117" s="23" t="str">
        <f aca="false">IF($B117="","",IF(AND(J117="N",G117&gt;0,K117=0,IFERROR(INDEX(고객사!$H$5:$H$104,MATCH($B117,고객사!$A$5:$A$104,0)),"")="자사 차량 운행"),"차량 미배정",""))</f>
        <v/>
      </c>
      <c r="N117" s="22" t="str">
        <f aca="false">IF($B117="","",IFERROR(INDEX(고객사!$J$5:$J$104,MATCH($B117,고객사!$A$5:$A$104,0)),0))</f>
        <v/>
      </c>
      <c r="O117" s="22" t="str">
        <f aca="false">IF($B117="","",G117*N117)</f>
        <v/>
      </c>
      <c r="P117" s="22" t="str">
        <f aca="false">IF($B117="","",IFERROR(INDEX(고객사!$K$5:$K$104,MATCH($B117,고객사!$A$5:$A$104,0)),0))</f>
        <v/>
      </c>
      <c r="Q117" s="22" t="str">
        <f aca="false">IF($B117="","",G117*P117)</f>
        <v/>
      </c>
      <c r="R117" s="22" t="str">
        <f aca="false">IF($B117="","",O117-Q117-L117)</f>
        <v/>
      </c>
      <c r="S117" s="21" t="str">
        <f aca="false">IF(OR($B117="",N(O117)=0),"",R117/O117)</f>
        <v/>
      </c>
      <c r="T117" s="14"/>
      <c r="U117" s="19" t="n">
        <f aca="false">IF(OR($B117="",$A117=""),0,IF(COUNTIFS($A$5:$A117,$A117,$B$5:$B117,$B117)=1,1,0))</f>
        <v>0</v>
      </c>
    </row>
    <row r="118" customFormat="false" ht="15" hidden="false" customHeight="false" outlineLevel="0" collapsed="false">
      <c r="A118" s="17"/>
      <c r="B118" s="13"/>
      <c r="C118" s="20" t="str">
        <f aca="false">IF($B118="","",IFERROR(INDEX(고객사!$B$5:$B$104,MATCH($B118,고객사!$A$5:$A$104,0)),"코드 확인"))</f>
        <v/>
      </c>
      <c r="D118" s="15"/>
      <c r="E118" s="15"/>
      <c r="F118" s="16"/>
      <c r="G118" s="16"/>
      <c r="H118" s="21" t="str">
        <f aca="false">IF(OR($B118="",F118=0),"",G118/F118)</f>
        <v/>
      </c>
      <c r="I118" s="22" t="str">
        <f aca="false">IF($B118="","",MAX(F118-G118,0))</f>
        <v/>
      </c>
      <c r="J118" s="23" t="str">
        <f aca="false">IF($B118="","",IFERROR(INDEX(고객사!$G$5:$G$104,MATCH($B118,고객사!$A$5:$A$104,0)),""))</f>
        <v/>
      </c>
      <c r="K118" s="16"/>
      <c r="L118" s="22" t="str">
        <f aca="false">IF($B118="","",K118*IFERROR(INDEX(고객사!$L$5:$L$104,MATCH($B118,고객사!$A$5:$A$104,0)),0))</f>
        <v/>
      </c>
      <c r="M118" s="23" t="str">
        <f aca="false">IF($B118="","",IF(AND(J118="N",G118&gt;0,K118=0,IFERROR(INDEX(고객사!$H$5:$H$104,MATCH($B118,고객사!$A$5:$A$104,0)),"")="자사 차량 운행"),"차량 미배정",""))</f>
        <v/>
      </c>
      <c r="N118" s="22" t="str">
        <f aca="false">IF($B118="","",IFERROR(INDEX(고객사!$J$5:$J$104,MATCH($B118,고객사!$A$5:$A$104,0)),0))</f>
        <v/>
      </c>
      <c r="O118" s="22" t="str">
        <f aca="false">IF($B118="","",G118*N118)</f>
        <v/>
      </c>
      <c r="P118" s="22" t="str">
        <f aca="false">IF($B118="","",IFERROR(INDEX(고객사!$K$5:$K$104,MATCH($B118,고객사!$A$5:$A$104,0)),0))</f>
        <v/>
      </c>
      <c r="Q118" s="22" t="str">
        <f aca="false">IF($B118="","",G118*P118)</f>
        <v/>
      </c>
      <c r="R118" s="22" t="str">
        <f aca="false">IF($B118="","",O118-Q118-L118)</f>
        <v/>
      </c>
      <c r="S118" s="21" t="str">
        <f aca="false">IF(OR($B118="",N(O118)=0),"",R118/O118)</f>
        <v/>
      </c>
      <c r="T118" s="14"/>
      <c r="U118" s="19" t="n">
        <f aca="false">IF(OR($B118="",$A118=""),0,IF(COUNTIFS($A$5:$A118,$A118,$B$5:$B118,$B118)=1,1,0))</f>
        <v>0</v>
      </c>
    </row>
    <row r="119" customFormat="false" ht="15" hidden="false" customHeight="false" outlineLevel="0" collapsed="false">
      <c r="A119" s="17"/>
      <c r="B119" s="13"/>
      <c r="C119" s="20" t="str">
        <f aca="false">IF($B119="","",IFERROR(INDEX(고객사!$B$5:$B$104,MATCH($B119,고객사!$A$5:$A$104,0)),"코드 확인"))</f>
        <v/>
      </c>
      <c r="D119" s="15"/>
      <c r="E119" s="15"/>
      <c r="F119" s="16"/>
      <c r="G119" s="16"/>
      <c r="H119" s="21" t="str">
        <f aca="false">IF(OR($B119="",F119=0),"",G119/F119)</f>
        <v/>
      </c>
      <c r="I119" s="22" t="str">
        <f aca="false">IF($B119="","",MAX(F119-G119,0))</f>
        <v/>
      </c>
      <c r="J119" s="23" t="str">
        <f aca="false">IF($B119="","",IFERROR(INDEX(고객사!$G$5:$G$104,MATCH($B119,고객사!$A$5:$A$104,0)),""))</f>
        <v/>
      </c>
      <c r="K119" s="16"/>
      <c r="L119" s="22" t="str">
        <f aca="false">IF($B119="","",K119*IFERROR(INDEX(고객사!$L$5:$L$104,MATCH($B119,고객사!$A$5:$A$104,0)),0))</f>
        <v/>
      </c>
      <c r="M119" s="23" t="str">
        <f aca="false">IF($B119="","",IF(AND(J119="N",G119&gt;0,K119=0,IFERROR(INDEX(고객사!$H$5:$H$104,MATCH($B119,고객사!$A$5:$A$104,0)),"")="자사 차량 운행"),"차량 미배정",""))</f>
        <v/>
      </c>
      <c r="N119" s="22" t="str">
        <f aca="false">IF($B119="","",IFERROR(INDEX(고객사!$J$5:$J$104,MATCH($B119,고객사!$A$5:$A$104,0)),0))</f>
        <v/>
      </c>
      <c r="O119" s="22" t="str">
        <f aca="false">IF($B119="","",G119*N119)</f>
        <v/>
      </c>
      <c r="P119" s="22" t="str">
        <f aca="false">IF($B119="","",IFERROR(INDEX(고객사!$K$5:$K$104,MATCH($B119,고객사!$A$5:$A$104,0)),0))</f>
        <v/>
      </c>
      <c r="Q119" s="22" t="str">
        <f aca="false">IF($B119="","",G119*P119)</f>
        <v/>
      </c>
      <c r="R119" s="22" t="str">
        <f aca="false">IF($B119="","",O119-Q119-L119)</f>
        <v/>
      </c>
      <c r="S119" s="21" t="str">
        <f aca="false">IF(OR($B119="",N(O119)=0),"",R119/O119)</f>
        <v/>
      </c>
      <c r="T119" s="14"/>
      <c r="U119" s="19" t="n">
        <f aca="false">IF(OR($B119="",$A119=""),0,IF(COUNTIFS($A$5:$A119,$A119,$B$5:$B119,$B119)=1,1,0))</f>
        <v>0</v>
      </c>
    </row>
    <row r="120" customFormat="false" ht="15" hidden="false" customHeight="false" outlineLevel="0" collapsed="false">
      <c r="A120" s="17"/>
      <c r="B120" s="13"/>
      <c r="C120" s="20" t="str">
        <f aca="false">IF($B120="","",IFERROR(INDEX(고객사!$B$5:$B$104,MATCH($B120,고객사!$A$5:$A$104,0)),"코드 확인"))</f>
        <v/>
      </c>
      <c r="D120" s="15"/>
      <c r="E120" s="15"/>
      <c r="F120" s="16"/>
      <c r="G120" s="16"/>
      <c r="H120" s="21" t="str">
        <f aca="false">IF(OR($B120="",F120=0),"",G120/F120)</f>
        <v/>
      </c>
      <c r="I120" s="22" t="str">
        <f aca="false">IF($B120="","",MAX(F120-G120,0))</f>
        <v/>
      </c>
      <c r="J120" s="23" t="str">
        <f aca="false">IF($B120="","",IFERROR(INDEX(고객사!$G$5:$G$104,MATCH($B120,고객사!$A$5:$A$104,0)),""))</f>
        <v/>
      </c>
      <c r="K120" s="16"/>
      <c r="L120" s="22" t="str">
        <f aca="false">IF($B120="","",K120*IFERROR(INDEX(고객사!$L$5:$L$104,MATCH($B120,고객사!$A$5:$A$104,0)),0))</f>
        <v/>
      </c>
      <c r="M120" s="23" t="str">
        <f aca="false">IF($B120="","",IF(AND(J120="N",G120&gt;0,K120=0,IFERROR(INDEX(고객사!$H$5:$H$104,MATCH($B120,고객사!$A$5:$A$104,0)),"")="자사 차량 운행"),"차량 미배정",""))</f>
        <v/>
      </c>
      <c r="N120" s="22" t="str">
        <f aca="false">IF($B120="","",IFERROR(INDEX(고객사!$J$5:$J$104,MATCH($B120,고객사!$A$5:$A$104,0)),0))</f>
        <v/>
      </c>
      <c r="O120" s="22" t="str">
        <f aca="false">IF($B120="","",G120*N120)</f>
        <v/>
      </c>
      <c r="P120" s="22" t="str">
        <f aca="false">IF($B120="","",IFERROR(INDEX(고객사!$K$5:$K$104,MATCH($B120,고객사!$A$5:$A$104,0)),0))</f>
        <v/>
      </c>
      <c r="Q120" s="22" t="str">
        <f aca="false">IF($B120="","",G120*P120)</f>
        <v/>
      </c>
      <c r="R120" s="22" t="str">
        <f aca="false">IF($B120="","",O120-Q120-L120)</f>
        <v/>
      </c>
      <c r="S120" s="21" t="str">
        <f aca="false">IF(OR($B120="",N(O120)=0),"",R120/O120)</f>
        <v/>
      </c>
      <c r="T120" s="14"/>
      <c r="U120" s="19" t="n">
        <f aca="false">IF(OR($B120="",$A120=""),0,IF(COUNTIFS($A$5:$A120,$A120,$B$5:$B120,$B120)=1,1,0))</f>
        <v>0</v>
      </c>
    </row>
    <row r="121" customFormat="false" ht="15" hidden="false" customHeight="false" outlineLevel="0" collapsed="false">
      <c r="A121" s="17"/>
      <c r="B121" s="13"/>
      <c r="C121" s="20" t="str">
        <f aca="false">IF($B121="","",IFERROR(INDEX(고객사!$B$5:$B$104,MATCH($B121,고객사!$A$5:$A$104,0)),"코드 확인"))</f>
        <v/>
      </c>
      <c r="D121" s="15"/>
      <c r="E121" s="15"/>
      <c r="F121" s="16"/>
      <c r="G121" s="16"/>
      <c r="H121" s="21" t="str">
        <f aca="false">IF(OR($B121="",F121=0),"",G121/F121)</f>
        <v/>
      </c>
      <c r="I121" s="22" t="str">
        <f aca="false">IF($B121="","",MAX(F121-G121,0))</f>
        <v/>
      </c>
      <c r="J121" s="23" t="str">
        <f aca="false">IF($B121="","",IFERROR(INDEX(고객사!$G$5:$G$104,MATCH($B121,고객사!$A$5:$A$104,0)),""))</f>
        <v/>
      </c>
      <c r="K121" s="16"/>
      <c r="L121" s="22" t="str">
        <f aca="false">IF($B121="","",K121*IFERROR(INDEX(고객사!$L$5:$L$104,MATCH($B121,고객사!$A$5:$A$104,0)),0))</f>
        <v/>
      </c>
      <c r="M121" s="23" t="str">
        <f aca="false">IF($B121="","",IF(AND(J121="N",G121&gt;0,K121=0,IFERROR(INDEX(고객사!$H$5:$H$104,MATCH($B121,고객사!$A$5:$A$104,0)),"")="자사 차량 운행"),"차량 미배정",""))</f>
        <v/>
      </c>
      <c r="N121" s="22" t="str">
        <f aca="false">IF($B121="","",IFERROR(INDEX(고객사!$J$5:$J$104,MATCH($B121,고객사!$A$5:$A$104,0)),0))</f>
        <v/>
      </c>
      <c r="O121" s="22" t="str">
        <f aca="false">IF($B121="","",G121*N121)</f>
        <v/>
      </c>
      <c r="P121" s="22" t="str">
        <f aca="false">IF($B121="","",IFERROR(INDEX(고객사!$K$5:$K$104,MATCH($B121,고객사!$A$5:$A$104,0)),0))</f>
        <v/>
      </c>
      <c r="Q121" s="22" t="str">
        <f aca="false">IF($B121="","",G121*P121)</f>
        <v/>
      </c>
      <c r="R121" s="22" t="str">
        <f aca="false">IF($B121="","",O121-Q121-L121)</f>
        <v/>
      </c>
      <c r="S121" s="21" t="str">
        <f aca="false">IF(OR($B121="",N(O121)=0),"",R121/O121)</f>
        <v/>
      </c>
      <c r="T121" s="14"/>
      <c r="U121" s="19" t="n">
        <f aca="false">IF(OR($B121="",$A121=""),0,IF(COUNTIFS($A$5:$A121,$A121,$B$5:$B121,$B121)=1,1,0))</f>
        <v>0</v>
      </c>
    </row>
    <row r="122" customFormat="false" ht="15" hidden="false" customHeight="false" outlineLevel="0" collapsed="false">
      <c r="A122" s="17"/>
      <c r="B122" s="13"/>
      <c r="C122" s="20" t="str">
        <f aca="false">IF($B122="","",IFERROR(INDEX(고객사!$B$5:$B$104,MATCH($B122,고객사!$A$5:$A$104,0)),"코드 확인"))</f>
        <v/>
      </c>
      <c r="D122" s="15"/>
      <c r="E122" s="15"/>
      <c r="F122" s="16"/>
      <c r="G122" s="16"/>
      <c r="H122" s="21" t="str">
        <f aca="false">IF(OR($B122="",F122=0),"",G122/F122)</f>
        <v/>
      </c>
      <c r="I122" s="22" t="str">
        <f aca="false">IF($B122="","",MAX(F122-G122,0))</f>
        <v/>
      </c>
      <c r="J122" s="23" t="str">
        <f aca="false">IF($B122="","",IFERROR(INDEX(고객사!$G$5:$G$104,MATCH($B122,고객사!$A$5:$A$104,0)),""))</f>
        <v/>
      </c>
      <c r="K122" s="16"/>
      <c r="L122" s="22" t="str">
        <f aca="false">IF($B122="","",K122*IFERROR(INDEX(고객사!$L$5:$L$104,MATCH($B122,고객사!$A$5:$A$104,0)),0))</f>
        <v/>
      </c>
      <c r="M122" s="23" t="str">
        <f aca="false">IF($B122="","",IF(AND(J122="N",G122&gt;0,K122=0,IFERROR(INDEX(고객사!$H$5:$H$104,MATCH($B122,고객사!$A$5:$A$104,0)),"")="자사 차량 운행"),"차량 미배정",""))</f>
        <v/>
      </c>
      <c r="N122" s="22" t="str">
        <f aca="false">IF($B122="","",IFERROR(INDEX(고객사!$J$5:$J$104,MATCH($B122,고객사!$A$5:$A$104,0)),0))</f>
        <v/>
      </c>
      <c r="O122" s="22" t="str">
        <f aca="false">IF($B122="","",G122*N122)</f>
        <v/>
      </c>
      <c r="P122" s="22" t="str">
        <f aca="false">IF($B122="","",IFERROR(INDEX(고객사!$K$5:$K$104,MATCH($B122,고객사!$A$5:$A$104,0)),0))</f>
        <v/>
      </c>
      <c r="Q122" s="22" t="str">
        <f aca="false">IF($B122="","",G122*P122)</f>
        <v/>
      </c>
      <c r="R122" s="22" t="str">
        <f aca="false">IF($B122="","",O122-Q122-L122)</f>
        <v/>
      </c>
      <c r="S122" s="21" t="str">
        <f aca="false">IF(OR($B122="",N(O122)=0),"",R122/O122)</f>
        <v/>
      </c>
      <c r="T122" s="14"/>
      <c r="U122" s="19" t="n">
        <f aca="false">IF(OR($B122="",$A122=""),0,IF(COUNTIFS($A$5:$A122,$A122,$B$5:$B122,$B122)=1,1,0))</f>
        <v>0</v>
      </c>
    </row>
    <row r="123" customFormat="false" ht="15" hidden="false" customHeight="false" outlineLevel="0" collapsed="false">
      <c r="A123" s="17"/>
      <c r="B123" s="13"/>
      <c r="C123" s="20" t="str">
        <f aca="false">IF($B123="","",IFERROR(INDEX(고객사!$B$5:$B$104,MATCH($B123,고객사!$A$5:$A$104,0)),"코드 확인"))</f>
        <v/>
      </c>
      <c r="D123" s="15"/>
      <c r="E123" s="15"/>
      <c r="F123" s="16"/>
      <c r="G123" s="16"/>
      <c r="H123" s="21" t="str">
        <f aca="false">IF(OR($B123="",F123=0),"",G123/F123)</f>
        <v/>
      </c>
      <c r="I123" s="22" t="str">
        <f aca="false">IF($B123="","",MAX(F123-G123,0))</f>
        <v/>
      </c>
      <c r="J123" s="23" t="str">
        <f aca="false">IF($B123="","",IFERROR(INDEX(고객사!$G$5:$G$104,MATCH($B123,고객사!$A$5:$A$104,0)),""))</f>
        <v/>
      </c>
      <c r="K123" s="16"/>
      <c r="L123" s="22" t="str">
        <f aca="false">IF($B123="","",K123*IFERROR(INDEX(고객사!$L$5:$L$104,MATCH($B123,고객사!$A$5:$A$104,0)),0))</f>
        <v/>
      </c>
      <c r="M123" s="23" t="str">
        <f aca="false">IF($B123="","",IF(AND(J123="N",G123&gt;0,K123=0,IFERROR(INDEX(고객사!$H$5:$H$104,MATCH($B123,고객사!$A$5:$A$104,0)),"")="자사 차량 운행"),"차량 미배정",""))</f>
        <v/>
      </c>
      <c r="N123" s="22" t="str">
        <f aca="false">IF($B123="","",IFERROR(INDEX(고객사!$J$5:$J$104,MATCH($B123,고객사!$A$5:$A$104,0)),0))</f>
        <v/>
      </c>
      <c r="O123" s="22" t="str">
        <f aca="false">IF($B123="","",G123*N123)</f>
        <v/>
      </c>
      <c r="P123" s="22" t="str">
        <f aca="false">IF($B123="","",IFERROR(INDEX(고객사!$K$5:$K$104,MATCH($B123,고객사!$A$5:$A$104,0)),0))</f>
        <v/>
      </c>
      <c r="Q123" s="22" t="str">
        <f aca="false">IF($B123="","",G123*P123)</f>
        <v/>
      </c>
      <c r="R123" s="22" t="str">
        <f aca="false">IF($B123="","",O123-Q123-L123)</f>
        <v/>
      </c>
      <c r="S123" s="21" t="str">
        <f aca="false">IF(OR($B123="",N(O123)=0),"",R123/O123)</f>
        <v/>
      </c>
      <c r="T123" s="14"/>
      <c r="U123" s="19" t="n">
        <f aca="false">IF(OR($B123="",$A123=""),0,IF(COUNTIFS($A$5:$A123,$A123,$B$5:$B123,$B123)=1,1,0))</f>
        <v>0</v>
      </c>
    </row>
    <row r="124" customFormat="false" ht="15" hidden="false" customHeight="false" outlineLevel="0" collapsed="false">
      <c r="A124" s="17"/>
      <c r="B124" s="13"/>
      <c r="C124" s="20" t="str">
        <f aca="false">IF($B124="","",IFERROR(INDEX(고객사!$B$5:$B$104,MATCH($B124,고객사!$A$5:$A$104,0)),"코드 확인"))</f>
        <v/>
      </c>
      <c r="D124" s="15"/>
      <c r="E124" s="15"/>
      <c r="F124" s="16"/>
      <c r="G124" s="16"/>
      <c r="H124" s="21" t="str">
        <f aca="false">IF(OR($B124="",F124=0),"",G124/F124)</f>
        <v/>
      </c>
      <c r="I124" s="22" t="str">
        <f aca="false">IF($B124="","",MAX(F124-G124,0))</f>
        <v/>
      </c>
      <c r="J124" s="23" t="str">
        <f aca="false">IF($B124="","",IFERROR(INDEX(고객사!$G$5:$G$104,MATCH($B124,고객사!$A$5:$A$104,0)),""))</f>
        <v/>
      </c>
      <c r="K124" s="16"/>
      <c r="L124" s="22" t="str">
        <f aca="false">IF($B124="","",K124*IFERROR(INDEX(고객사!$L$5:$L$104,MATCH($B124,고객사!$A$5:$A$104,0)),0))</f>
        <v/>
      </c>
      <c r="M124" s="23" t="str">
        <f aca="false">IF($B124="","",IF(AND(J124="N",G124&gt;0,K124=0,IFERROR(INDEX(고객사!$H$5:$H$104,MATCH($B124,고객사!$A$5:$A$104,0)),"")="자사 차량 운행"),"차량 미배정",""))</f>
        <v/>
      </c>
      <c r="N124" s="22" t="str">
        <f aca="false">IF($B124="","",IFERROR(INDEX(고객사!$J$5:$J$104,MATCH($B124,고객사!$A$5:$A$104,0)),0))</f>
        <v/>
      </c>
      <c r="O124" s="22" t="str">
        <f aca="false">IF($B124="","",G124*N124)</f>
        <v/>
      </c>
      <c r="P124" s="22" t="str">
        <f aca="false">IF($B124="","",IFERROR(INDEX(고객사!$K$5:$K$104,MATCH($B124,고객사!$A$5:$A$104,0)),0))</f>
        <v/>
      </c>
      <c r="Q124" s="22" t="str">
        <f aca="false">IF($B124="","",G124*P124)</f>
        <v/>
      </c>
      <c r="R124" s="22" t="str">
        <f aca="false">IF($B124="","",O124-Q124-L124)</f>
        <v/>
      </c>
      <c r="S124" s="21" t="str">
        <f aca="false">IF(OR($B124="",N(O124)=0),"",R124/O124)</f>
        <v/>
      </c>
      <c r="T124" s="14"/>
      <c r="U124" s="19" t="n">
        <f aca="false">IF(OR($B124="",$A124=""),0,IF(COUNTIFS($A$5:$A124,$A124,$B$5:$B124,$B124)=1,1,0))</f>
        <v>0</v>
      </c>
    </row>
    <row r="125" customFormat="false" ht="15" hidden="false" customHeight="false" outlineLevel="0" collapsed="false">
      <c r="A125" s="17"/>
      <c r="B125" s="13"/>
      <c r="C125" s="20" t="str">
        <f aca="false">IF($B125="","",IFERROR(INDEX(고객사!$B$5:$B$104,MATCH($B125,고객사!$A$5:$A$104,0)),"코드 확인"))</f>
        <v/>
      </c>
      <c r="D125" s="15"/>
      <c r="E125" s="15"/>
      <c r="F125" s="16"/>
      <c r="G125" s="16"/>
      <c r="H125" s="21" t="str">
        <f aca="false">IF(OR($B125="",F125=0),"",G125/F125)</f>
        <v/>
      </c>
      <c r="I125" s="22" t="str">
        <f aca="false">IF($B125="","",MAX(F125-G125,0))</f>
        <v/>
      </c>
      <c r="J125" s="23" t="str">
        <f aca="false">IF($B125="","",IFERROR(INDEX(고객사!$G$5:$G$104,MATCH($B125,고객사!$A$5:$A$104,0)),""))</f>
        <v/>
      </c>
      <c r="K125" s="16"/>
      <c r="L125" s="22" t="str">
        <f aca="false">IF($B125="","",K125*IFERROR(INDEX(고객사!$L$5:$L$104,MATCH($B125,고객사!$A$5:$A$104,0)),0))</f>
        <v/>
      </c>
      <c r="M125" s="23" t="str">
        <f aca="false">IF($B125="","",IF(AND(J125="N",G125&gt;0,K125=0,IFERROR(INDEX(고객사!$H$5:$H$104,MATCH($B125,고객사!$A$5:$A$104,0)),"")="자사 차량 운행"),"차량 미배정",""))</f>
        <v/>
      </c>
      <c r="N125" s="22" t="str">
        <f aca="false">IF($B125="","",IFERROR(INDEX(고객사!$J$5:$J$104,MATCH($B125,고객사!$A$5:$A$104,0)),0))</f>
        <v/>
      </c>
      <c r="O125" s="22" t="str">
        <f aca="false">IF($B125="","",G125*N125)</f>
        <v/>
      </c>
      <c r="P125" s="22" t="str">
        <f aca="false">IF($B125="","",IFERROR(INDEX(고객사!$K$5:$K$104,MATCH($B125,고객사!$A$5:$A$104,0)),0))</f>
        <v/>
      </c>
      <c r="Q125" s="22" t="str">
        <f aca="false">IF($B125="","",G125*P125)</f>
        <v/>
      </c>
      <c r="R125" s="22" t="str">
        <f aca="false">IF($B125="","",O125-Q125-L125)</f>
        <v/>
      </c>
      <c r="S125" s="21" t="str">
        <f aca="false">IF(OR($B125="",N(O125)=0),"",R125/O125)</f>
        <v/>
      </c>
      <c r="T125" s="14"/>
      <c r="U125" s="19" t="n">
        <f aca="false">IF(OR($B125="",$A125=""),0,IF(COUNTIFS($A$5:$A125,$A125,$B$5:$B125,$B125)=1,1,0))</f>
        <v>0</v>
      </c>
    </row>
    <row r="126" customFormat="false" ht="15" hidden="false" customHeight="false" outlineLevel="0" collapsed="false">
      <c r="A126" s="17"/>
      <c r="B126" s="13"/>
      <c r="C126" s="20" t="str">
        <f aca="false">IF($B126="","",IFERROR(INDEX(고객사!$B$5:$B$104,MATCH($B126,고객사!$A$5:$A$104,0)),"코드 확인"))</f>
        <v/>
      </c>
      <c r="D126" s="15"/>
      <c r="E126" s="15"/>
      <c r="F126" s="16"/>
      <c r="G126" s="16"/>
      <c r="H126" s="21" t="str">
        <f aca="false">IF(OR($B126="",F126=0),"",G126/F126)</f>
        <v/>
      </c>
      <c r="I126" s="22" t="str">
        <f aca="false">IF($B126="","",MAX(F126-G126,0))</f>
        <v/>
      </c>
      <c r="J126" s="23" t="str">
        <f aca="false">IF($B126="","",IFERROR(INDEX(고객사!$G$5:$G$104,MATCH($B126,고객사!$A$5:$A$104,0)),""))</f>
        <v/>
      </c>
      <c r="K126" s="16"/>
      <c r="L126" s="22" t="str">
        <f aca="false">IF($B126="","",K126*IFERROR(INDEX(고객사!$L$5:$L$104,MATCH($B126,고객사!$A$5:$A$104,0)),0))</f>
        <v/>
      </c>
      <c r="M126" s="23" t="str">
        <f aca="false">IF($B126="","",IF(AND(J126="N",G126&gt;0,K126=0,IFERROR(INDEX(고객사!$H$5:$H$104,MATCH($B126,고객사!$A$5:$A$104,0)),"")="자사 차량 운행"),"차량 미배정",""))</f>
        <v/>
      </c>
      <c r="N126" s="22" t="str">
        <f aca="false">IF($B126="","",IFERROR(INDEX(고객사!$J$5:$J$104,MATCH($B126,고객사!$A$5:$A$104,0)),0))</f>
        <v/>
      </c>
      <c r="O126" s="22" t="str">
        <f aca="false">IF($B126="","",G126*N126)</f>
        <v/>
      </c>
      <c r="P126" s="22" t="str">
        <f aca="false">IF($B126="","",IFERROR(INDEX(고객사!$K$5:$K$104,MATCH($B126,고객사!$A$5:$A$104,0)),0))</f>
        <v/>
      </c>
      <c r="Q126" s="22" t="str">
        <f aca="false">IF($B126="","",G126*P126)</f>
        <v/>
      </c>
      <c r="R126" s="22" t="str">
        <f aca="false">IF($B126="","",O126-Q126-L126)</f>
        <v/>
      </c>
      <c r="S126" s="21" t="str">
        <f aca="false">IF(OR($B126="",N(O126)=0),"",R126/O126)</f>
        <v/>
      </c>
      <c r="T126" s="14"/>
      <c r="U126" s="19" t="n">
        <f aca="false">IF(OR($B126="",$A126=""),0,IF(COUNTIFS($A$5:$A126,$A126,$B$5:$B126,$B126)=1,1,0))</f>
        <v>0</v>
      </c>
    </row>
    <row r="127" customFormat="false" ht="15" hidden="false" customHeight="false" outlineLevel="0" collapsed="false">
      <c r="A127" s="17"/>
      <c r="B127" s="13"/>
      <c r="C127" s="20" t="str">
        <f aca="false">IF($B127="","",IFERROR(INDEX(고객사!$B$5:$B$104,MATCH($B127,고객사!$A$5:$A$104,0)),"코드 확인"))</f>
        <v/>
      </c>
      <c r="D127" s="15"/>
      <c r="E127" s="15"/>
      <c r="F127" s="16"/>
      <c r="G127" s="16"/>
      <c r="H127" s="21" t="str">
        <f aca="false">IF(OR($B127="",F127=0),"",G127/F127)</f>
        <v/>
      </c>
      <c r="I127" s="22" t="str">
        <f aca="false">IF($B127="","",MAX(F127-G127,0))</f>
        <v/>
      </c>
      <c r="J127" s="23" t="str">
        <f aca="false">IF($B127="","",IFERROR(INDEX(고객사!$G$5:$G$104,MATCH($B127,고객사!$A$5:$A$104,0)),""))</f>
        <v/>
      </c>
      <c r="K127" s="16"/>
      <c r="L127" s="22" t="str">
        <f aca="false">IF($B127="","",K127*IFERROR(INDEX(고객사!$L$5:$L$104,MATCH($B127,고객사!$A$5:$A$104,0)),0))</f>
        <v/>
      </c>
      <c r="M127" s="23" t="str">
        <f aca="false">IF($B127="","",IF(AND(J127="N",G127&gt;0,K127=0,IFERROR(INDEX(고객사!$H$5:$H$104,MATCH($B127,고객사!$A$5:$A$104,0)),"")="자사 차량 운행"),"차량 미배정",""))</f>
        <v/>
      </c>
      <c r="N127" s="22" t="str">
        <f aca="false">IF($B127="","",IFERROR(INDEX(고객사!$J$5:$J$104,MATCH($B127,고객사!$A$5:$A$104,0)),0))</f>
        <v/>
      </c>
      <c r="O127" s="22" t="str">
        <f aca="false">IF($B127="","",G127*N127)</f>
        <v/>
      </c>
      <c r="P127" s="22" t="str">
        <f aca="false">IF($B127="","",IFERROR(INDEX(고객사!$K$5:$K$104,MATCH($B127,고객사!$A$5:$A$104,0)),0))</f>
        <v/>
      </c>
      <c r="Q127" s="22" t="str">
        <f aca="false">IF($B127="","",G127*P127)</f>
        <v/>
      </c>
      <c r="R127" s="22" t="str">
        <f aca="false">IF($B127="","",O127-Q127-L127)</f>
        <v/>
      </c>
      <c r="S127" s="21" t="str">
        <f aca="false">IF(OR($B127="",N(O127)=0),"",R127/O127)</f>
        <v/>
      </c>
      <c r="T127" s="14"/>
      <c r="U127" s="19" t="n">
        <f aca="false">IF(OR($B127="",$A127=""),0,IF(COUNTIFS($A$5:$A127,$A127,$B$5:$B127,$B127)=1,1,0))</f>
        <v>0</v>
      </c>
    </row>
    <row r="128" customFormat="false" ht="15" hidden="false" customHeight="false" outlineLevel="0" collapsed="false">
      <c r="A128" s="17"/>
      <c r="B128" s="13"/>
      <c r="C128" s="20" t="str">
        <f aca="false">IF($B128="","",IFERROR(INDEX(고객사!$B$5:$B$104,MATCH($B128,고객사!$A$5:$A$104,0)),"코드 확인"))</f>
        <v/>
      </c>
      <c r="D128" s="15"/>
      <c r="E128" s="15"/>
      <c r="F128" s="16"/>
      <c r="G128" s="16"/>
      <c r="H128" s="21" t="str">
        <f aca="false">IF(OR($B128="",F128=0),"",G128/F128)</f>
        <v/>
      </c>
      <c r="I128" s="22" t="str">
        <f aca="false">IF($B128="","",MAX(F128-G128,0))</f>
        <v/>
      </c>
      <c r="J128" s="23" t="str">
        <f aca="false">IF($B128="","",IFERROR(INDEX(고객사!$G$5:$G$104,MATCH($B128,고객사!$A$5:$A$104,0)),""))</f>
        <v/>
      </c>
      <c r="K128" s="16"/>
      <c r="L128" s="22" t="str">
        <f aca="false">IF($B128="","",K128*IFERROR(INDEX(고객사!$L$5:$L$104,MATCH($B128,고객사!$A$5:$A$104,0)),0))</f>
        <v/>
      </c>
      <c r="M128" s="23" t="str">
        <f aca="false">IF($B128="","",IF(AND(J128="N",G128&gt;0,K128=0,IFERROR(INDEX(고객사!$H$5:$H$104,MATCH($B128,고객사!$A$5:$A$104,0)),"")="자사 차량 운행"),"차량 미배정",""))</f>
        <v/>
      </c>
      <c r="N128" s="22" t="str">
        <f aca="false">IF($B128="","",IFERROR(INDEX(고객사!$J$5:$J$104,MATCH($B128,고객사!$A$5:$A$104,0)),0))</f>
        <v/>
      </c>
      <c r="O128" s="22" t="str">
        <f aca="false">IF($B128="","",G128*N128)</f>
        <v/>
      </c>
      <c r="P128" s="22" t="str">
        <f aca="false">IF($B128="","",IFERROR(INDEX(고객사!$K$5:$K$104,MATCH($B128,고객사!$A$5:$A$104,0)),0))</f>
        <v/>
      </c>
      <c r="Q128" s="22" t="str">
        <f aca="false">IF($B128="","",G128*P128)</f>
        <v/>
      </c>
      <c r="R128" s="22" t="str">
        <f aca="false">IF($B128="","",O128-Q128-L128)</f>
        <v/>
      </c>
      <c r="S128" s="21" t="str">
        <f aca="false">IF(OR($B128="",N(O128)=0),"",R128/O128)</f>
        <v/>
      </c>
      <c r="T128" s="14"/>
      <c r="U128" s="19" t="n">
        <f aca="false">IF(OR($B128="",$A128=""),0,IF(COUNTIFS($A$5:$A128,$A128,$B$5:$B128,$B128)=1,1,0))</f>
        <v>0</v>
      </c>
    </row>
    <row r="129" customFormat="false" ht="15" hidden="false" customHeight="false" outlineLevel="0" collapsed="false">
      <c r="A129" s="17"/>
      <c r="B129" s="13"/>
      <c r="C129" s="20" t="str">
        <f aca="false">IF($B129="","",IFERROR(INDEX(고객사!$B$5:$B$104,MATCH($B129,고객사!$A$5:$A$104,0)),"코드 확인"))</f>
        <v/>
      </c>
      <c r="D129" s="15"/>
      <c r="E129" s="15"/>
      <c r="F129" s="16"/>
      <c r="G129" s="16"/>
      <c r="H129" s="21" t="str">
        <f aca="false">IF(OR($B129="",F129=0),"",G129/F129)</f>
        <v/>
      </c>
      <c r="I129" s="22" t="str">
        <f aca="false">IF($B129="","",MAX(F129-G129,0))</f>
        <v/>
      </c>
      <c r="J129" s="23" t="str">
        <f aca="false">IF($B129="","",IFERROR(INDEX(고객사!$G$5:$G$104,MATCH($B129,고객사!$A$5:$A$104,0)),""))</f>
        <v/>
      </c>
      <c r="K129" s="16"/>
      <c r="L129" s="22" t="str">
        <f aca="false">IF($B129="","",K129*IFERROR(INDEX(고객사!$L$5:$L$104,MATCH($B129,고객사!$A$5:$A$104,0)),0))</f>
        <v/>
      </c>
      <c r="M129" s="23" t="str">
        <f aca="false">IF($B129="","",IF(AND(J129="N",G129&gt;0,K129=0,IFERROR(INDEX(고객사!$H$5:$H$104,MATCH($B129,고객사!$A$5:$A$104,0)),"")="자사 차량 운행"),"차량 미배정",""))</f>
        <v/>
      </c>
      <c r="N129" s="22" t="str">
        <f aca="false">IF($B129="","",IFERROR(INDEX(고객사!$J$5:$J$104,MATCH($B129,고객사!$A$5:$A$104,0)),0))</f>
        <v/>
      </c>
      <c r="O129" s="22" t="str">
        <f aca="false">IF($B129="","",G129*N129)</f>
        <v/>
      </c>
      <c r="P129" s="22" t="str">
        <f aca="false">IF($B129="","",IFERROR(INDEX(고객사!$K$5:$K$104,MATCH($B129,고객사!$A$5:$A$104,0)),0))</f>
        <v/>
      </c>
      <c r="Q129" s="22" t="str">
        <f aca="false">IF($B129="","",G129*P129)</f>
        <v/>
      </c>
      <c r="R129" s="22" t="str">
        <f aca="false">IF($B129="","",O129-Q129-L129)</f>
        <v/>
      </c>
      <c r="S129" s="21" t="str">
        <f aca="false">IF(OR($B129="",N(O129)=0),"",R129/O129)</f>
        <v/>
      </c>
      <c r="T129" s="14"/>
      <c r="U129" s="19" t="n">
        <f aca="false">IF(OR($B129="",$A129=""),0,IF(COUNTIFS($A$5:$A129,$A129,$B$5:$B129,$B129)=1,1,0))</f>
        <v>0</v>
      </c>
    </row>
    <row r="130" customFormat="false" ht="15" hidden="false" customHeight="false" outlineLevel="0" collapsed="false">
      <c r="A130" s="17"/>
      <c r="B130" s="13"/>
      <c r="C130" s="20" t="str">
        <f aca="false">IF($B130="","",IFERROR(INDEX(고객사!$B$5:$B$104,MATCH($B130,고객사!$A$5:$A$104,0)),"코드 확인"))</f>
        <v/>
      </c>
      <c r="D130" s="15"/>
      <c r="E130" s="15"/>
      <c r="F130" s="16"/>
      <c r="G130" s="16"/>
      <c r="H130" s="21" t="str">
        <f aca="false">IF(OR($B130="",F130=0),"",G130/F130)</f>
        <v/>
      </c>
      <c r="I130" s="22" t="str">
        <f aca="false">IF($B130="","",MAX(F130-G130,0))</f>
        <v/>
      </c>
      <c r="J130" s="23" t="str">
        <f aca="false">IF($B130="","",IFERROR(INDEX(고객사!$G$5:$G$104,MATCH($B130,고객사!$A$5:$A$104,0)),""))</f>
        <v/>
      </c>
      <c r="K130" s="16"/>
      <c r="L130" s="22" t="str">
        <f aca="false">IF($B130="","",K130*IFERROR(INDEX(고객사!$L$5:$L$104,MATCH($B130,고객사!$A$5:$A$104,0)),0))</f>
        <v/>
      </c>
      <c r="M130" s="23" t="str">
        <f aca="false">IF($B130="","",IF(AND(J130="N",G130&gt;0,K130=0,IFERROR(INDEX(고객사!$H$5:$H$104,MATCH($B130,고객사!$A$5:$A$104,0)),"")="자사 차량 운행"),"차량 미배정",""))</f>
        <v/>
      </c>
      <c r="N130" s="22" t="str">
        <f aca="false">IF($B130="","",IFERROR(INDEX(고객사!$J$5:$J$104,MATCH($B130,고객사!$A$5:$A$104,0)),0))</f>
        <v/>
      </c>
      <c r="O130" s="22" t="str">
        <f aca="false">IF($B130="","",G130*N130)</f>
        <v/>
      </c>
      <c r="P130" s="22" t="str">
        <f aca="false">IF($B130="","",IFERROR(INDEX(고객사!$K$5:$K$104,MATCH($B130,고객사!$A$5:$A$104,0)),0))</f>
        <v/>
      </c>
      <c r="Q130" s="22" t="str">
        <f aca="false">IF($B130="","",G130*P130)</f>
        <v/>
      </c>
      <c r="R130" s="22" t="str">
        <f aca="false">IF($B130="","",O130-Q130-L130)</f>
        <v/>
      </c>
      <c r="S130" s="21" t="str">
        <f aca="false">IF(OR($B130="",N(O130)=0),"",R130/O130)</f>
        <v/>
      </c>
      <c r="T130" s="14"/>
      <c r="U130" s="19" t="n">
        <f aca="false">IF(OR($B130="",$A130=""),0,IF(COUNTIFS($A$5:$A130,$A130,$B$5:$B130,$B130)=1,1,0))</f>
        <v>0</v>
      </c>
    </row>
    <row r="131" customFormat="false" ht="15" hidden="false" customHeight="false" outlineLevel="0" collapsed="false">
      <c r="A131" s="17"/>
      <c r="B131" s="13"/>
      <c r="C131" s="20" t="str">
        <f aca="false">IF($B131="","",IFERROR(INDEX(고객사!$B$5:$B$104,MATCH($B131,고객사!$A$5:$A$104,0)),"코드 확인"))</f>
        <v/>
      </c>
      <c r="D131" s="15"/>
      <c r="E131" s="15"/>
      <c r="F131" s="16"/>
      <c r="G131" s="16"/>
      <c r="H131" s="21" t="str">
        <f aca="false">IF(OR($B131="",F131=0),"",G131/F131)</f>
        <v/>
      </c>
      <c r="I131" s="22" t="str">
        <f aca="false">IF($B131="","",MAX(F131-G131,0))</f>
        <v/>
      </c>
      <c r="J131" s="23" t="str">
        <f aca="false">IF($B131="","",IFERROR(INDEX(고객사!$G$5:$G$104,MATCH($B131,고객사!$A$5:$A$104,0)),""))</f>
        <v/>
      </c>
      <c r="K131" s="16"/>
      <c r="L131" s="22" t="str">
        <f aca="false">IF($B131="","",K131*IFERROR(INDEX(고객사!$L$5:$L$104,MATCH($B131,고객사!$A$5:$A$104,0)),0))</f>
        <v/>
      </c>
      <c r="M131" s="23" t="str">
        <f aca="false">IF($B131="","",IF(AND(J131="N",G131&gt;0,K131=0,IFERROR(INDEX(고객사!$H$5:$H$104,MATCH($B131,고객사!$A$5:$A$104,0)),"")="자사 차량 운행"),"차량 미배정",""))</f>
        <v/>
      </c>
      <c r="N131" s="22" t="str">
        <f aca="false">IF($B131="","",IFERROR(INDEX(고객사!$J$5:$J$104,MATCH($B131,고객사!$A$5:$A$104,0)),0))</f>
        <v/>
      </c>
      <c r="O131" s="22" t="str">
        <f aca="false">IF($B131="","",G131*N131)</f>
        <v/>
      </c>
      <c r="P131" s="22" t="str">
        <f aca="false">IF($B131="","",IFERROR(INDEX(고객사!$K$5:$K$104,MATCH($B131,고객사!$A$5:$A$104,0)),0))</f>
        <v/>
      </c>
      <c r="Q131" s="22" t="str">
        <f aca="false">IF($B131="","",G131*P131)</f>
        <v/>
      </c>
      <c r="R131" s="22" t="str">
        <f aca="false">IF($B131="","",O131-Q131-L131)</f>
        <v/>
      </c>
      <c r="S131" s="21" t="str">
        <f aca="false">IF(OR($B131="",N(O131)=0),"",R131/O131)</f>
        <v/>
      </c>
      <c r="T131" s="14"/>
      <c r="U131" s="19" t="n">
        <f aca="false">IF(OR($B131="",$A131=""),0,IF(COUNTIFS($A$5:$A131,$A131,$B$5:$B131,$B131)=1,1,0))</f>
        <v>0</v>
      </c>
    </row>
    <row r="132" customFormat="false" ht="15" hidden="false" customHeight="false" outlineLevel="0" collapsed="false">
      <c r="A132" s="17"/>
      <c r="B132" s="13"/>
      <c r="C132" s="20" t="str">
        <f aca="false">IF($B132="","",IFERROR(INDEX(고객사!$B$5:$B$104,MATCH($B132,고객사!$A$5:$A$104,0)),"코드 확인"))</f>
        <v/>
      </c>
      <c r="D132" s="15"/>
      <c r="E132" s="15"/>
      <c r="F132" s="16"/>
      <c r="G132" s="16"/>
      <c r="H132" s="21" t="str">
        <f aca="false">IF(OR($B132="",F132=0),"",G132/F132)</f>
        <v/>
      </c>
      <c r="I132" s="22" t="str">
        <f aca="false">IF($B132="","",MAX(F132-G132,0))</f>
        <v/>
      </c>
      <c r="J132" s="23" t="str">
        <f aca="false">IF($B132="","",IFERROR(INDEX(고객사!$G$5:$G$104,MATCH($B132,고객사!$A$5:$A$104,0)),""))</f>
        <v/>
      </c>
      <c r="K132" s="16"/>
      <c r="L132" s="22" t="str">
        <f aca="false">IF($B132="","",K132*IFERROR(INDEX(고객사!$L$5:$L$104,MATCH($B132,고객사!$A$5:$A$104,0)),0))</f>
        <v/>
      </c>
      <c r="M132" s="23" t="str">
        <f aca="false">IF($B132="","",IF(AND(J132="N",G132&gt;0,K132=0,IFERROR(INDEX(고객사!$H$5:$H$104,MATCH($B132,고객사!$A$5:$A$104,0)),"")="자사 차량 운행"),"차량 미배정",""))</f>
        <v/>
      </c>
      <c r="N132" s="22" t="str">
        <f aca="false">IF($B132="","",IFERROR(INDEX(고객사!$J$5:$J$104,MATCH($B132,고객사!$A$5:$A$104,0)),0))</f>
        <v/>
      </c>
      <c r="O132" s="22" t="str">
        <f aca="false">IF($B132="","",G132*N132)</f>
        <v/>
      </c>
      <c r="P132" s="22" t="str">
        <f aca="false">IF($B132="","",IFERROR(INDEX(고객사!$K$5:$K$104,MATCH($B132,고객사!$A$5:$A$104,0)),0))</f>
        <v/>
      </c>
      <c r="Q132" s="22" t="str">
        <f aca="false">IF($B132="","",G132*P132)</f>
        <v/>
      </c>
      <c r="R132" s="22" t="str">
        <f aca="false">IF($B132="","",O132-Q132-L132)</f>
        <v/>
      </c>
      <c r="S132" s="21" t="str">
        <f aca="false">IF(OR($B132="",N(O132)=0),"",R132/O132)</f>
        <v/>
      </c>
      <c r="T132" s="14"/>
      <c r="U132" s="19" t="n">
        <f aca="false">IF(OR($B132="",$A132=""),0,IF(COUNTIFS($A$5:$A132,$A132,$B$5:$B132,$B132)=1,1,0))</f>
        <v>0</v>
      </c>
    </row>
    <row r="133" customFormat="false" ht="15" hidden="false" customHeight="false" outlineLevel="0" collapsed="false">
      <c r="A133" s="17"/>
      <c r="B133" s="13"/>
      <c r="C133" s="20" t="str">
        <f aca="false">IF($B133="","",IFERROR(INDEX(고객사!$B$5:$B$104,MATCH($B133,고객사!$A$5:$A$104,0)),"코드 확인"))</f>
        <v/>
      </c>
      <c r="D133" s="15"/>
      <c r="E133" s="15"/>
      <c r="F133" s="16"/>
      <c r="G133" s="16"/>
      <c r="H133" s="21" t="str">
        <f aca="false">IF(OR($B133="",F133=0),"",G133/F133)</f>
        <v/>
      </c>
      <c r="I133" s="22" t="str">
        <f aca="false">IF($B133="","",MAX(F133-G133,0))</f>
        <v/>
      </c>
      <c r="J133" s="23" t="str">
        <f aca="false">IF($B133="","",IFERROR(INDEX(고객사!$G$5:$G$104,MATCH($B133,고객사!$A$5:$A$104,0)),""))</f>
        <v/>
      </c>
      <c r="K133" s="16"/>
      <c r="L133" s="22" t="str">
        <f aca="false">IF($B133="","",K133*IFERROR(INDEX(고객사!$L$5:$L$104,MATCH($B133,고객사!$A$5:$A$104,0)),0))</f>
        <v/>
      </c>
      <c r="M133" s="23" t="str">
        <f aca="false">IF($B133="","",IF(AND(J133="N",G133&gt;0,K133=0,IFERROR(INDEX(고객사!$H$5:$H$104,MATCH($B133,고객사!$A$5:$A$104,0)),"")="자사 차량 운행"),"차량 미배정",""))</f>
        <v/>
      </c>
      <c r="N133" s="22" t="str">
        <f aca="false">IF($B133="","",IFERROR(INDEX(고객사!$J$5:$J$104,MATCH($B133,고객사!$A$5:$A$104,0)),0))</f>
        <v/>
      </c>
      <c r="O133" s="22" t="str">
        <f aca="false">IF($B133="","",G133*N133)</f>
        <v/>
      </c>
      <c r="P133" s="22" t="str">
        <f aca="false">IF($B133="","",IFERROR(INDEX(고객사!$K$5:$K$104,MATCH($B133,고객사!$A$5:$A$104,0)),0))</f>
        <v/>
      </c>
      <c r="Q133" s="22" t="str">
        <f aca="false">IF($B133="","",G133*P133)</f>
        <v/>
      </c>
      <c r="R133" s="22" t="str">
        <f aca="false">IF($B133="","",O133-Q133-L133)</f>
        <v/>
      </c>
      <c r="S133" s="21" t="str">
        <f aca="false">IF(OR($B133="",N(O133)=0),"",R133/O133)</f>
        <v/>
      </c>
      <c r="T133" s="14"/>
      <c r="U133" s="19" t="n">
        <f aca="false">IF(OR($B133="",$A133=""),0,IF(COUNTIFS($A$5:$A133,$A133,$B$5:$B133,$B133)=1,1,0))</f>
        <v>0</v>
      </c>
    </row>
    <row r="134" customFormat="false" ht="15" hidden="false" customHeight="false" outlineLevel="0" collapsed="false">
      <c r="A134" s="17"/>
      <c r="B134" s="13"/>
      <c r="C134" s="20" t="str">
        <f aca="false">IF($B134="","",IFERROR(INDEX(고객사!$B$5:$B$104,MATCH($B134,고객사!$A$5:$A$104,0)),"코드 확인"))</f>
        <v/>
      </c>
      <c r="D134" s="15"/>
      <c r="E134" s="15"/>
      <c r="F134" s="16"/>
      <c r="G134" s="16"/>
      <c r="H134" s="21" t="str">
        <f aca="false">IF(OR($B134="",F134=0),"",G134/F134)</f>
        <v/>
      </c>
      <c r="I134" s="22" t="str">
        <f aca="false">IF($B134="","",MAX(F134-G134,0))</f>
        <v/>
      </c>
      <c r="J134" s="23" t="str">
        <f aca="false">IF($B134="","",IFERROR(INDEX(고객사!$G$5:$G$104,MATCH($B134,고객사!$A$5:$A$104,0)),""))</f>
        <v/>
      </c>
      <c r="K134" s="16"/>
      <c r="L134" s="22" t="str">
        <f aca="false">IF($B134="","",K134*IFERROR(INDEX(고객사!$L$5:$L$104,MATCH($B134,고객사!$A$5:$A$104,0)),0))</f>
        <v/>
      </c>
      <c r="M134" s="23" t="str">
        <f aca="false">IF($B134="","",IF(AND(J134="N",G134&gt;0,K134=0,IFERROR(INDEX(고객사!$H$5:$H$104,MATCH($B134,고객사!$A$5:$A$104,0)),"")="자사 차량 운행"),"차량 미배정",""))</f>
        <v/>
      </c>
      <c r="N134" s="22" t="str">
        <f aca="false">IF($B134="","",IFERROR(INDEX(고객사!$J$5:$J$104,MATCH($B134,고객사!$A$5:$A$104,0)),0))</f>
        <v/>
      </c>
      <c r="O134" s="22" t="str">
        <f aca="false">IF($B134="","",G134*N134)</f>
        <v/>
      </c>
      <c r="P134" s="22" t="str">
        <f aca="false">IF($B134="","",IFERROR(INDEX(고객사!$K$5:$K$104,MATCH($B134,고객사!$A$5:$A$104,0)),0))</f>
        <v/>
      </c>
      <c r="Q134" s="22" t="str">
        <f aca="false">IF($B134="","",G134*P134)</f>
        <v/>
      </c>
      <c r="R134" s="22" t="str">
        <f aca="false">IF($B134="","",O134-Q134-L134)</f>
        <v/>
      </c>
      <c r="S134" s="21" t="str">
        <f aca="false">IF(OR($B134="",N(O134)=0),"",R134/O134)</f>
        <v/>
      </c>
      <c r="T134" s="14"/>
      <c r="U134" s="19" t="n">
        <f aca="false">IF(OR($B134="",$A134=""),0,IF(COUNTIFS($A$5:$A134,$A134,$B$5:$B134,$B134)=1,1,0))</f>
        <v>0</v>
      </c>
    </row>
    <row r="135" customFormat="false" ht="15" hidden="false" customHeight="false" outlineLevel="0" collapsed="false">
      <c r="A135" s="17"/>
      <c r="B135" s="13"/>
      <c r="C135" s="20" t="str">
        <f aca="false">IF($B135="","",IFERROR(INDEX(고객사!$B$5:$B$104,MATCH($B135,고객사!$A$5:$A$104,0)),"코드 확인"))</f>
        <v/>
      </c>
      <c r="D135" s="15"/>
      <c r="E135" s="15"/>
      <c r="F135" s="16"/>
      <c r="G135" s="16"/>
      <c r="H135" s="21" t="str">
        <f aca="false">IF(OR($B135="",F135=0),"",G135/F135)</f>
        <v/>
      </c>
      <c r="I135" s="22" t="str">
        <f aca="false">IF($B135="","",MAX(F135-G135,0))</f>
        <v/>
      </c>
      <c r="J135" s="23" t="str">
        <f aca="false">IF($B135="","",IFERROR(INDEX(고객사!$G$5:$G$104,MATCH($B135,고객사!$A$5:$A$104,0)),""))</f>
        <v/>
      </c>
      <c r="K135" s="16"/>
      <c r="L135" s="22" t="str">
        <f aca="false">IF($B135="","",K135*IFERROR(INDEX(고객사!$L$5:$L$104,MATCH($B135,고객사!$A$5:$A$104,0)),0))</f>
        <v/>
      </c>
      <c r="M135" s="23" t="str">
        <f aca="false">IF($B135="","",IF(AND(J135="N",G135&gt;0,K135=0,IFERROR(INDEX(고객사!$H$5:$H$104,MATCH($B135,고객사!$A$5:$A$104,0)),"")="자사 차량 운행"),"차량 미배정",""))</f>
        <v/>
      </c>
      <c r="N135" s="22" t="str">
        <f aca="false">IF($B135="","",IFERROR(INDEX(고객사!$J$5:$J$104,MATCH($B135,고객사!$A$5:$A$104,0)),0))</f>
        <v/>
      </c>
      <c r="O135" s="22" t="str">
        <f aca="false">IF($B135="","",G135*N135)</f>
        <v/>
      </c>
      <c r="P135" s="22" t="str">
        <f aca="false">IF($B135="","",IFERROR(INDEX(고객사!$K$5:$K$104,MATCH($B135,고객사!$A$5:$A$104,0)),0))</f>
        <v/>
      </c>
      <c r="Q135" s="22" t="str">
        <f aca="false">IF($B135="","",G135*P135)</f>
        <v/>
      </c>
      <c r="R135" s="22" t="str">
        <f aca="false">IF($B135="","",O135-Q135-L135)</f>
        <v/>
      </c>
      <c r="S135" s="21" t="str">
        <f aca="false">IF(OR($B135="",N(O135)=0),"",R135/O135)</f>
        <v/>
      </c>
      <c r="T135" s="14"/>
      <c r="U135" s="19" t="n">
        <f aca="false">IF(OR($B135="",$A135=""),0,IF(COUNTIFS($A$5:$A135,$A135,$B$5:$B135,$B135)=1,1,0))</f>
        <v>0</v>
      </c>
    </row>
    <row r="136" customFormat="false" ht="15" hidden="false" customHeight="false" outlineLevel="0" collapsed="false">
      <c r="A136" s="17"/>
      <c r="B136" s="13"/>
      <c r="C136" s="20" t="str">
        <f aca="false">IF($B136="","",IFERROR(INDEX(고객사!$B$5:$B$104,MATCH($B136,고객사!$A$5:$A$104,0)),"코드 확인"))</f>
        <v/>
      </c>
      <c r="D136" s="15"/>
      <c r="E136" s="15"/>
      <c r="F136" s="16"/>
      <c r="G136" s="16"/>
      <c r="H136" s="21" t="str">
        <f aca="false">IF(OR($B136="",F136=0),"",G136/F136)</f>
        <v/>
      </c>
      <c r="I136" s="22" t="str">
        <f aca="false">IF($B136="","",MAX(F136-G136,0))</f>
        <v/>
      </c>
      <c r="J136" s="23" t="str">
        <f aca="false">IF($B136="","",IFERROR(INDEX(고객사!$G$5:$G$104,MATCH($B136,고객사!$A$5:$A$104,0)),""))</f>
        <v/>
      </c>
      <c r="K136" s="16"/>
      <c r="L136" s="22" t="str">
        <f aca="false">IF($B136="","",K136*IFERROR(INDEX(고객사!$L$5:$L$104,MATCH($B136,고객사!$A$5:$A$104,0)),0))</f>
        <v/>
      </c>
      <c r="M136" s="23" t="str">
        <f aca="false">IF($B136="","",IF(AND(J136="N",G136&gt;0,K136=0,IFERROR(INDEX(고객사!$H$5:$H$104,MATCH($B136,고객사!$A$5:$A$104,0)),"")="자사 차량 운행"),"차량 미배정",""))</f>
        <v/>
      </c>
      <c r="N136" s="22" t="str">
        <f aca="false">IF($B136="","",IFERROR(INDEX(고객사!$J$5:$J$104,MATCH($B136,고객사!$A$5:$A$104,0)),0))</f>
        <v/>
      </c>
      <c r="O136" s="22" t="str">
        <f aca="false">IF($B136="","",G136*N136)</f>
        <v/>
      </c>
      <c r="P136" s="22" t="str">
        <f aca="false">IF($B136="","",IFERROR(INDEX(고객사!$K$5:$K$104,MATCH($B136,고객사!$A$5:$A$104,0)),0))</f>
        <v/>
      </c>
      <c r="Q136" s="22" t="str">
        <f aca="false">IF($B136="","",G136*P136)</f>
        <v/>
      </c>
      <c r="R136" s="22" t="str">
        <f aca="false">IF($B136="","",O136-Q136-L136)</f>
        <v/>
      </c>
      <c r="S136" s="21" t="str">
        <f aca="false">IF(OR($B136="",N(O136)=0),"",R136/O136)</f>
        <v/>
      </c>
      <c r="T136" s="14"/>
      <c r="U136" s="19" t="n">
        <f aca="false">IF(OR($B136="",$A136=""),0,IF(COUNTIFS($A$5:$A136,$A136,$B$5:$B136,$B136)=1,1,0))</f>
        <v>0</v>
      </c>
    </row>
    <row r="137" customFormat="false" ht="15" hidden="false" customHeight="false" outlineLevel="0" collapsed="false">
      <c r="A137" s="17"/>
      <c r="B137" s="13"/>
      <c r="C137" s="20" t="str">
        <f aca="false">IF($B137="","",IFERROR(INDEX(고객사!$B$5:$B$104,MATCH($B137,고객사!$A$5:$A$104,0)),"코드 확인"))</f>
        <v/>
      </c>
      <c r="D137" s="15"/>
      <c r="E137" s="15"/>
      <c r="F137" s="16"/>
      <c r="G137" s="16"/>
      <c r="H137" s="21" t="str">
        <f aca="false">IF(OR($B137="",F137=0),"",G137/F137)</f>
        <v/>
      </c>
      <c r="I137" s="22" t="str">
        <f aca="false">IF($B137="","",MAX(F137-G137,0))</f>
        <v/>
      </c>
      <c r="J137" s="23" t="str">
        <f aca="false">IF($B137="","",IFERROR(INDEX(고객사!$G$5:$G$104,MATCH($B137,고객사!$A$5:$A$104,0)),""))</f>
        <v/>
      </c>
      <c r="K137" s="16"/>
      <c r="L137" s="22" t="str">
        <f aca="false">IF($B137="","",K137*IFERROR(INDEX(고객사!$L$5:$L$104,MATCH($B137,고객사!$A$5:$A$104,0)),0))</f>
        <v/>
      </c>
      <c r="M137" s="23" t="str">
        <f aca="false">IF($B137="","",IF(AND(J137="N",G137&gt;0,K137=0,IFERROR(INDEX(고객사!$H$5:$H$104,MATCH($B137,고객사!$A$5:$A$104,0)),"")="자사 차량 운행"),"차량 미배정",""))</f>
        <v/>
      </c>
      <c r="N137" s="22" t="str">
        <f aca="false">IF($B137="","",IFERROR(INDEX(고객사!$J$5:$J$104,MATCH($B137,고객사!$A$5:$A$104,0)),0))</f>
        <v/>
      </c>
      <c r="O137" s="22" t="str">
        <f aca="false">IF($B137="","",G137*N137)</f>
        <v/>
      </c>
      <c r="P137" s="22" t="str">
        <f aca="false">IF($B137="","",IFERROR(INDEX(고객사!$K$5:$K$104,MATCH($B137,고객사!$A$5:$A$104,0)),0))</f>
        <v/>
      </c>
      <c r="Q137" s="22" t="str">
        <f aca="false">IF($B137="","",G137*P137)</f>
        <v/>
      </c>
      <c r="R137" s="22" t="str">
        <f aca="false">IF($B137="","",O137-Q137-L137)</f>
        <v/>
      </c>
      <c r="S137" s="21" t="str">
        <f aca="false">IF(OR($B137="",N(O137)=0),"",R137/O137)</f>
        <v/>
      </c>
      <c r="T137" s="14"/>
      <c r="U137" s="19" t="n">
        <f aca="false">IF(OR($B137="",$A137=""),0,IF(COUNTIFS($A$5:$A137,$A137,$B$5:$B137,$B137)=1,1,0))</f>
        <v>0</v>
      </c>
    </row>
    <row r="138" customFormat="false" ht="15" hidden="false" customHeight="false" outlineLevel="0" collapsed="false">
      <c r="A138" s="17"/>
      <c r="B138" s="13"/>
      <c r="C138" s="20" t="str">
        <f aca="false">IF($B138="","",IFERROR(INDEX(고객사!$B$5:$B$104,MATCH($B138,고객사!$A$5:$A$104,0)),"코드 확인"))</f>
        <v/>
      </c>
      <c r="D138" s="15"/>
      <c r="E138" s="15"/>
      <c r="F138" s="16"/>
      <c r="G138" s="16"/>
      <c r="H138" s="21" t="str">
        <f aca="false">IF(OR($B138="",F138=0),"",G138/F138)</f>
        <v/>
      </c>
      <c r="I138" s="22" t="str">
        <f aca="false">IF($B138="","",MAX(F138-G138,0))</f>
        <v/>
      </c>
      <c r="J138" s="23" t="str">
        <f aca="false">IF($B138="","",IFERROR(INDEX(고객사!$G$5:$G$104,MATCH($B138,고객사!$A$5:$A$104,0)),""))</f>
        <v/>
      </c>
      <c r="K138" s="16"/>
      <c r="L138" s="22" t="str">
        <f aca="false">IF($B138="","",K138*IFERROR(INDEX(고객사!$L$5:$L$104,MATCH($B138,고객사!$A$5:$A$104,0)),0))</f>
        <v/>
      </c>
      <c r="M138" s="23" t="str">
        <f aca="false">IF($B138="","",IF(AND(J138="N",G138&gt;0,K138=0,IFERROR(INDEX(고객사!$H$5:$H$104,MATCH($B138,고객사!$A$5:$A$104,0)),"")="자사 차량 운행"),"차량 미배정",""))</f>
        <v/>
      </c>
      <c r="N138" s="22" t="str">
        <f aca="false">IF($B138="","",IFERROR(INDEX(고객사!$J$5:$J$104,MATCH($B138,고객사!$A$5:$A$104,0)),0))</f>
        <v/>
      </c>
      <c r="O138" s="22" t="str">
        <f aca="false">IF($B138="","",G138*N138)</f>
        <v/>
      </c>
      <c r="P138" s="22" t="str">
        <f aca="false">IF($B138="","",IFERROR(INDEX(고객사!$K$5:$K$104,MATCH($B138,고객사!$A$5:$A$104,0)),0))</f>
        <v/>
      </c>
      <c r="Q138" s="22" t="str">
        <f aca="false">IF($B138="","",G138*P138)</f>
        <v/>
      </c>
      <c r="R138" s="22" t="str">
        <f aca="false">IF($B138="","",O138-Q138-L138)</f>
        <v/>
      </c>
      <c r="S138" s="21" t="str">
        <f aca="false">IF(OR($B138="",N(O138)=0),"",R138/O138)</f>
        <v/>
      </c>
      <c r="T138" s="14"/>
      <c r="U138" s="19" t="n">
        <f aca="false">IF(OR($B138="",$A138=""),0,IF(COUNTIFS($A$5:$A138,$A138,$B$5:$B138,$B138)=1,1,0))</f>
        <v>0</v>
      </c>
    </row>
    <row r="139" customFormat="false" ht="15" hidden="false" customHeight="false" outlineLevel="0" collapsed="false">
      <c r="A139" s="17"/>
      <c r="B139" s="13"/>
      <c r="C139" s="20" t="str">
        <f aca="false">IF($B139="","",IFERROR(INDEX(고객사!$B$5:$B$104,MATCH($B139,고객사!$A$5:$A$104,0)),"코드 확인"))</f>
        <v/>
      </c>
      <c r="D139" s="15"/>
      <c r="E139" s="15"/>
      <c r="F139" s="16"/>
      <c r="G139" s="16"/>
      <c r="H139" s="21" t="str">
        <f aca="false">IF(OR($B139="",F139=0),"",G139/F139)</f>
        <v/>
      </c>
      <c r="I139" s="22" t="str">
        <f aca="false">IF($B139="","",MAX(F139-G139,0))</f>
        <v/>
      </c>
      <c r="J139" s="23" t="str">
        <f aca="false">IF($B139="","",IFERROR(INDEX(고객사!$G$5:$G$104,MATCH($B139,고객사!$A$5:$A$104,0)),""))</f>
        <v/>
      </c>
      <c r="K139" s="16"/>
      <c r="L139" s="22" t="str">
        <f aca="false">IF($B139="","",K139*IFERROR(INDEX(고객사!$L$5:$L$104,MATCH($B139,고객사!$A$5:$A$104,0)),0))</f>
        <v/>
      </c>
      <c r="M139" s="23" t="str">
        <f aca="false">IF($B139="","",IF(AND(J139="N",G139&gt;0,K139=0,IFERROR(INDEX(고객사!$H$5:$H$104,MATCH($B139,고객사!$A$5:$A$104,0)),"")="자사 차량 운행"),"차량 미배정",""))</f>
        <v/>
      </c>
      <c r="N139" s="22" t="str">
        <f aca="false">IF($B139="","",IFERROR(INDEX(고객사!$J$5:$J$104,MATCH($B139,고객사!$A$5:$A$104,0)),0))</f>
        <v/>
      </c>
      <c r="O139" s="22" t="str">
        <f aca="false">IF($B139="","",G139*N139)</f>
        <v/>
      </c>
      <c r="P139" s="22" t="str">
        <f aca="false">IF($B139="","",IFERROR(INDEX(고객사!$K$5:$K$104,MATCH($B139,고객사!$A$5:$A$104,0)),0))</f>
        <v/>
      </c>
      <c r="Q139" s="22" t="str">
        <f aca="false">IF($B139="","",G139*P139)</f>
        <v/>
      </c>
      <c r="R139" s="22" t="str">
        <f aca="false">IF($B139="","",O139-Q139-L139)</f>
        <v/>
      </c>
      <c r="S139" s="21" t="str">
        <f aca="false">IF(OR($B139="",N(O139)=0),"",R139/O139)</f>
        <v/>
      </c>
      <c r="T139" s="14"/>
      <c r="U139" s="19" t="n">
        <f aca="false">IF(OR($B139="",$A139=""),0,IF(COUNTIFS($A$5:$A139,$A139,$B$5:$B139,$B139)=1,1,0))</f>
        <v>0</v>
      </c>
    </row>
    <row r="140" customFormat="false" ht="15" hidden="false" customHeight="false" outlineLevel="0" collapsed="false">
      <c r="A140" s="17"/>
      <c r="B140" s="13"/>
      <c r="C140" s="20" t="str">
        <f aca="false">IF($B140="","",IFERROR(INDEX(고객사!$B$5:$B$104,MATCH($B140,고객사!$A$5:$A$104,0)),"코드 확인"))</f>
        <v/>
      </c>
      <c r="D140" s="15"/>
      <c r="E140" s="15"/>
      <c r="F140" s="16"/>
      <c r="G140" s="16"/>
      <c r="H140" s="21" t="str">
        <f aca="false">IF(OR($B140="",F140=0),"",G140/F140)</f>
        <v/>
      </c>
      <c r="I140" s="22" t="str">
        <f aca="false">IF($B140="","",MAX(F140-G140,0))</f>
        <v/>
      </c>
      <c r="J140" s="23" t="str">
        <f aca="false">IF($B140="","",IFERROR(INDEX(고객사!$G$5:$G$104,MATCH($B140,고객사!$A$5:$A$104,0)),""))</f>
        <v/>
      </c>
      <c r="K140" s="16"/>
      <c r="L140" s="22" t="str">
        <f aca="false">IF($B140="","",K140*IFERROR(INDEX(고객사!$L$5:$L$104,MATCH($B140,고객사!$A$5:$A$104,0)),0))</f>
        <v/>
      </c>
      <c r="M140" s="23" t="str">
        <f aca="false">IF($B140="","",IF(AND(J140="N",G140&gt;0,K140=0,IFERROR(INDEX(고객사!$H$5:$H$104,MATCH($B140,고객사!$A$5:$A$104,0)),"")="자사 차량 운행"),"차량 미배정",""))</f>
        <v/>
      </c>
      <c r="N140" s="22" t="str">
        <f aca="false">IF($B140="","",IFERROR(INDEX(고객사!$J$5:$J$104,MATCH($B140,고객사!$A$5:$A$104,0)),0))</f>
        <v/>
      </c>
      <c r="O140" s="22" t="str">
        <f aca="false">IF($B140="","",G140*N140)</f>
        <v/>
      </c>
      <c r="P140" s="22" t="str">
        <f aca="false">IF($B140="","",IFERROR(INDEX(고객사!$K$5:$K$104,MATCH($B140,고객사!$A$5:$A$104,0)),0))</f>
        <v/>
      </c>
      <c r="Q140" s="22" t="str">
        <f aca="false">IF($B140="","",G140*P140)</f>
        <v/>
      </c>
      <c r="R140" s="22" t="str">
        <f aca="false">IF($B140="","",O140-Q140-L140)</f>
        <v/>
      </c>
      <c r="S140" s="21" t="str">
        <f aca="false">IF(OR($B140="",N(O140)=0),"",R140/O140)</f>
        <v/>
      </c>
      <c r="T140" s="14"/>
      <c r="U140" s="19" t="n">
        <f aca="false">IF(OR($B140="",$A140=""),0,IF(COUNTIFS($A$5:$A140,$A140,$B$5:$B140,$B140)=1,1,0))</f>
        <v>0</v>
      </c>
    </row>
    <row r="141" customFormat="false" ht="15" hidden="false" customHeight="false" outlineLevel="0" collapsed="false">
      <c r="A141" s="17"/>
      <c r="B141" s="13"/>
      <c r="C141" s="20" t="str">
        <f aca="false">IF($B141="","",IFERROR(INDEX(고객사!$B$5:$B$104,MATCH($B141,고객사!$A$5:$A$104,0)),"코드 확인"))</f>
        <v/>
      </c>
      <c r="D141" s="15"/>
      <c r="E141" s="15"/>
      <c r="F141" s="16"/>
      <c r="G141" s="16"/>
      <c r="H141" s="21" t="str">
        <f aca="false">IF(OR($B141="",F141=0),"",G141/F141)</f>
        <v/>
      </c>
      <c r="I141" s="22" t="str">
        <f aca="false">IF($B141="","",MAX(F141-G141,0))</f>
        <v/>
      </c>
      <c r="J141" s="23" t="str">
        <f aca="false">IF($B141="","",IFERROR(INDEX(고객사!$G$5:$G$104,MATCH($B141,고객사!$A$5:$A$104,0)),""))</f>
        <v/>
      </c>
      <c r="K141" s="16"/>
      <c r="L141" s="22" t="str">
        <f aca="false">IF($B141="","",K141*IFERROR(INDEX(고객사!$L$5:$L$104,MATCH($B141,고객사!$A$5:$A$104,0)),0))</f>
        <v/>
      </c>
      <c r="M141" s="23" t="str">
        <f aca="false">IF($B141="","",IF(AND(J141="N",G141&gt;0,K141=0,IFERROR(INDEX(고객사!$H$5:$H$104,MATCH($B141,고객사!$A$5:$A$104,0)),"")="자사 차량 운행"),"차량 미배정",""))</f>
        <v/>
      </c>
      <c r="N141" s="22" t="str">
        <f aca="false">IF($B141="","",IFERROR(INDEX(고객사!$J$5:$J$104,MATCH($B141,고객사!$A$5:$A$104,0)),0))</f>
        <v/>
      </c>
      <c r="O141" s="22" t="str">
        <f aca="false">IF($B141="","",G141*N141)</f>
        <v/>
      </c>
      <c r="P141" s="22" t="str">
        <f aca="false">IF($B141="","",IFERROR(INDEX(고객사!$K$5:$K$104,MATCH($B141,고객사!$A$5:$A$104,0)),0))</f>
        <v/>
      </c>
      <c r="Q141" s="22" t="str">
        <f aca="false">IF($B141="","",G141*P141)</f>
        <v/>
      </c>
      <c r="R141" s="22" t="str">
        <f aca="false">IF($B141="","",O141-Q141-L141)</f>
        <v/>
      </c>
      <c r="S141" s="21" t="str">
        <f aca="false">IF(OR($B141="",N(O141)=0),"",R141/O141)</f>
        <v/>
      </c>
      <c r="T141" s="14"/>
      <c r="U141" s="19" t="n">
        <f aca="false">IF(OR($B141="",$A141=""),0,IF(COUNTIFS($A$5:$A141,$A141,$B$5:$B141,$B141)=1,1,0))</f>
        <v>0</v>
      </c>
    </row>
    <row r="142" customFormat="false" ht="15" hidden="false" customHeight="false" outlineLevel="0" collapsed="false">
      <c r="A142" s="17"/>
      <c r="B142" s="13"/>
      <c r="C142" s="20" t="str">
        <f aca="false">IF($B142="","",IFERROR(INDEX(고객사!$B$5:$B$104,MATCH($B142,고객사!$A$5:$A$104,0)),"코드 확인"))</f>
        <v/>
      </c>
      <c r="D142" s="15"/>
      <c r="E142" s="15"/>
      <c r="F142" s="16"/>
      <c r="G142" s="16"/>
      <c r="H142" s="21" t="str">
        <f aca="false">IF(OR($B142="",F142=0),"",G142/F142)</f>
        <v/>
      </c>
      <c r="I142" s="22" t="str">
        <f aca="false">IF($B142="","",MAX(F142-G142,0))</f>
        <v/>
      </c>
      <c r="J142" s="23" t="str">
        <f aca="false">IF($B142="","",IFERROR(INDEX(고객사!$G$5:$G$104,MATCH($B142,고객사!$A$5:$A$104,0)),""))</f>
        <v/>
      </c>
      <c r="K142" s="16"/>
      <c r="L142" s="22" t="str">
        <f aca="false">IF($B142="","",K142*IFERROR(INDEX(고객사!$L$5:$L$104,MATCH($B142,고객사!$A$5:$A$104,0)),0))</f>
        <v/>
      </c>
      <c r="M142" s="23" t="str">
        <f aca="false">IF($B142="","",IF(AND(J142="N",G142&gt;0,K142=0,IFERROR(INDEX(고객사!$H$5:$H$104,MATCH($B142,고객사!$A$5:$A$104,0)),"")="자사 차량 운행"),"차량 미배정",""))</f>
        <v/>
      </c>
      <c r="N142" s="22" t="str">
        <f aca="false">IF($B142="","",IFERROR(INDEX(고객사!$J$5:$J$104,MATCH($B142,고객사!$A$5:$A$104,0)),0))</f>
        <v/>
      </c>
      <c r="O142" s="22" t="str">
        <f aca="false">IF($B142="","",G142*N142)</f>
        <v/>
      </c>
      <c r="P142" s="22" t="str">
        <f aca="false">IF($B142="","",IFERROR(INDEX(고객사!$K$5:$K$104,MATCH($B142,고객사!$A$5:$A$104,0)),0))</f>
        <v/>
      </c>
      <c r="Q142" s="22" t="str">
        <f aca="false">IF($B142="","",G142*P142)</f>
        <v/>
      </c>
      <c r="R142" s="22" t="str">
        <f aca="false">IF($B142="","",O142-Q142-L142)</f>
        <v/>
      </c>
      <c r="S142" s="21" t="str">
        <f aca="false">IF(OR($B142="",N(O142)=0),"",R142/O142)</f>
        <v/>
      </c>
      <c r="T142" s="14"/>
      <c r="U142" s="19" t="n">
        <f aca="false">IF(OR($B142="",$A142=""),0,IF(COUNTIFS($A$5:$A142,$A142,$B$5:$B142,$B142)=1,1,0))</f>
        <v>0</v>
      </c>
    </row>
    <row r="143" customFormat="false" ht="15" hidden="false" customHeight="false" outlineLevel="0" collapsed="false">
      <c r="A143" s="17"/>
      <c r="B143" s="13"/>
      <c r="C143" s="20" t="str">
        <f aca="false">IF($B143="","",IFERROR(INDEX(고객사!$B$5:$B$104,MATCH($B143,고객사!$A$5:$A$104,0)),"코드 확인"))</f>
        <v/>
      </c>
      <c r="D143" s="15"/>
      <c r="E143" s="15"/>
      <c r="F143" s="16"/>
      <c r="G143" s="16"/>
      <c r="H143" s="21" t="str">
        <f aca="false">IF(OR($B143="",F143=0),"",G143/F143)</f>
        <v/>
      </c>
      <c r="I143" s="22" t="str">
        <f aca="false">IF($B143="","",MAX(F143-G143,0))</f>
        <v/>
      </c>
      <c r="J143" s="23" t="str">
        <f aca="false">IF($B143="","",IFERROR(INDEX(고객사!$G$5:$G$104,MATCH($B143,고객사!$A$5:$A$104,0)),""))</f>
        <v/>
      </c>
      <c r="K143" s="16"/>
      <c r="L143" s="22" t="str">
        <f aca="false">IF($B143="","",K143*IFERROR(INDEX(고객사!$L$5:$L$104,MATCH($B143,고객사!$A$5:$A$104,0)),0))</f>
        <v/>
      </c>
      <c r="M143" s="23" t="str">
        <f aca="false">IF($B143="","",IF(AND(J143="N",G143&gt;0,K143=0,IFERROR(INDEX(고객사!$H$5:$H$104,MATCH($B143,고객사!$A$5:$A$104,0)),"")="자사 차량 운행"),"차량 미배정",""))</f>
        <v/>
      </c>
      <c r="N143" s="22" t="str">
        <f aca="false">IF($B143="","",IFERROR(INDEX(고객사!$J$5:$J$104,MATCH($B143,고객사!$A$5:$A$104,0)),0))</f>
        <v/>
      </c>
      <c r="O143" s="22" t="str">
        <f aca="false">IF($B143="","",G143*N143)</f>
        <v/>
      </c>
      <c r="P143" s="22" t="str">
        <f aca="false">IF($B143="","",IFERROR(INDEX(고객사!$K$5:$K$104,MATCH($B143,고객사!$A$5:$A$104,0)),0))</f>
        <v/>
      </c>
      <c r="Q143" s="22" t="str">
        <f aca="false">IF($B143="","",G143*P143)</f>
        <v/>
      </c>
      <c r="R143" s="22" t="str">
        <f aca="false">IF($B143="","",O143-Q143-L143)</f>
        <v/>
      </c>
      <c r="S143" s="21" t="str">
        <f aca="false">IF(OR($B143="",N(O143)=0),"",R143/O143)</f>
        <v/>
      </c>
      <c r="T143" s="14"/>
      <c r="U143" s="19" t="n">
        <f aca="false">IF(OR($B143="",$A143=""),0,IF(COUNTIFS($A$5:$A143,$A143,$B$5:$B143,$B143)=1,1,0))</f>
        <v>0</v>
      </c>
    </row>
    <row r="144" customFormat="false" ht="15" hidden="false" customHeight="false" outlineLevel="0" collapsed="false">
      <c r="A144" s="17"/>
      <c r="B144" s="13"/>
      <c r="C144" s="20" t="str">
        <f aca="false">IF($B144="","",IFERROR(INDEX(고객사!$B$5:$B$104,MATCH($B144,고객사!$A$5:$A$104,0)),"코드 확인"))</f>
        <v/>
      </c>
      <c r="D144" s="15"/>
      <c r="E144" s="15"/>
      <c r="F144" s="16"/>
      <c r="G144" s="16"/>
      <c r="H144" s="21" t="str">
        <f aca="false">IF(OR($B144="",F144=0),"",G144/F144)</f>
        <v/>
      </c>
      <c r="I144" s="22" t="str">
        <f aca="false">IF($B144="","",MAX(F144-G144,0))</f>
        <v/>
      </c>
      <c r="J144" s="23" t="str">
        <f aca="false">IF($B144="","",IFERROR(INDEX(고객사!$G$5:$G$104,MATCH($B144,고객사!$A$5:$A$104,0)),""))</f>
        <v/>
      </c>
      <c r="K144" s="16"/>
      <c r="L144" s="22" t="str">
        <f aca="false">IF($B144="","",K144*IFERROR(INDEX(고객사!$L$5:$L$104,MATCH($B144,고객사!$A$5:$A$104,0)),0))</f>
        <v/>
      </c>
      <c r="M144" s="23" t="str">
        <f aca="false">IF($B144="","",IF(AND(J144="N",G144&gt;0,K144=0,IFERROR(INDEX(고객사!$H$5:$H$104,MATCH($B144,고객사!$A$5:$A$104,0)),"")="자사 차량 운행"),"차량 미배정",""))</f>
        <v/>
      </c>
      <c r="N144" s="22" t="str">
        <f aca="false">IF($B144="","",IFERROR(INDEX(고객사!$J$5:$J$104,MATCH($B144,고객사!$A$5:$A$104,0)),0))</f>
        <v/>
      </c>
      <c r="O144" s="22" t="str">
        <f aca="false">IF($B144="","",G144*N144)</f>
        <v/>
      </c>
      <c r="P144" s="22" t="str">
        <f aca="false">IF($B144="","",IFERROR(INDEX(고객사!$K$5:$K$104,MATCH($B144,고객사!$A$5:$A$104,0)),0))</f>
        <v/>
      </c>
      <c r="Q144" s="22" t="str">
        <f aca="false">IF($B144="","",G144*P144)</f>
        <v/>
      </c>
      <c r="R144" s="22" t="str">
        <f aca="false">IF($B144="","",O144-Q144-L144)</f>
        <v/>
      </c>
      <c r="S144" s="21" t="str">
        <f aca="false">IF(OR($B144="",N(O144)=0),"",R144/O144)</f>
        <v/>
      </c>
      <c r="T144" s="14"/>
      <c r="U144" s="19" t="n">
        <f aca="false">IF(OR($B144="",$A144=""),0,IF(COUNTIFS($A$5:$A144,$A144,$B$5:$B144,$B144)=1,1,0))</f>
        <v>0</v>
      </c>
    </row>
    <row r="145" customFormat="false" ht="15" hidden="false" customHeight="false" outlineLevel="0" collapsed="false">
      <c r="A145" s="17"/>
      <c r="B145" s="13"/>
      <c r="C145" s="20" t="str">
        <f aca="false">IF($B145="","",IFERROR(INDEX(고객사!$B$5:$B$104,MATCH($B145,고객사!$A$5:$A$104,0)),"코드 확인"))</f>
        <v/>
      </c>
      <c r="D145" s="15"/>
      <c r="E145" s="15"/>
      <c r="F145" s="16"/>
      <c r="G145" s="16"/>
      <c r="H145" s="21" t="str">
        <f aca="false">IF(OR($B145="",F145=0),"",G145/F145)</f>
        <v/>
      </c>
      <c r="I145" s="22" t="str">
        <f aca="false">IF($B145="","",MAX(F145-G145,0))</f>
        <v/>
      </c>
      <c r="J145" s="23" t="str">
        <f aca="false">IF($B145="","",IFERROR(INDEX(고객사!$G$5:$G$104,MATCH($B145,고객사!$A$5:$A$104,0)),""))</f>
        <v/>
      </c>
      <c r="K145" s="16"/>
      <c r="L145" s="22" t="str">
        <f aca="false">IF($B145="","",K145*IFERROR(INDEX(고객사!$L$5:$L$104,MATCH($B145,고객사!$A$5:$A$104,0)),0))</f>
        <v/>
      </c>
      <c r="M145" s="23" t="str">
        <f aca="false">IF($B145="","",IF(AND(J145="N",G145&gt;0,K145=0,IFERROR(INDEX(고객사!$H$5:$H$104,MATCH($B145,고객사!$A$5:$A$104,0)),"")="자사 차량 운행"),"차량 미배정",""))</f>
        <v/>
      </c>
      <c r="N145" s="22" t="str">
        <f aca="false">IF($B145="","",IFERROR(INDEX(고객사!$J$5:$J$104,MATCH($B145,고객사!$A$5:$A$104,0)),0))</f>
        <v/>
      </c>
      <c r="O145" s="22" t="str">
        <f aca="false">IF($B145="","",G145*N145)</f>
        <v/>
      </c>
      <c r="P145" s="22" t="str">
        <f aca="false">IF($B145="","",IFERROR(INDEX(고객사!$K$5:$K$104,MATCH($B145,고객사!$A$5:$A$104,0)),0))</f>
        <v/>
      </c>
      <c r="Q145" s="22" t="str">
        <f aca="false">IF($B145="","",G145*P145)</f>
        <v/>
      </c>
      <c r="R145" s="22" t="str">
        <f aca="false">IF($B145="","",O145-Q145-L145)</f>
        <v/>
      </c>
      <c r="S145" s="21" t="str">
        <f aca="false">IF(OR($B145="",N(O145)=0),"",R145/O145)</f>
        <v/>
      </c>
      <c r="T145" s="14"/>
      <c r="U145" s="19" t="n">
        <f aca="false">IF(OR($B145="",$A145=""),0,IF(COUNTIFS($A$5:$A145,$A145,$B$5:$B145,$B145)=1,1,0))</f>
        <v>0</v>
      </c>
    </row>
    <row r="146" customFormat="false" ht="15" hidden="false" customHeight="false" outlineLevel="0" collapsed="false">
      <c r="A146" s="17"/>
      <c r="B146" s="13"/>
      <c r="C146" s="20" t="str">
        <f aca="false">IF($B146="","",IFERROR(INDEX(고객사!$B$5:$B$104,MATCH($B146,고객사!$A$5:$A$104,0)),"코드 확인"))</f>
        <v/>
      </c>
      <c r="D146" s="15"/>
      <c r="E146" s="15"/>
      <c r="F146" s="16"/>
      <c r="G146" s="16"/>
      <c r="H146" s="21" t="str">
        <f aca="false">IF(OR($B146="",F146=0),"",G146/F146)</f>
        <v/>
      </c>
      <c r="I146" s="22" t="str">
        <f aca="false">IF($B146="","",MAX(F146-G146,0))</f>
        <v/>
      </c>
      <c r="J146" s="23" t="str">
        <f aca="false">IF($B146="","",IFERROR(INDEX(고객사!$G$5:$G$104,MATCH($B146,고객사!$A$5:$A$104,0)),""))</f>
        <v/>
      </c>
      <c r="K146" s="16"/>
      <c r="L146" s="22" t="str">
        <f aca="false">IF($B146="","",K146*IFERROR(INDEX(고객사!$L$5:$L$104,MATCH($B146,고객사!$A$5:$A$104,0)),0))</f>
        <v/>
      </c>
      <c r="M146" s="23" t="str">
        <f aca="false">IF($B146="","",IF(AND(J146="N",G146&gt;0,K146=0,IFERROR(INDEX(고객사!$H$5:$H$104,MATCH($B146,고객사!$A$5:$A$104,0)),"")="자사 차량 운행"),"차량 미배정",""))</f>
        <v/>
      </c>
      <c r="N146" s="22" t="str">
        <f aca="false">IF($B146="","",IFERROR(INDEX(고객사!$J$5:$J$104,MATCH($B146,고객사!$A$5:$A$104,0)),0))</f>
        <v/>
      </c>
      <c r="O146" s="22" t="str">
        <f aca="false">IF($B146="","",G146*N146)</f>
        <v/>
      </c>
      <c r="P146" s="22" t="str">
        <f aca="false">IF($B146="","",IFERROR(INDEX(고객사!$K$5:$K$104,MATCH($B146,고객사!$A$5:$A$104,0)),0))</f>
        <v/>
      </c>
      <c r="Q146" s="22" t="str">
        <f aca="false">IF($B146="","",G146*P146)</f>
        <v/>
      </c>
      <c r="R146" s="22" t="str">
        <f aca="false">IF($B146="","",O146-Q146-L146)</f>
        <v/>
      </c>
      <c r="S146" s="21" t="str">
        <f aca="false">IF(OR($B146="",N(O146)=0),"",R146/O146)</f>
        <v/>
      </c>
      <c r="T146" s="14"/>
      <c r="U146" s="19" t="n">
        <f aca="false">IF(OR($B146="",$A146=""),0,IF(COUNTIFS($A$5:$A146,$A146,$B$5:$B146,$B146)=1,1,0))</f>
        <v>0</v>
      </c>
    </row>
    <row r="147" customFormat="false" ht="15" hidden="false" customHeight="false" outlineLevel="0" collapsed="false">
      <c r="A147" s="17"/>
      <c r="B147" s="13"/>
      <c r="C147" s="20" t="str">
        <f aca="false">IF($B147="","",IFERROR(INDEX(고객사!$B$5:$B$104,MATCH($B147,고객사!$A$5:$A$104,0)),"코드 확인"))</f>
        <v/>
      </c>
      <c r="D147" s="15"/>
      <c r="E147" s="15"/>
      <c r="F147" s="16"/>
      <c r="G147" s="16"/>
      <c r="H147" s="21" t="str">
        <f aca="false">IF(OR($B147="",F147=0),"",G147/F147)</f>
        <v/>
      </c>
      <c r="I147" s="22" t="str">
        <f aca="false">IF($B147="","",MAX(F147-G147,0))</f>
        <v/>
      </c>
      <c r="J147" s="23" t="str">
        <f aca="false">IF($B147="","",IFERROR(INDEX(고객사!$G$5:$G$104,MATCH($B147,고객사!$A$5:$A$104,0)),""))</f>
        <v/>
      </c>
      <c r="K147" s="16"/>
      <c r="L147" s="22" t="str">
        <f aca="false">IF($B147="","",K147*IFERROR(INDEX(고객사!$L$5:$L$104,MATCH($B147,고객사!$A$5:$A$104,0)),0))</f>
        <v/>
      </c>
      <c r="M147" s="23" t="str">
        <f aca="false">IF($B147="","",IF(AND(J147="N",G147&gt;0,K147=0,IFERROR(INDEX(고객사!$H$5:$H$104,MATCH($B147,고객사!$A$5:$A$104,0)),"")="자사 차량 운행"),"차량 미배정",""))</f>
        <v/>
      </c>
      <c r="N147" s="22" t="str">
        <f aca="false">IF($B147="","",IFERROR(INDEX(고객사!$J$5:$J$104,MATCH($B147,고객사!$A$5:$A$104,0)),0))</f>
        <v/>
      </c>
      <c r="O147" s="22" t="str">
        <f aca="false">IF($B147="","",G147*N147)</f>
        <v/>
      </c>
      <c r="P147" s="22" t="str">
        <f aca="false">IF($B147="","",IFERROR(INDEX(고객사!$K$5:$K$104,MATCH($B147,고객사!$A$5:$A$104,0)),0))</f>
        <v/>
      </c>
      <c r="Q147" s="22" t="str">
        <f aca="false">IF($B147="","",G147*P147)</f>
        <v/>
      </c>
      <c r="R147" s="22" t="str">
        <f aca="false">IF($B147="","",O147-Q147-L147)</f>
        <v/>
      </c>
      <c r="S147" s="21" t="str">
        <f aca="false">IF(OR($B147="",N(O147)=0),"",R147/O147)</f>
        <v/>
      </c>
      <c r="T147" s="14"/>
      <c r="U147" s="19" t="n">
        <f aca="false">IF(OR($B147="",$A147=""),0,IF(COUNTIFS($A$5:$A147,$A147,$B$5:$B147,$B147)=1,1,0))</f>
        <v>0</v>
      </c>
    </row>
    <row r="148" customFormat="false" ht="15" hidden="false" customHeight="false" outlineLevel="0" collapsed="false">
      <c r="A148" s="17"/>
      <c r="B148" s="13"/>
      <c r="C148" s="20" t="str">
        <f aca="false">IF($B148="","",IFERROR(INDEX(고객사!$B$5:$B$104,MATCH($B148,고객사!$A$5:$A$104,0)),"코드 확인"))</f>
        <v/>
      </c>
      <c r="D148" s="15"/>
      <c r="E148" s="15"/>
      <c r="F148" s="16"/>
      <c r="G148" s="16"/>
      <c r="H148" s="21" t="str">
        <f aca="false">IF(OR($B148="",F148=0),"",G148/F148)</f>
        <v/>
      </c>
      <c r="I148" s="22" t="str">
        <f aca="false">IF($B148="","",MAX(F148-G148,0))</f>
        <v/>
      </c>
      <c r="J148" s="23" t="str">
        <f aca="false">IF($B148="","",IFERROR(INDEX(고객사!$G$5:$G$104,MATCH($B148,고객사!$A$5:$A$104,0)),""))</f>
        <v/>
      </c>
      <c r="K148" s="16"/>
      <c r="L148" s="22" t="str">
        <f aca="false">IF($B148="","",K148*IFERROR(INDEX(고객사!$L$5:$L$104,MATCH($B148,고객사!$A$5:$A$104,0)),0))</f>
        <v/>
      </c>
      <c r="M148" s="23" t="str">
        <f aca="false">IF($B148="","",IF(AND(J148="N",G148&gt;0,K148=0,IFERROR(INDEX(고객사!$H$5:$H$104,MATCH($B148,고객사!$A$5:$A$104,0)),"")="자사 차량 운행"),"차량 미배정",""))</f>
        <v/>
      </c>
      <c r="N148" s="22" t="str">
        <f aca="false">IF($B148="","",IFERROR(INDEX(고객사!$J$5:$J$104,MATCH($B148,고객사!$A$5:$A$104,0)),0))</f>
        <v/>
      </c>
      <c r="O148" s="22" t="str">
        <f aca="false">IF($B148="","",G148*N148)</f>
        <v/>
      </c>
      <c r="P148" s="22" t="str">
        <f aca="false">IF($B148="","",IFERROR(INDEX(고객사!$K$5:$K$104,MATCH($B148,고객사!$A$5:$A$104,0)),0))</f>
        <v/>
      </c>
      <c r="Q148" s="22" t="str">
        <f aca="false">IF($B148="","",G148*P148)</f>
        <v/>
      </c>
      <c r="R148" s="22" t="str">
        <f aca="false">IF($B148="","",O148-Q148-L148)</f>
        <v/>
      </c>
      <c r="S148" s="21" t="str">
        <f aca="false">IF(OR($B148="",N(O148)=0),"",R148/O148)</f>
        <v/>
      </c>
      <c r="T148" s="14"/>
      <c r="U148" s="19" t="n">
        <f aca="false">IF(OR($B148="",$A148=""),0,IF(COUNTIFS($A$5:$A148,$A148,$B$5:$B148,$B148)=1,1,0))</f>
        <v>0</v>
      </c>
    </row>
    <row r="149" customFormat="false" ht="15" hidden="false" customHeight="false" outlineLevel="0" collapsed="false">
      <c r="A149" s="17"/>
      <c r="B149" s="13"/>
      <c r="C149" s="20" t="str">
        <f aca="false">IF($B149="","",IFERROR(INDEX(고객사!$B$5:$B$104,MATCH($B149,고객사!$A$5:$A$104,0)),"코드 확인"))</f>
        <v/>
      </c>
      <c r="D149" s="15"/>
      <c r="E149" s="15"/>
      <c r="F149" s="16"/>
      <c r="G149" s="16"/>
      <c r="H149" s="21" t="str">
        <f aca="false">IF(OR($B149="",F149=0),"",G149/F149)</f>
        <v/>
      </c>
      <c r="I149" s="22" t="str">
        <f aca="false">IF($B149="","",MAX(F149-G149,0))</f>
        <v/>
      </c>
      <c r="J149" s="23" t="str">
        <f aca="false">IF($B149="","",IFERROR(INDEX(고객사!$G$5:$G$104,MATCH($B149,고객사!$A$5:$A$104,0)),""))</f>
        <v/>
      </c>
      <c r="K149" s="16"/>
      <c r="L149" s="22" t="str">
        <f aca="false">IF($B149="","",K149*IFERROR(INDEX(고객사!$L$5:$L$104,MATCH($B149,고객사!$A$5:$A$104,0)),0))</f>
        <v/>
      </c>
      <c r="M149" s="23" t="str">
        <f aca="false">IF($B149="","",IF(AND(J149="N",G149&gt;0,K149=0,IFERROR(INDEX(고객사!$H$5:$H$104,MATCH($B149,고객사!$A$5:$A$104,0)),"")="자사 차량 운행"),"차량 미배정",""))</f>
        <v/>
      </c>
      <c r="N149" s="22" t="str">
        <f aca="false">IF($B149="","",IFERROR(INDEX(고객사!$J$5:$J$104,MATCH($B149,고객사!$A$5:$A$104,0)),0))</f>
        <v/>
      </c>
      <c r="O149" s="22" t="str">
        <f aca="false">IF($B149="","",G149*N149)</f>
        <v/>
      </c>
      <c r="P149" s="22" t="str">
        <f aca="false">IF($B149="","",IFERROR(INDEX(고객사!$K$5:$K$104,MATCH($B149,고객사!$A$5:$A$104,0)),0))</f>
        <v/>
      </c>
      <c r="Q149" s="22" t="str">
        <f aca="false">IF($B149="","",G149*P149)</f>
        <v/>
      </c>
      <c r="R149" s="22" t="str">
        <f aca="false">IF($B149="","",O149-Q149-L149)</f>
        <v/>
      </c>
      <c r="S149" s="21" t="str">
        <f aca="false">IF(OR($B149="",N(O149)=0),"",R149/O149)</f>
        <v/>
      </c>
      <c r="T149" s="14"/>
      <c r="U149" s="19" t="n">
        <f aca="false">IF(OR($B149="",$A149=""),0,IF(COUNTIFS($A$5:$A149,$A149,$B$5:$B149,$B149)=1,1,0))</f>
        <v>0</v>
      </c>
    </row>
    <row r="150" customFormat="false" ht="15" hidden="false" customHeight="false" outlineLevel="0" collapsed="false">
      <c r="A150" s="17"/>
      <c r="B150" s="13"/>
      <c r="C150" s="20" t="str">
        <f aca="false">IF($B150="","",IFERROR(INDEX(고객사!$B$5:$B$104,MATCH($B150,고객사!$A$5:$A$104,0)),"코드 확인"))</f>
        <v/>
      </c>
      <c r="D150" s="15"/>
      <c r="E150" s="15"/>
      <c r="F150" s="16"/>
      <c r="G150" s="16"/>
      <c r="H150" s="21" t="str">
        <f aca="false">IF(OR($B150="",F150=0),"",G150/F150)</f>
        <v/>
      </c>
      <c r="I150" s="22" t="str">
        <f aca="false">IF($B150="","",MAX(F150-G150,0))</f>
        <v/>
      </c>
      <c r="J150" s="23" t="str">
        <f aca="false">IF($B150="","",IFERROR(INDEX(고객사!$G$5:$G$104,MATCH($B150,고객사!$A$5:$A$104,0)),""))</f>
        <v/>
      </c>
      <c r="K150" s="16"/>
      <c r="L150" s="22" t="str">
        <f aca="false">IF($B150="","",K150*IFERROR(INDEX(고객사!$L$5:$L$104,MATCH($B150,고객사!$A$5:$A$104,0)),0))</f>
        <v/>
      </c>
      <c r="M150" s="23" t="str">
        <f aca="false">IF($B150="","",IF(AND(J150="N",G150&gt;0,K150=0,IFERROR(INDEX(고객사!$H$5:$H$104,MATCH($B150,고객사!$A$5:$A$104,0)),"")="자사 차량 운행"),"차량 미배정",""))</f>
        <v/>
      </c>
      <c r="N150" s="22" t="str">
        <f aca="false">IF($B150="","",IFERROR(INDEX(고객사!$J$5:$J$104,MATCH($B150,고객사!$A$5:$A$104,0)),0))</f>
        <v/>
      </c>
      <c r="O150" s="22" t="str">
        <f aca="false">IF($B150="","",G150*N150)</f>
        <v/>
      </c>
      <c r="P150" s="22" t="str">
        <f aca="false">IF($B150="","",IFERROR(INDEX(고객사!$K$5:$K$104,MATCH($B150,고객사!$A$5:$A$104,0)),0))</f>
        <v/>
      </c>
      <c r="Q150" s="22" t="str">
        <f aca="false">IF($B150="","",G150*P150)</f>
        <v/>
      </c>
      <c r="R150" s="22" t="str">
        <f aca="false">IF($B150="","",O150-Q150-L150)</f>
        <v/>
      </c>
      <c r="S150" s="21" t="str">
        <f aca="false">IF(OR($B150="",N(O150)=0),"",R150/O150)</f>
        <v/>
      </c>
      <c r="T150" s="14"/>
      <c r="U150" s="19" t="n">
        <f aca="false">IF(OR($B150="",$A150=""),0,IF(COUNTIFS($A$5:$A150,$A150,$B$5:$B150,$B150)=1,1,0))</f>
        <v>0</v>
      </c>
    </row>
    <row r="151" customFormat="false" ht="15" hidden="false" customHeight="false" outlineLevel="0" collapsed="false">
      <c r="A151" s="17"/>
      <c r="B151" s="13"/>
      <c r="C151" s="20" t="str">
        <f aca="false">IF($B151="","",IFERROR(INDEX(고객사!$B$5:$B$104,MATCH($B151,고객사!$A$5:$A$104,0)),"코드 확인"))</f>
        <v/>
      </c>
      <c r="D151" s="15"/>
      <c r="E151" s="15"/>
      <c r="F151" s="16"/>
      <c r="G151" s="16"/>
      <c r="H151" s="21" t="str">
        <f aca="false">IF(OR($B151="",F151=0),"",G151/F151)</f>
        <v/>
      </c>
      <c r="I151" s="22" t="str">
        <f aca="false">IF($B151="","",MAX(F151-G151,0))</f>
        <v/>
      </c>
      <c r="J151" s="23" t="str">
        <f aca="false">IF($B151="","",IFERROR(INDEX(고객사!$G$5:$G$104,MATCH($B151,고객사!$A$5:$A$104,0)),""))</f>
        <v/>
      </c>
      <c r="K151" s="16"/>
      <c r="L151" s="22" t="str">
        <f aca="false">IF($B151="","",K151*IFERROR(INDEX(고객사!$L$5:$L$104,MATCH($B151,고객사!$A$5:$A$104,0)),0))</f>
        <v/>
      </c>
      <c r="M151" s="23" t="str">
        <f aca="false">IF($B151="","",IF(AND(J151="N",G151&gt;0,K151=0,IFERROR(INDEX(고객사!$H$5:$H$104,MATCH($B151,고객사!$A$5:$A$104,0)),"")="자사 차량 운행"),"차량 미배정",""))</f>
        <v/>
      </c>
      <c r="N151" s="22" t="str">
        <f aca="false">IF($B151="","",IFERROR(INDEX(고객사!$J$5:$J$104,MATCH($B151,고객사!$A$5:$A$104,0)),0))</f>
        <v/>
      </c>
      <c r="O151" s="22" t="str">
        <f aca="false">IF($B151="","",G151*N151)</f>
        <v/>
      </c>
      <c r="P151" s="22" t="str">
        <f aca="false">IF($B151="","",IFERROR(INDEX(고객사!$K$5:$K$104,MATCH($B151,고객사!$A$5:$A$104,0)),0))</f>
        <v/>
      </c>
      <c r="Q151" s="22" t="str">
        <f aca="false">IF($B151="","",G151*P151)</f>
        <v/>
      </c>
      <c r="R151" s="22" t="str">
        <f aca="false">IF($B151="","",O151-Q151-L151)</f>
        <v/>
      </c>
      <c r="S151" s="21" t="str">
        <f aca="false">IF(OR($B151="",N(O151)=0),"",R151/O151)</f>
        <v/>
      </c>
      <c r="T151" s="14"/>
      <c r="U151" s="19" t="n">
        <f aca="false">IF(OR($B151="",$A151=""),0,IF(COUNTIFS($A$5:$A151,$A151,$B$5:$B151,$B151)=1,1,0))</f>
        <v>0</v>
      </c>
    </row>
    <row r="152" customFormat="false" ht="15" hidden="false" customHeight="false" outlineLevel="0" collapsed="false">
      <c r="A152" s="17"/>
      <c r="B152" s="13"/>
      <c r="C152" s="20" t="str">
        <f aca="false">IF($B152="","",IFERROR(INDEX(고객사!$B$5:$B$104,MATCH($B152,고객사!$A$5:$A$104,0)),"코드 확인"))</f>
        <v/>
      </c>
      <c r="D152" s="15"/>
      <c r="E152" s="15"/>
      <c r="F152" s="16"/>
      <c r="G152" s="16"/>
      <c r="H152" s="21" t="str">
        <f aca="false">IF(OR($B152="",F152=0),"",G152/F152)</f>
        <v/>
      </c>
      <c r="I152" s="22" t="str">
        <f aca="false">IF($B152="","",MAX(F152-G152,0))</f>
        <v/>
      </c>
      <c r="J152" s="23" t="str">
        <f aca="false">IF($B152="","",IFERROR(INDEX(고객사!$G$5:$G$104,MATCH($B152,고객사!$A$5:$A$104,0)),""))</f>
        <v/>
      </c>
      <c r="K152" s="16"/>
      <c r="L152" s="22" t="str">
        <f aca="false">IF($B152="","",K152*IFERROR(INDEX(고객사!$L$5:$L$104,MATCH($B152,고객사!$A$5:$A$104,0)),0))</f>
        <v/>
      </c>
      <c r="M152" s="23" t="str">
        <f aca="false">IF($B152="","",IF(AND(J152="N",G152&gt;0,K152=0,IFERROR(INDEX(고객사!$H$5:$H$104,MATCH($B152,고객사!$A$5:$A$104,0)),"")="자사 차량 운행"),"차량 미배정",""))</f>
        <v/>
      </c>
      <c r="N152" s="22" t="str">
        <f aca="false">IF($B152="","",IFERROR(INDEX(고객사!$J$5:$J$104,MATCH($B152,고객사!$A$5:$A$104,0)),0))</f>
        <v/>
      </c>
      <c r="O152" s="22" t="str">
        <f aca="false">IF($B152="","",G152*N152)</f>
        <v/>
      </c>
      <c r="P152" s="22" t="str">
        <f aca="false">IF($B152="","",IFERROR(INDEX(고객사!$K$5:$K$104,MATCH($B152,고객사!$A$5:$A$104,0)),0))</f>
        <v/>
      </c>
      <c r="Q152" s="22" t="str">
        <f aca="false">IF($B152="","",G152*P152)</f>
        <v/>
      </c>
      <c r="R152" s="22" t="str">
        <f aca="false">IF($B152="","",O152-Q152-L152)</f>
        <v/>
      </c>
      <c r="S152" s="21" t="str">
        <f aca="false">IF(OR($B152="",N(O152)=0),"",R152/O152)</f>
        <v/>
      </c>
      <c r="T152" s="14"/>
      <c r="U152" s="19" t="n">
        <f aca="false">IF(OR($B152="",$A152=""),0,IF(COUNTIFS($A$5:$A152,$A152,$B$5:$B152,$B152)=1,1,0))</f>
        <v>0</v>
      </c>
    </row>
    <row r="153" customFormat="false" ht="15" hidden="false" customHeight="false" outlineLevel="0" collapsed="false">
      <c r="A153" s="17"/>
      <c r="B153" s="13"/>
      <c r="C153" s="20" t="str">
        <f aca="false">IF($B153="","",IFERROR(INDEX(고객사!$B$5:$B$104,MATCH($B153,고객사!$A$5:$A$104,0)),"코드 확인"))</f>
        <v/>
      </c>
      <c r="D153" s="15"/>
      <c r="E153" s="15"/>
      <c r="F153" s="16"/>
      <c r="G153" s="16"/>
      <c r="H153" s="21" t="str">
        <f aca="false">IF(OR($B153="",F153=0),"",G153/F153)</f>
        <v/>
      </c>
      <c r="I153" s="22" t="str">
        <f aca="false">IF($B153="","",MAX(F153-G153,0))</f>
        <v/>
      </c>
      <c r="J153" s="23" t="str">
        <f aca="false">IF($B153="","",IFERROR(INDEX(고객사!$G$5:$G$104,MATCH($B153,고객사!$A$5:$A$104,0)),""))</f>
        <v/>
      </c>
      <c r="K153" s="16"/>
      <c r="L153" s="22" t="str">
        <f aca="false">IF($B153="","",K153*IFERROR(INDEX(고객사!$L$5:$L$104,MATCH($B153,고객사!$A$5:$A$104,0)),0))</f>
        <v/>
      </c>
      <c r="M153" s="23" t="str">
        <f aca="false">IF($B153="","",IF(AND(J153="N",G153&gt;0,K153=0,IFERROR(INDEX(고객사!$H$5:$H$104,MATCH($B153,고객사!$A$5:$A$104,0)),"")="자사 차량 운행"),"차량 미배정",""))</f>
        <v/>
      </c>
      <c r="N153" s="22" t="str">
        <f aca="false">IF($B153="","",IFERROR(INDEX(고객사!$J$5:$J$104,MATCH($B153,고객사!$A$5:$A$104,0)),0))</f>
        <v/>
      </c>
      <c r="O153" s="22" t="str">
        <f aca="false">IF($B153="","",G153*N153)</f>
        <v/>
      </c>
      <c r="P153" s="22" t="str">
        <f aca="false">IF($B153="","",IFERROR(INDEX(고객사!$K$5:$K$104,MATCH($B153,고객사!$A$5:$A$104,0)),0))</f>
        <v/>
      </c>
      <c r="Q153" s="22" t="str">
        <f aca="false">IF($B153="","",G153*P153)</f>
        <v/>
      </c>
      <c r="R153" s="22" t="str">
        <f aca="false">IF($B153="","",O153-Q153-L153)</f>
        <v/>
      </c>
      <c r="S153" s="21" t="str">
        <f aca="false">IF(OR($B153="",N(O153)=0),"",R153/O153)</f>
        <v/>
      </c>
      <c r="T153" s="14"/>
      <c r="U153" s="19" t="n">
        <f aca="false">IF(OR($B153="",$A153=""),0,IF(COUNTIFS($A$5:$A153,$A153,$B$5:$B153,$B153)=1,1,0))</f>
        <v>0</v>
      </c>
    </row>
    <row r="154" customFormat="false" ht="15" hidden="false" customHeight="false" outlineLevel="0" collapsed="false">
      <c r="A154" s="17"/>
      <c r="B154" s="13"/>
      <c r="C154" s="20" t="str">
        <f aca="false">IF($B154="","",IFERROR(INDEX(고객사!$B$5:$B$104,MATCH($B154,고객사!$A$5:$A$104,0)),"코드 확인"))</f>
        <v/>
      </c>
      <c r="D154" s="15"/>
      <c r="E154" s="15"/>
      <c r="F154" s="16"/>
      <c r="G154" s="16"/>
      <c r="H154" s="21" t="str">
        <f aca="false">IF(OR($B154="",F154=0),"",G154/F154)</f>
        <v/>
      </c>
      <c r="I154" s="22" t="str">
        <f aca="false">IF($B154="","",MAX(F154-G154,0))</f>
        <v/>
      </c>
      <c r="J154" s="23" t="str">
        <f aca="false">IF($B154="","",IFERROR(INDEX(고객사!$G$5:$G$104,MATCH($B154,고객사!$A$5:$A$104,0)),""))</f>
        <v/>
      </c>
      <c r="K154" s="16"/>
      <c r="L154" s="22" t="str">
        <f aca="false">IF($B154="","",K154*IFERROR(INDEX(고객사!$L$5:$L$104,MATCH($B154,고객사!$A$5:$A$104,0)),0))</f>
        <v/>
      </c>
      <c r="M154" s="23" t="str">
        <f aca="false">IF($B154="","",IF(AND(J154="N",G154&gt;0,K154=0,IFERROR(INDEX(고객사!$H$5:$H$104,MATCH($B154,고객사!$A$5:$A$104,0)),"")="자사 차량 운행"),"차량 미배정",""))</f>
        <v/>
      </c>
      <c r="N154" s="22" t="str">
        <f aca="false">IF($B154="","",IFERROR(INDEX(고객사!$J$5:$J$104,MATCH($B154,고객사!$A$5:$A$104,0)),0))</f>
        <v/>
      </c>
      <c r="O154" s="22" t="str">
        <f aca="false">IF($B154="","",G154*N154)</f>
        <v/>
      </c>
      <c r="P154" s="22" t="str">
        <f aca="false">IF($B154="","",IFERROR(INDEX(고객사!$K$5:$K$104,MATCH($B154,고객사!$A$5:$A$104,0)),0))</f>
        <v/>
      </c>
      <c r="Q154" s="22" t="str">
        <f aca="false">IF($B154="","",G154*P154)</f>
        <v/>
      </c>
      <c r="R154" s="22" t="str">
        <f aca="false">IF($B154="","",O154-Q154-L154)</f>
        <v/>
      </c>
      <c r="S154" s="21" t="str">
        <f aca="false">IF(OR($B154="",N(O154)=0),"",R154/O154)</f>
        <v/>
      </c>
      <c r="T154" s="14"/>
      <c r="U154" s="19" t="n">
        <f aca="false">IF(OR($B154="",$A154=""),0,IF(COUNTIFS($A$5:$A154,$A154,$B$5:$B154,$B154)=1,1,0))</f>
        <v>0</v>
      </c>
    </row>
    <row r="155" customFormat="false" ht="15" hidden="false" customHeight="false" outlineLevel="0" collapsed="false">
      <c r="A155" s="17"/>
      <c r="B155" s="13"/>
      <c r="C155" s="20" t="str">
        <f aca="false">IF($B155="","",IFERROR(INDEX(고객사!$B$5:$B$104,MATCH($B155,고객사!$A$5:$A$104,0)),"코드 확인"))</f>
        <v/>
      </c>
      <c r="D155" s="15"/>
      <c r="E155" s="15"/>
      <c r="F155" s="16"/>
      <c r="G155" s="16"/>
      <c r="H155" s="21" t="str">
        <f aca="false">IF(OR($B155="",F155=0),"",G155/F155)</f>
        <v/>
      </c>
      <c r="I155" s="22" t="str">
        <f aca="false">IF($B155="","",MAX(F155-G155,0))</f>
        <v/>
      </c>
      <c r="J155" s="23" t="str">
        <f aca="false">IF($B155="","",IFERROR(INDEX(고객사!$G$5:$G$104,MATCH($B155,고객사!$A$5:$A$104,0)),""))</f>
        <v/>
      </c>
      <c r="K155" s="16"/>
      <c r="L155" s="22" t="str">
        <f aca="false">IF($B155="","",K155*IFERROR(INDEX(고객사!$L$5:$L$104,MATCH($B155,고객사!$A$5:$A$104,0)),0))</f>
        <v/>
      </c>
      <c r="M155" s="23" t="str">
        <f aca="false">IF($B155="","",IF(AND(J155="N",G155&gt;0,K155=0,IFERROR(INDEX(고객사!$H$5:$H$104,MATCH($B155,고객사!$A$5:$A$104,0)),"")="자사 차량 운행"),"차량 미배정",""))</f>
        <v/>
      </c>
      <c r="N155" s="22" t="str">
        <f aca="false">IF($B155="","",IFERROR(INDEX(고객사!$J$5:$J$104,MATCH($B155,고객사!$A$5:$A$104,0)),0))</f>
        <v/>
      </c>
      <c r="O155" s="22" t="str">
        <f aca="false">IF($B155="","",G155*N155)</f>
        <v/>
      </c>
      <c r="P155" s="22" t="str">
        <f aca="false">IF($B155="","",IFERROR(INDEX(고객사!$K$5:$K$104,MATCH($B155,고객사!$A$5:$A$104,0)),0))</f>
        <v/>
      </c>
      <c r="Q155" s="22" t="str">
        <f aca="false">IF($B155="","",G155*P155)</f>
        <v/>
      </c>
      <c r="R155" s="22" t="str">
        <f aca="false">IF($B155="","",O155-Q155-L155)</f>
        <v/>
      </c>
      <c r="S155" s="21" t="str">
        <f aca="false">IF(OR($B155="",N(O155)=0),"",R155/O155)</f>
        <v/>
      </c>
      <c r="T155" s="14"/>
      <c r="U155" s="19" t="n">
        <f aca="false">IF(OR($B155="",$A155=""),0,IF(COUNTIFS($A$5:$A155,$A155,$B$5:$B155,$B155)=1,1,0))</f>
        <v>0</v>
      </c>
    </row>
    <row r="156" customFormat="false" ht="15" hidden="false" customHeight="false" outlineLevel="0" collapsed="false">
      <c r="A156" s="17"/>
      <c r="B156" s="13"/>
      <c r="C156" s="20" t="str">
        <f aca="false">IF($B156="","",IFERROR(INDEX(고객사!$B$5:$B$104,MATCH($B156,고객사!$A$5:$A$104,0)),"코드 확인"))</f>
        <v/>
      </c>
      <c r="D156" s="15"/>
      <c r="E156" s="15"/>
      <c r="F156" s="16"/>
      <c r="G156" s="16"/>
      <c r="H156" s="21" t="str">
        <f aca="false">IF(OR($B156="",F156=0),"",G156/F156)</f>
        <v/>
      </c>
      <c r="I156" s="22" t="str">
        <f aca="false">IF($B156="","",MAX(F156-G156,0))</f>
        <v/>
      </c>
      <c r="J156" s="23" t="str">
        <f aca="false">IF($B156="","",IFERROR(INDEX(고객사!$G$5:$G$104,MATCH($B156,고객사!$A$5:$A$104,0)),""))</f>
        <v/>
      </c>
      <c r="K156" s="16"/>
      <c r="L156" s="22" t="str">
        <f aca="false">IF($B156="","",K156*IFERROR(INDEX(고객사!$L$5:$L$104,MATCH($B156,고객사!$A$5:$A$104,0)),0))</f>
        <v/>
      </c>
      <c r="M156" s="23" t="str">
        <f aca="false">IF($B156="","",IF(AND(J156="N",G156&gt;0,K156=0,IFERROR(INDEX(고객사!$H$5:$H$104,MATCH($B156,고객사!$A$5:$A$104,0)),"")="자사 차량 운행"),"차량 미배정",""))</f>
        <v/>
      </c>
      <c r="N156" s="22" t="str">
        <f aca="false">IF($B156="","",IFERROR(INDEX(고객사!$J$5:$J$104,MATCH($B156,고객사!$A$5:$A$104,0)),0))</f>
        <v/>
      </c>
      <c r="O156" s="22" t="str">
        <f aca="false">IF($B156="","",G156*N156)</f>
        <v/>
      </c>
      <c r="P156" s="22" t="str">
        <f aca="false">IF($B156="","",IFERROR(INDEX(고객사!$K$5:$K$104,MATCH($B156,고객사!$A$5:$A$104,0)),0))</f>
        <v/>
      </c>
      <c r="Q156" s="22" t="str">
        <f aca="false">IF($B156="","",G156*P156)</f>
        <v/>
      </c>
      <c r="R156" s="22" t="str">
        <f aca="false">IF($B156="","",O156-Q156-L156)</f>
        <v/>
      </c>
      <c r="S156" s="21" t="str">
        <f aca="false">IF(OR($B156="",N(O156)=0),"",R156/O156)</f>
        <v/>
      </c>
      <c r="T156" s="14"/>
      <c r="U156" s="19" t="n">
        <f aca="false">IF(OR($B156="",$A156=""),0,IF(COUNTIFS($A$5:$A156,$A156,$B$5:$B156,$B156)=1,1,0))</f>
        <v>0</v>
      </c>
    </row>
    <row r="157" customFormat="false" ht="15" hidden="false" customHeight="false" outlineLevel="0" collapsed="false">
      <c r="A157" s="17"/>
      <c r="B157" s="13"/>
      <c r="C157" s="20" t="str">
        <f aca="false">IF($B157="","",IFERROR(INDEX(고객사!$B$5:$B$104,MATCH($B157,고객사!$A$5:$A$104,0)),"코드 확인"))</f>
        <v/>
      </c>
      <c r="D157" s="15"/>
      <c r="E157" s="15"/>
      <c r="F157" s="16"/>
      <c r="G157" s="16"/>
      <c r="H157" s="21" t="str">
        <f aca="false">IF(OR($B157="",F157=0),"",G157/F157)</f>
        <v/>
      </c>
      <c r="I157" s="22" t="str">
        <f aca="false">IF($B157="","",MAX(F157-G157,0))</f>
        <v/>
      </c>
      <c r="J157" s="23" t="str">
        <f aca="false">IF($B157="","",IFERROR(INDEX(고객사!$G$5:$G$104,MATCH($B157,고객사!$A$5:$A$104,0)),""))</f>
        <v/>
      </c>
      <c r="K157" s="16"/>
      <c r="L157" s="22" t="str">
        <f aca="false">IF($B157="","",K157*IFERROR(INDEX(고객사!$L$5:$L$104,MATCH($B157,고객사!$A$5:$A$104,0)),0))</f>
        <v/>
      </c>
      <c r="M157" s="23" t="str">
        <f aca="false">IF($B157="","",IF(AND(J157="N",G157&gt;0,K157=0,IFERROR(INDEX(고객사!$H$5:$H$104,MATCH($B157,고객사!$A$5:$A$104,0)),"")="자사 차량 운행"),"차량 미배정",""))</f>
        <v/>
      </c>
      <c r="N157" s="22" t="str">
        <f aca="false">IF($B157="","",IFERROR(INDEX(고객사!$J$5:$J$104,MATCH($B157,고객사!$A$5:$A$104,0)),0))</f>
        <v/>
      </c>
      <c r="O157" s="22" t="str">
        <f aca="false">IF($B157="","",G157*N157)</f>
        <v/>
      </c>
      <c r="P157" s="22" t="str">
        <f aca="false">IF($B157="","",IFERROR(INDEX(고객사!$K$5:$K$104,MATCH($B157,고객사!$A$5:$A$104,0)),0))</f>
        <v/>
      </c>
      <c r="Q157" s="22" t="str">
        <f aca="false">IF($B157="","",G157*P157)</f>
        <v/>
      </c>
      <c r="R157" s="22" t="str">
        <f aca="false">IF($B157="","",O157-Q157-L157)</f>
        <v/>
      </c>
      <c r="S157" s="21" t="str">
        <f aca="false">IF(OR($B157="",N(O157)=0),"",R157/O157)</f>
        <v/>
      </c>
      <c r="T157" s="14"/>
      <c r="U157" s="19" t="n">
        <f aca="false">IF(OR($B157="",$A157=""),0,IF(COUNTIFS($A$5:$A157,$A157,$B$5:$B157,$B157)=1,1,0))</f>
        <v>0</v>
      </c>
    </row>
    <row r="158" customFormat="false" ht="15" hidden="false" customHeight="false" outlineLevel="0" collapsed="false">
      <c r="A158" s="17"/>
      <c r="B158" s="13"/>
      <c r="C158" s="20" t="str">
        <f aca="false">IF($B158="","",IFERROR(INDEX(고객사!$B$5:$B$104,MATCH($B158,고객사!$A$5:$A$104,0)),"코드 확인"))</f>
        <v/>
      </c>
      <c r="D158" s="15"/>
      <c r="E158" s="15"/>
      <c r="F158" s="16"/>
      <c r="G158" s="16"/>
      <c r="H158" s="21" t="str">
        <f aca="false">IF(OR($B158="",F158=0),"",G158/F158)</f>
        <v/>
      </c>
      <c r="I158" s="22" t="str">
        <f aca="false">IF($B158="","",MAX(F158-G158,0))</f>
        <v/>
      </c>
      <c r="J158" s="23" t="str">
        <f aca="false">IF($B158="","",IFERROR(INDEX(고객사!$G$5:$G$104,MATCH($B158,고객사!$A$5:$A$104,0)),""))</f>
        <v/>
      </c>
      <c r="K158" s="16"/>
      <c r="L158" s="22" t="str">
        <f aca="false">IF($B158="","",K158*IFERROR(INDEX(고객사!$L$5:$L$104,MATCH($B158,고객사!$A$5:$A$104,0)),0))</f>
        <v/>
      </c>
      <c r="M158" s="23" t="str">
        <f aca="false">IF($B158="","",IF(AND(J158="N",G158&gt;0,K158=0,IFERROR(INDEX(고객사!$H$5:$H$104,MATCH($B158,고객사!$A$5:$A$104,0)),"")="자사 차량 운행"),"차량 미배정",""))</f>
        <v/>
      </c>
      <c r="N158" s="22" t="str">
        <f aca="false">IF($B158="","",IFERROR(INDEX(고객사!$J$5:$J$104,MATCH($B158,고객사!$A$5:$A$104,0)),0))</f>
        <v/>
      </c>
      <c r="O158" s="22" t="str">
        <f aca="false">IF($B158="","",G158*N158)</f>
        <v/>
      </c>
      <c r="P158" s="22" t="str">
        <f aca="false">IF($B158="","",IFERROR(INDEX(고객사!$K$5:$K$104,MATCH($B158,고객사!$A$5:$A$104,0)),0))</f>
        <v/>
      </c>
      <c r="Q158" s="22" t="str">
        <f aca="false">IF($B158="","",G158*P158)</f>
        <v/>
      </c>
      <c r="R158" s="22" t="str">
        <f aca="false">IF($B158="","",O158-Q158-L158)</f>
        <v/>
      </c>
      <c r="S158" s="21" t="str">
        <f aca="false">IF(OR($B158="",N(O158)=0),"",R158/O158)</f>
        <v/>
      </c>
      <c r="T158" s="14"/>
      <c r="U158" s="19" t="n">
        <f aca="false">IF(OR($B158="",$A158=""),0,IF(COUNTIFS($A$5:$A158,$A158,$B$5:$B158,$B158)=1,1,0))</f>
        <v>0</v>
      </c>
    </row>
    <row r="159" customFormat="false" ht="15" hidden="false" customHeight="false" outlineLevel="0" collapsed="false">
      <c r="A159" s="17"/>
      <c r="B159" s="13"/>
      <c r="C159" s="20" t="str">
        <f aca="false">IF($B159="","",IFERROR(INDEX(고객사!$B$5:$B$104,MATCH($B159,고객사!$A$5:$A$104,0)),"코드 확인"))</f>
        <v/>
      </c>
      <c r="D159" s="15"/>
      <c r="E159" s="15"/>
      <c r="F159" s="16"/>
      <c r="G159" s="16"/>
      <c r="H159" s="21" t="str">
        <f aca="false">IF(OR($B159="",F159=0),"",G159/F159)</f>
        <v/>
      </c>
      <c r="I159" s="22" t="str">
        <f aca="false">IF($B159="","",MAX(F159-G159,0))</f>
        <v/>
      </c>
      <c r="J159" s="23" t="str">
        <f aca="false">IF($B159="","",IFERROR(INDEX(고객사!$G$5:$G$104,MATCH($B159,고객사!$A$5:$A$104,0)),""))</f>
        <v/>
      </c>
      <c r="K159" s="16"/>
      <c r="L159" s="22" t="str">
        <f aca="false">IF($B159="","",K159*IFERROR(INDEX(고객사!$L$5:$L$104,MATCH($B159,고객사!$A$5:$A$104,0)),0))</f>
        <v/>
      </c>
      <c r="M159" s="23" t="str">
        <f aca="false">IF($B159="","",IF(AND(J159="N",G159&gt;0,K159=0,IFERROR(INDEX(고객사!$H$5:$H$104,MATCH($B159,고객사!$A$5:$A$104,0)),"")="자사 차량 운행"),"차량 미배정",""))</f>
        <v/>
      </c>
      <c r="N159" s="22" t="str">
        <f aca="false">IF($B159="","",IFERROR(INDEX(고객사!$J$5:$J$104,MATCH($B159,고객사!$A$5:$A$104,0)),0))</f>
        <v/>
      </c>
      <c r="O159" s="22" t="str">
        <f aca="false">IF($B159="","",G159*N159)</f>
        <v/>
      </c>
      <c r="P159" s="22" t="str">
        <f aca="false">IF($B159="","",IFERROR(INDEX(고객사!$K$5:$K$104,MATCH($B159,고객사!$A$5:$A$104,0)),0))</f>
        <v/>
      </c>
      <c r="Q159" s="22" t="str">
        <f aca="false">IF($B159="","",G159*P159)</f>
        <v/>
      </c>
      <c r="R159" s="22" t="str">
        <f aca="false">IF($B159="","",O159-Q159-L159)</f>
        <v/>
      </c>
      <c r="S159" s="21" t="str">
        <f aca="false">IF(OR($B159="",N(O159)=0),"",R159/O159)</f>
        <v/>
      </c>
      <c r="T159" s="14"/>
      <c r="U159" s="19" t="n">
        <f aca="false">IF(OR($B159="",$A159=""),0,IF(COUNTIFS($A$5:$A159,$A159,$B$5:$B159,$B159)=1,1,0))</f>
        <v>0</v>
      </c>
    </row>
    <row r="160" customFormat="false" ht="15" hidden="false" customHeight="false" outlineLevel="0" collapsed="false">
      <c r="A160" s="17"/>
      <c r="B160" s="13"/>
      <c r="C160" s="20" t="str">
        <f aca="false">IF($B160="","",IFERROR(INDEX(고객사!$B$5:$B$104,MATCH($B160,고객사!$A$5:$A$104,0)),"코드 확인"))</f>
        <v/>
      </c>
      <c r="D160" s="15"/>
      <c r="E160" s="15"/>
      <c r="F160" s="16"/>
      <c r="G160" s="16"/>
      <c r="H160" s="21" t="str">
        <f aca="false">IF(OR($B160="",F160=0),"",G160/F160)</f>
        <v/>
      </c>
      <c r="I160" s="22" t="str">
        <f aca="false">IF($B160="","",MAX(F160-G160,0))</f>
        <v/>
      </c>
      <c r="J160" s="23" t="str">
        <f aca="false">IF($B160="","",IFERROR(INDEX(고객사!$G$5:$G$104,MATCH($B160,고객사!$A$5:$A$104,0)),""))</f>
        <v/>
      </c>
      <c r="K160" s="16"/>
      <c r="L160" s="22" t="str">
        <f aca="false">IF($B160="","",K160*IFERROR(INDEX(고객사!$L$5:$L$104,MATCH($B160,고객사!$A$5:$A$104,0)),0))</f>
        <v/>
      </c>
      <c r="M160" s="23" t="str">
        <f aca="false">IF($B160="","",IF(AND(J160="N",G160&gt;0,K160=0,IFERROR(INDEX(고객사!$H$5:$H$104,MATCH($B160,고객사!$A$5:$A$104,0)),"")="자사 차량 운행"),"차량 미배정",""))</f>
        <v/>
      </c>
      <c r="N160" s="22" t="str">
        <f aca="false">IF($B160="","",IFERROR(INDEX(고객사!$J$5:$J$104,MATCH($B160,고객사!$A$5:$A$104,0)),0))</f>
        <v/>
      </c>
      <c r="O160" s="22" t="str">
        <f aca="false">IF($B160="","",G160*N160)</f>
        <v/>
      </c>
      <c r="P160" s="22" t="str">
        <f aca="false">IF($B160="","",IFERROR(INDEX(고객사!$K$5:$K$104,MATCH($B160,고객사!$A$5:$A$104,0)),0))</f>
        <v/>
      </c>
      <c r="Q160" s="22" t="str">
        <f aca="false">IF($B160="","",G160*P160)</f>
        <v/>
      </c>
      <c r="R160" s="22" t="str">
        <f aca="false">IF($B160="","",O160-Q160-L160)</f>
        <v/>
      </c>
      <c r="S160" s="21" t="str">
        <f aca="false">IF(OR($B160="",N(O160)=0),"",R160/O160)</f>
        <v/>
      </c>
      <c r="T160" s="14"/>
      <c r="U160" s="19" t="n">
        <f aca="false">IF(OR($B160="",$A160=""),0,IF(COUNTIFS($A$5:$A160,$A160,$B$5:$B160,$B160)=1,1,0))</f>
        <v>0</v>
      </c>
    </row>
    <row r="161" customFormat="false" ht="15" hidden="false" customHeight="false" outlineLevel="0" collapsed="false">
      <c r="A161" s="17"/>
      <c r="B161" s="13"/>
      <c r="C161" s="20" t="str">
        <f aca="false">IF($B161="","",IFERROR(INDEX(고객사!$B$5:$B$104,MATCH($B161,고객사!$A$5:$A$104,0)),"코드 확인"))</f>
        <v/>
      </c>
      <c r="D161" s="15"/>
      <c r="E161" s="15"/>
      <c r="F161" s="16"/>
      <c r="G161" s="16"/>
      <c r="H161" s="21" t="str">
        <f aca="false">IF(OR($B161="",F161=0),"",G161/F161)</f>
        <v/>
      </c>
      <c r="I161" s="22" t="str">
        <f aca="false">IF($B161="","",MAX(F161-G161,0))</f>
        <v/>
      </c>
      <c r="J161" s="23" t="str">
        <f aca="false">IF($B161="","",IFERROR(INDEX(고객사!$G$5:$G$104,MATCH($B161,고객사!$A$5:$A$104,0)),""))</f>
        <v/>
      </c>
      <c r="K161" s="16"/>
      <c r="L161" s="22" t="str">
        <f aca="false">IF($B161="","",K161*IFERROR(INDEX(고객사!$L$5:$L$104,MATCH($B161,고객사!$A$5:$A$104,0)),0))</f>
        <v/>
      </c>
      <c r="M161" s="23" t="str">
        <f aca="false">IF($B161="","",IF(AND(J161="N",G161&gt;0,K161=0,IFERROR(INDEX(고객사!$H$5:$H$104,MATCH($B161,고객사!$A$5:$A$104,0)),"")="자사 차량 운행"),"차량 미배정",""))</f>
        <v/>
      </c>
      <c r="N161" s="22" t="str">
        <f aca="false">IF($B161="","",IFERROR(INDEX(고객사!$J$5:$J$104,MATCH($B161,고객사!$A$5:$A$104,0)),0))</f>
        <v/>
      </c>
      <c r="O161" s="22" t="str">
        <f aca="false">IF($B161="","",G161*N161)</f>
        <v/>
      </c>
      <c r="P161" s="22" t="str">
        <f aca="false">IF($B161="","",IFERROR(INDEX(고객사!$K$5:$K$104,MATCH($B161,고객사!$A$5:$A$104,0)),0))</f>
        <v/>
      </c>
      <c r="Q161" s="22" t="str">
        <f aca="false">IF($B161="","",G161*P161)</f>
        <v/>
      </c>
      <c r="R161" s="22" t="str">
        <f aca="false">IF($B161="","",O161-Q161-L161)</f>
        <v/>
      </c>
      <c r="S161" s="21" t="str">
        <f aca="false">IF(OR($B161="",N(O161)=0),"",R161/O161)</f>
        <v/>
      </c>
      <c r="T161" s="14"/>
      <c r="U161" s="19" t="n">
        <f aca="false">IF(OR($B161="",$A161=""),0,IF(COUNTIFS($A$5:$A161,$A161,$B$5:$B161,$B161)=1,1,0))</f>
        <v>0</v>
      </c>
    </row>
    <row r="162" customFormat="false" ht="15" hidden="false" customHeight="false" outlineLevel="0" collapsed="false">
      <c r="A162" s="17"/>
      <c r="B162" s="13"/>
      <c r="C162" s="20" t="str">
        <f aca="false">IF($B162="","",IFERROR(INDEX(고객사!$B$5:$B$104,MATCH($B162,고객사!$A$5:$A$104,0)),"코드 확인"))</f>
        <v/>
      </c>
      <c r="D162" s="15"/>
      <c r="E162" s="15"/>
      <c r="F162" s="16"/>
      <c r="G162" s="16"/>
      <c r="H162" s="21" t="str">
        <f aca="false">IF(OR($B162="",F162=0),"",G162/F162)</f>
        <v/>
      </c>
      <c r="I162" s="22" t="str">
        <f aca="false">IF($B162="","",MAX(F162-G162,0))</f>
        <v/>
      </c>
      <c r="J162" s="23" t="str">
        <f aca="false">IF($B162="","",IFERROR(INDEX(고객사!$G$5:$G$104,MATCH($B162,고객사!$A$5:$A$104,0)),""))</f>
        <v/>
      </c>
      <c r="K162" s="16"/>
      <c r="L162" s="22" t="str">
        <f aca="false">IF($B162="","",K162*IFERROR(INDEX(고객사!$L$5:$L$104,MATCH($B162,고객사!$A$5:$A$104,0)),0))</f>
        <v/>
      </c>
      <c r="M162" s="23" t="str">
        <f aca="false">IF($B162="","",IF(AND(J162="N",G162&gt;0,K162=0,IFERROR(INDEX(고객사!$H$5:$H$104,MATCH($B162,고객사!$A$5:$A$104,0)),"")="자사 차량 운행"),"차량 미배정",""))</f>
        <v/>
      </c>
      <c r="N162" s="22" t="str">
        <f aca="false">IF($B162="","",IFERROR(INDEX(고객사!$J$5:$J$104,MATCH($B162,고객사!$A$5:$A$104,0)),0))</f>
        <v/>
      </c>
      <c r="O162" s="22" t="str">
        <f aca="false">IF($B162="","",G162*N162)</f>
        <v/>
      </c>
      <c r="P162" s="22" t="str">
        <f aca="false">IF($B162="","",IFERROR(INDEX(고객사!$K$5:$K$104,MATCH($B162,고객사!$A$5:$A$104,0)),0))</f>
        <v/>
      </c>
      <c r="Q162" s="22" t="str">
        <f aca="false">IF($B162="","",G162*P162)</f>
        <v/>
      </c>
      <c r="R162" s="22" t="str">
        <f aca="false">IF($B162="","",O162-Q162-L162)</f>
        <v/>
      </c>
      <c r="S162" s="21" t="str">
        <f aca="false">IF(OR($B162="",N(O162)=0),"",R162/O162)</f>
        <v/>
      </c>
      <c r="T162" s="14"/>
      <c r="U162" s="19" t="n">
        <f aca="false">IF(OR($B162="",$A162=""),0,IF(COUNTIFS($A$5:$A162,$A162,$B$5:$B162,$B162)=1,1,0))</f>
        <v>0</v>
      </c>
    </row>
    <row r="163" customFormat="false" ht="15" hidden="false" customHeight="false" outlineLevel="0" collapsed="false">
      <c r="A163" s="17"/>
      <c r="B163" s="13"/>
      <c r="C163" s="20" t="str">
        <f aca="false">IF($B163="","",IFERROR(INDEX(고객사!$B$5:$B$104,MATCH($B163,고객사!$A$5:$A$104,0)),"코드 확인"))</f>
        <v/>
      </c>
      <c r="D163" s="15"/>
      <c r="E163" s="15"/>
      <c r="F163" s="16"/>
      <c r="G163" s="16"/>
      <c r="H163" s="21" t="str">
        <f aca="false">IF(OR($B163="",F163=0),"",G163/F163)</f>
        <v/>
      </c>
      <c r="I163" s="22" t="str">
        <f aca="false">IF($B163="","",MAX(F163-G163,0))</f>
        <v/>
      </c>
      <c r="J163" s="23" t="str">
        <f aca="false">IF($B163="","",IFERROR(INDEX(고객사!$G$5:$G$104,MATCH($B163,고객사!$A$5:$A$104,0)),""))</f>
        <v/>
      </c>
      <c r="K163" s="16"/>
      <c r="L163" s="22" t="str">
        <f aca="false">IF($B163="","",K163*IFERROR(INDEX(고객사!$L$5:$L$104,MATCH($B163,고객사!$A$5:$A$104,0)),0))</f>
        <v/>
      </c>
      <c r="M163" s="23" t="str">
        <f aca="false">IF($B163="","",IF(AND(J163="N",G163&gt;0,K163=0,IFERROR(INDEX(고객사!$H$5:$H$104,MATCH($B163,고객사!$A$5:$A$104,0)),"")="자사 차량 운행"),"차량 미배정",""))</f>
        <v/>
      </c>
      <c r="N163" s="22" t="str">
        <f aca="false">IF($B163="","",IFERROR(INDEX(고객사!$J$5:$J$104,MATCH($B163,고객사!$A$5:$A$104,0)),0))</f>
        <v/>
      </c>
      <c r="O163" s="22" t="str">
        <f aca="false">IF($B163="","",G163*N163)</f>
        <v/>
      </c>
      <c r="P163" s="22" t="str">
        <f aca="false">IF($B163="","",IFERROR(INDEX(고객사!$K$5:$K$104,MATCH($B163,고객사!$A$5:$A$104,0)),0))</f>
        <v/>
      </c>
      <c r="Q163" s="22" t="str">
        <f aca="false">IF($B163="","",G163*P163)</f>
        <v/>
      </c>
      <c r="R163" s="22" t="str">
        <f aca="false">IF($B163="","",O163-Q163-L163)</f>
        <v/>
      </c>
      <c r="S163" s="21" t="str">
        <f aca="false">IF(OR($B163="",N(O163)=0),"",R163/O163)</f>
        <v/>
      </c>
      <c r="T163" s="14"/>
      <c r="U163" s="19" t="n">
        <f aca="false">IF(OR($B163="",$A163=""),0,IF(COUNTIFS($A$5:$A163,$A163,$B$5:$B163,$B163)=1,1,0))</f>
        <v>0</v>
      </c>
    </row>
    <row r="164" customFormat="false" ht="15" hidden="false" customHeight="false" outlineLevel="0" collapsed="false">
      <c r="A164" s="17"/>
      <c r="B164" s="13"/>
      <c r="C164" s="20" t="str">
        <f aca="false">IF($B164="","",IFERROR(INDEX(고객사!$B$5:$B$104,MATCH($B164,고객사!$A$5:$A$104,0)),"코드 확인"))</f>
        <v/>
      </c>
      <c r="D164" s="15"/>
      <c r="E164" s="15"/>
      <c r="F164" s="16"/>
      <c r="G164" s="16"/>
      <c r="H164" s="21" t="str">
        <f aca="false">IF(OR($B164="",F164=0),"",G164/F164)</f>
        <v/>
      </c>
      <c r="I164" s="22" t="str">
        <f aca="false">IF($B164="","",MAX(F164-G164,0))</f>
        <v/>
      </c>
      <c r="J164" s="23" t="str">
        <f aca="false">IF($B164="","",IFERROR(INDEX(고객사!$G$5:$G$104,MATCH($B164,고객사!$A$5:$A$104,0)),""))</f>
        <v/>
      </c>
      <c r="K164" s="16"/>
      <c r="L164" s="22" t="str">
        <f aca="false">IF($B164="","",K164*IFERROR(INDEX(고객사!$L$5:$L$104,MATCH($B164,고객사!$A$5:$A$104,0)),0))</f>
        <v/>
      </c>
      <c r="M164" s="23" t="str">
        <f aca="false">IF($B164="","",IF(AND(J164="N",G164&gt;0,K164=0,IFERROR(INDEX(고객사!$H$5:$H$104,MATCH($B164,고객사!$A$5:$A$104,0)),"")="자사 차량 운행"),"차량 미배정",""))</f>
        <v/>
      </c>
      <c r="N164" s="22" t="str">
        <f aca="false">IF($B164="","",IFERROR(INDEX(고객사!$J$5:$J$104,MATCH($B164,고객사!$A$5:$A$104,0)),0))</f>
        <v/>
      </c>
      <c r="O164" s="22" t="str">
        <f aca="false">IF($B164="","",G164*N164)</f>
        <v/>
      </c>
      <c r="P164" s="22" t="str">
        <f aca="false">IF($B164="","",IFERROR(INDEX(고객사!$K$5:$K$104,MATCH($B164,고객사!$A$5:$A$104,0)),0))</f>
        <v/>
      </c>
      <c r="Q164" s="22" t="str">
        <f aca="false">IF($B164="","",G164*P164)</f>
        <v/>
      </c>
      <c r="R164" s="22" t="str">
        <f aca="false">IF($B164="","",O164-Q164-L164)</f>
        <v/>
      </c>
      <c r="S164" s="21" t="str">
        <f aca="false">IF(OR($B164="",N(O164)=0),"",R164/O164)</f>
        <v/>
      </c>
      <c r="T164" s="14"/>
      <c r="U164" s="19" t="n">
        <f aca="false">IF(OR($B164="",$A164=""),0,IF(COUNTIFS($A$5:$A164,$A164,$B$5:$B164,$B164)=1,1,0))</f>
        <v>0</v>
      </c>
    </row>
    <row r="165" customFormat="false" ht="15" hidden="false" customHeight="false" outlineLevel="0" collapsed="false">
      <c r="A165" s="17"/>
      <c r="B165" s="13"/>
      <c r="C165" s="20" t="str">
        <f aca="false">IF($B165="","",IFERROR(INDEX(고객사!$B$5:$B$104,MATCH($B165,고객사!$A$5:$A$104,0)),"코드 확인"))</f>
        <v/>
      </c>
      <c r="D165" s="15"/>
      <c r="E165" s="15"/>
      <c r="F165" s="16"/>
      <c r="G165" s="16"/>
      <c r="H165" s="21" t="str">
        <f aca="false">IF(OR($B165="",F165=0),"",G165/F165)</f>
        <v/>
      </c>
      <c r="I165" s="22" t="str">
        <f aca="false">IF($B165="","",MAX(F165-G165,0))</f>
        <v/>
      </c>
      <c r="J165" s="23" t="str">
        <f aca="false">IF($B165="","",IFERROR(INDEX(고객사!$G$5:$G$104,MATCH($B165,고객사!$A$5:$A$104,0)),""))</f>
        <v/>
      </c>
      <c r="K165" s="16"/>
      <c r="L165" s="22" t="str">
        <f aca="false">IF($B165="","",K165*IFERROR(INDEX(고객사!$L$5:$L$104,MATCH($B165,고객사!$A$5:$A$104,0)),0))</f>
        <v/>
      </c>
      <c r="M165" s="23" t="str">
        <f aca="false">IF($B165="","",IF(AND(J165="N",G165&gt;0,K165=0,IFERROR(INDEX(고객사!$H$5:$H$104,MATCH($B165,고객사!$A$5:$A$104,0)),"")="자사 차량 운행"),"차량 미배정",""))</f>
        <v/>
      </c>
      <c r="N165" s="22" t="str">
        <f aca="false">IF($B165="","",IFERROR(INDEX(고객사!$J$5:$J$104,MATCH($B165,고객사!$A$5:$A$104,0)),0))</f>
        <v/>
      </c>
      <c r="O165" s="22" t="str">
        <f aca="false">IF($B165="","",G165*N165)</f>
        <v/>
      </c>
      <c r="P165" s="22" t="str">
        <f aca="false">IF($B165="","",IFERROR(INDEX(고객사!$K$5:$K$104,MATCH($B165,고객사!$A$5:$A$104,0)),0))</f>
        <v/>
      </c>
      <c r="Q165" s="22" t="str">
        <f aca="false">IF($B165="","",G165*P165)</f>
        <v/>
      </c>
      <c r="R165" s="22" t="str">
        <f aca="false">IF($B165="","",O165-Q165-L165)</f>
        <v/>
      </c>
      <c r="S165" s="21" t="str">
        <f aca="false">IF(OR($B165="",N(O165)=0),"",R165/O165)</f>
        <v/>
      </c>
      <c r="T165" s="14"/>
      <c r="U165" s="19" t="n">
        <f aca="false">IF(OR($B165="",$A165=""),0,IF(COUNTIFS($A$5:$A165,$A165,$B$5:$B165,$B165)=1,1,0))</f>
        <v>0</v>
      </c>
    </row>
    <row r="166" customFormat="false" ht="15" hidden="false" customHeight="false" outlineLevel="0" collapsed="false">
      <c r="A166" s="17"/>
      <c r="B166" s="13"/>
      <c r="C166" s="20" t="str">
        <f aca="false">IF($B166="","",IFERROR(INDEX(고객사!$B$5:$B$104,MATCH($B166,고객사!$A$5:$A$104,0)),"코드 확인"))</f>
        <v/>
      </c>
      <c r="D166" s="15"/>
      <c r="E166" s="15"/>
      <c r="F166" s="16"/>
      <c r="G166" s="16"/>
      <c r="H166" s="21" t="str">
        <f aca="false">IF(OR($B166="",F166=0),"",G166/F166)</f>
        <v/>
      </c>
      <c r="I166" s="22" t="str">
        <f aca="false">IF($B166="","",MAX(F166-G166,0))</f>
        <v/>
      </c>
      <c r="J166" s="23" t="str">
        <f aca="false">IF($B166="","",IFERROR(INDEX(고객사!$G$5:$G$104,MATCH($B166,고객사!$A$5:$A$104,0)),""))</f>
        <v/>
      </c>
      <c r="K166" s="16"/>
      <c r="L166" s="22" t="str">
        <f aca="false">IF($B166="","",K166*IFERROR(INDEX(고객사!$L$5:$L$104,MATCH($B166,고객사!$A$5:$A$104,0)),0))</f>
        <v/>
      </c>
      <c r="M166" s="23" t="str">
        <f aca="false">IF($B166="","",IF(AND(J166="N",G166&gt;0,K166=0,IFERROR(INDEX(고객사!$H$5:$H$104,MATCH($B166,고객사!$A$5:$A$104,0)),"")="자사 차량 운행"),"차량 미배정",""))</f>
        <v/>
      </c>
      <c r="N166" s="22" t="str">
        <f aca="false">IF($B166="","",IFERROR(INDEX(고객사!$J$5:$J$104,MATCH($B166,고객사!$A$5:$A$104,0)),0))</f>
        <v/>
      </c>
      <c r="O166" s="22" t="str">
        <f aca="false">IF($B166="","",G166*N166)</f>
        <v/>
      </c>
      <c r="P166" s="22" t="str">
        <f aca="false">IF($B166="","",IFERROR(INDEX(고객사!$K$5:$K$104,MATCH($B166,고객사!$A$5:$A$104,0)),0))</f>
        <v/>
      </c>
      <c r="Q166" s="22" t="str">
        <f aca="false">IF($B166="","",G166*P166)</f>
        <v/>
      </c>
      <c r="R166" s="22" t="str">
        <f aca="false">IF($B166="","",O166-Q166-L166)</f>
        <v/>
      </c>
      <c r="S166" s="21" t="str">
        <f aca="false">IF(OR($B166="",N(O166)=0),"",R166/O166)</f>
        <v/>
      </c>
      <c r="T166" s="14"/>
      <c r="U166" s="19" t="n">
        <f aca="false">IF(OR($B166="",$A166=""),0,IF(COUNTIFS($A$5:$A166,$A166,$B$5:$B166,$B166)=1,1,0))</f>
        <v>0</v>
      </c>
    </row>
    <row r="167" customFormat="false" ht="15" hidden="false" customHeight="false" outlineLevel="0" collapsed="false">
      <c r="A167" s="17"/>
      <c r="B167" s="13"/>
      <c r="C167" s="20" t="str">
        <f aca="false">IF($B167="","",IFERROR(INDEX(고객사!$B$5:$B$104,MATCH($B167,고객사!$A$5:$A$104,0)),"코드 확인"))</f>
        <v/>
      </c>
      <c r="D167" s="15"/>
      <c r="E167" s="15"/>
      <c r="F167" s="16"/>
      <c r="G167" s="16"/>
      <c r="H167" s="21" t="str">
        <f aca="false">IF(OR($B167="",F167=0),"",G167/F167)</f>
        <v/>
      </c>
      <c r="I167" s="22" t="str">
        <f aca="false">IF($B167="","",MAX(F167-G167,0))</f>
        <v/>
      </c>
      <c r="J167" s="23" t="str">
        <f aca="false">IF($B167="","",IFERROR(INDEX(고객사!$G$5:$G$104,MATCH($B167,고객사!$A$5:$A$104,0)),""))</f>
        <v/>
      </c>
      <c r="K167" s="16"/>
      <c r="L167" s="22" t="str">
        <f aca="false">IF($B167="","",K167*IFERROR(INDEX(고객사!$L$5:$L$104,MATCH($B167,고객사!$A$5:$A$104,0)),0))</f>
        <v/>
      </c>
      <c r="M167" s="23" t="str">
        <f aca="false">IF($B167="","",IF(AND(J167="N",G167&gt;0,K167=0,IFERROR(INDEX(고객사!$H$5:$H$104,MATCH($B167,고객사!$A$5:$A$104,0)),"")="자사 차량 운행"),"차량 미배정",""))</f>
        <v/>
      </c>
      <c r="N167" s="22" t="str">
        <f aca="false">IF($B167="","",IFERROR(INDEX(고객사!$J$5:$J$104,MATCH($B167,고객사!$A$5:$A$104,0)),0))</f>
        <v/>
      </c>
      <c r="O167" s="22" t="str">
        <f aca="false">IF($B167="","",G167*N167)</f>
        <v/>
      </c>
      <c r="P167" s="22" t="str">
        <f aca="false">IF($B167="","",IFERROR(INDEX(고객사!$K$5:$K$104,MATCH($B167,고객사!$A$5:$A$104,0)),0))</f>
        <v/>
      </c>
      <c r="Q167" s="22" t="str">
        <f aca="false">IF($B167="","",G167*P167)</f>
        <v/>
      </c>
      <c r="R167" s="22" t="str">
        <f aca="false">IF($B167="","",O167-Q167-L167)</f>
        <v/>
      </c>
      <c r="S167" s="21" t="str">
        <f aca="false">IF(OR($B167="",N(O167)=0),"",R167/O167)</f>
        <v/>
      </c>
      <c r="T167" s="14"/>
      <c r="U167" s="19" t="n">
        <f aca="false">IF(OR($B167="",$A167=""),0,IF(COUNTIFS($A$5:$A167,$A167,$B$5:$B167,$B167)=1,1,0))</f>
        <v>0</v>
      </c>
    </row>
    <row r="168" customFormat="false" ht="15" hidden="false" customHeight="false" outlineLevel="0" collapsed="false">
      <c r="A168" s="17"/>
      <c r="B168" s="13"/>
      <c r="C168" s="20" t="str">
        <f aca="false">IF($B168="","",IFERROR(INDEX(고객사!$B$5:$B$104,MATCH($B168,고객사!$A$5:$A$104,0)),"코드 확인"))</f>
        <v/>
      </c>
      <c r="D168" s="15"/>
      <c r="E168" s="15"/>
      <c r="F168" s="16"/>
      <c r="G168" s="16"/>
      <c r="H168" s="21" t="str">
        <f aca="false">IF(OR($B168="",F168=0),"",G168/F168)</f>
        <v/>
      </c>
      <c r="I168" s="22" t="str">
        <f aca="false">IF($B168="","",MAX(F168-G168,0))</f>
        <v/>
      </c>
      <c r="J168" s="23" t="str">
        <f aca="false">IF($B168="","",IFERROR(INDEX(고객사!$G$5:$G$104,MATCH($B168,고객사!$A$5:$A$104,0)),""))</f>
        <v/>
      </c>
      <c r="K168" s="16"/>
      <c r="L168" s="22" t="str">
        <f aca="false">IF($B168="","",K168*IFERROR(INDEX(고객사!$L$5:$L$104,MATCH($B168,고객사!$A$5:$A$104,0)),0))</f>
        <v/>
      </c>
      <c r="M168" s="23" t="str">
        <f aca="false">IF($B168="","",IF(AND(J168="N",G168&gt;0,K168=0,IFERROR(INDEX(고객사!$H$5:$H$104,MATCH($B168,고객사!$A$5:$A$104,0)),"")="자사 차량 운행"),"차량 미배정",""))</f>
        <v/>
      </c>
      <c r="N168" s="22" t="str">
        <f aca="false">IF($B168="","",IFERROR(INDEX(고객사!$J$5:$J$104,MATCH($B168,고객사!$A$5:$A$104,0)),0))</f>
        <v/>
      </c>
      <c r="O168" s="22" t="str">
        <f aca="false">IF($B168="","",G168*N168)</f>
        <v/>
      </c>
      <c r="P168" s="22" t="str">
        <f aca="false">IF($B168="","",IFERROR(INDEX(고객사!$K$5:$K$104,MATCH($B168,고객사!$A$5:$A$104,0)),0))</f>
        <v/>
      </c>
      <c r="Q168" s="22" t="str">
        <f aca="false">IF($B168="","",G168*P168)</f>
        <v/>
      </c>
      <c r="R168" s="22" t="str">
        <f aca="false">IF($B168="","",O168-Q168-L168)</f>
        <v/>
      </c>
      <c r="S168" s="21" t="str">
        <f aca="false">IF(OR($B168="",N(O168)=0),"",R168/O168)</f>
        <v/>
      </c>
      <c r="T168" s="14"/>
      <c r="U168" s="19" t="n">
        <f aca="false">IF(OR($B168="",$A168=""),0,IF(COUNTIFS($A$5:$A168,$A168,$B$5:$B168,$B168)=1,1,0))</f>
        <v>0</v>
      </c>
    </row>
    <row r="169" customFormat="false" ht="15" hidden="false" customHeight="false" outlineLevel="0" collapsed="false">
      <c r="A169" s="17"/>
      <c r="B169" s="13"/>
      <c r="C169" s="20" t="str">
        <f aca="false">IF($B169="","",IFERROR(INDEX(고객사!$B$5:$B$104,MATCH($B169,고객사!$A$5:$A$104,0)),"코드 확인"))</f>
        <v/>
      </c>
      <c r="D169" s="15"/>
      <c r="E169" s="15"/>
      <c r="F169" s="16"/>
      <c r="G169" s="16"/>
      <c r="H169" s="21" t="str">
        <f aca="false">IF(OR($B169="",F169=0),"",G169/F169)</f>
        <v/>
      </c>
      <c r="I169" s="22" t="str">
        <f aca="false">IF($B169="","",MAX(F169-G169,0))</f>
        <v/>
      </c>
      <c r="J169" s="23" t="str">
        <f aca="false">IF($B169="","",IFERROR(INDEX(고객사!$G$5:$G$104,MATCH($B169,고객사!$A$5:$A$104,0)),""))</f>
        <v/>
      </c>
      <c r="K169" s="16"/>
      <c r="L169" s="22" t="str">
        <f aca="false">IF($B169="","",K169*IFERROR(INDEX(고객사!$L$5:$L$104,MATCH($B169,고객사!$A$5:$A$104,0)),0))</f>
        <v/>
      </c>
      <c r="M169" s="23" t="str">
        <f aca="false">IF($B169="","",IF(AND(J169="N",G169&gt;0,K169=0,IFERROR(INDEX(고객사!$H$5:$H$104,MATCH($B169,고객사!$A$5:$A$104,0)),"")="자사 차량 운행"),"차량 미배정",""))</f>
        <v/>
      </c>
      <c r="N169" s="22" t="str">
        <f aca="false">IF($B169="","",IFERROR(INDEX(고객사!$J$5:$J$104,MATCH($B169,고객사!$A$5:$A$104,0)),0))</f>
        <v/>
      </c>
      <c r="O169" s="22" t="str">
        <f aca="false">IF($B169="","",G169*N169)</f>
        <v/>
      </c>
      <c r="P169" s="22" t="str">
        <f aca="false">IF($B169="","",IFERROR(INDEX(고객사!$K$5:$K$104,MATCH($B169,고객사!$A$5:$A$104,0)),0))</f>
        <v/>
      </c>
      <c r="Q169" s="22" t="str">
        <f aca="false">IF($B169="","",G169*P169)</f>
        <v/>
      </c>
      <c r="R169" s="22" t="str">
        <f aca="false">IF($B169="","",O169-Q169-L169)</f>
        <v/>
      </c>
      <c r="S169" s="21" t="str">
        <f aca="false">IF(OR($B169="",N(O169)=0),"",R169/O169)</f>
        <v/>
      </c>
      <c r="T169" s="14"/>
      <c r="U169" s="19" t="n">
        <f aca="false">IF(OR($B169="",$A169=""),0,IF(COUNTIFS($A$5:$A169,$A169,$B$5:$B169,$B169)=1,1,0))</f>
        <v>0</v>
      </c>
    </row>
    <row r="170" customFormat="false" ht="15" hidden="false" customHeight="false" outlineLevel="0" collapsed="false">
      <c r="A170" s="17"/>
      <c r="B170" s="13"/>
      <c r="C170" s="20" t="str">
        <f aca="false">IF($B170="","",IFERROR(INDEX(고객사!$B$5:$B$104,MATCH($B170,고객사!$A$5:$A$104,0)),"코드 확인"))</f>
        <v/>
      </c>
      <c r="D170" s="15"/>
      <c r="E170" s="15"/>
      <c r="F170" s="16"/>
      <c r="G170" s="16"/>
      <c r="H170" s="21" t="str">
        <f aca="false">IF(OR($B170="",F170=0),"",G170/F170)</f>
        <v/>
      </c>
      <c r="I170" s="22" t="str">
        <f aca="false">IF($B170="","",MAX(F170-G170,0))</f>
        <v/>
      </c>
      <c r="J170" s="23" t="str">
        <f aca="false">IF($B170="","",IFERROR(INDEX(고객사!$G$5:$G$104,MATCH($B170,고객사!$A$5:$A$104,0)),""))</f>
        <v/>
      </c>
      <c r="K170" s="16"/>
      <c r="L170" s="22" t="str">
        <f aca="false">IF($B170="","",K170*IFERROR(INDEX(고객사!$L$5:$L$104,MATCH($B170,고객사!$A$5:$A$104,0)),0))</f>
        <v/>
      </c>
      <c r="M170" s="23" t="str">
        <f aca="false">IF($B170="","",IF(AND(J170="N",G170&gt;0,K170=0,IFERROR(INDEX(고객사!$H$5:$H$104,MATCH($B170,고객사!$A$5:$A$104,0)),"")="자사 차량 운행"),"차량 미배정",""))</f>
        <v/>
      </c>
      <c r="N170" s="22" t="str">
        <f aca="false">IF($B170="","",IFERROR(INDEX(고객사!$J$5:$J$104,MATCH($B170,고객사!$A$5:$A$104,0)),0))</f>
        <v/>
      </c>
      <c r="O170" s="22" t="str">
        <f aca="false">IF($B170="","",G170*N170)</f>
        <v/>
      </c>
      <c r="P170" s="22" t="str">
        <f aca="false">IF($B170="","",IFERROR(INDEX(고객사!$K$5:$K$104,MATCH($B170,고객사!$A$5:$A$104,0)),0))</f>
        <v/>
      </c>
      <c r="Q170" s="22" t="str">
        <f aca="false">IF($B170="","",G170*P170)</f>
        <v/>
      </c>
      <c r="R170" s="22" t="str">
        <f aca="false">IF($B170="","",O170-Q170-L170)</f>
        <v/>
      </c>
      <c r="S170" s="21" t="str">
        <f aca="false">IF(OR($B170="",N(O170)=0),"",R170/O170)</f>
        <v/>
      </c>
      <c r="T170" s="14"/>
      <c r="U170" s="19" t="n">
        <f aca="false">IF(OR($B170="",$A170=""),0,IF(COUNTIFS($A$5:$A170,$A170,$B$5:$B170,$B170)=1,1,0))</f>
        <v>0</v>
      </c>
    </row>
    <row r="171" customFormat="false" ht="15" hidden="false" customHeight="false" outlineLevel="0" collapsed="false">
      <c r="A171" s="17"/>
      <c r="B171" s="13"/>
      <c r="C171" s="20" t="str">
        <f aca="false">IF($B171="","",IFERROR(INDEX(고객사!$B$5:$B$104,MATCH($B171,고객사!$A$5:$A$104,0)),"코드 확인"))</f>
        <v/>
      </c>
      <c r="D171" s="15"/>
      <c r="E171" s="15"/>
      <c r="F171" s="16"/>
      <c r="G171" s="16"/>
      <c r="H171" s="21" t="str">
        <f aca="false">IF(OR($B171="",F171=0),"",G171/F171)</f>
        <v/>
      </c>
      <c r="I171" s="22" t="str">
        <f aca="false">IF($B171="","",MAX(F171-G171,0))</f>
        <v/>
      </c>
      <c r="J171" s="23" t="str">
        <f aca="false">IF($B171="","",IFERROR(INDEX(고객사!$G$5:$G$104,MATCH($B171,고객사!$A$5:$A$104,0)),""))</f>
        <v/>
      </c>
      <c r="K171" s="16"/>
      <c r="L171" s="22" t="str">
        <f aca="false">IF($B171="","",K171*IFERROR(INDEX(고객사!$L$5:$L$104,MATCH($B171,고객사!$A$5:$A$104,0)),0))</f>
        <v/>
      </c>
      <c r="M171" s="23" t="str">
        <f aca="false">IF($B171="","",IF(AND(J171="N",G171&gt;0,K171=0,IFERROR(INDEX(고객사!$H$5:$H$104,MATCH($B171,고객사!$A$5:$A$104,0)),"")="자사 차량 운행"),"차량 미배정",""))</f>
        <v/>
      </c>
      <c r="N171" s="22" t="str">
        <f aca="false">IF($B171="","",IFERROR(INDEX(고객사!$J$5:$J$104,MATCH($B171,고객사!$A$5:$A$104,0)),0))</f>
        <v/>
      </c>
      <c r="O171" s="22" t="str">
        <f aca="false">IF($B171="","",G171*N171)</f>
        <v/>
      </c>
      <c r="P171" s="22" t="str">
        <f aca="false">IF($B171="","",IFERROR(INDEX(고객사!$K$5:$K$104,MATCH($B171,고객사!$A$5:$A$104,0)),0))</f>
        <v/>
      </c>
      <c r="Q171" s="22" t="str">
        <f aca="false">IF($B171="","",G171*P171)</f>
        <v/>
      </c>
      <c r="R171" s="22" t="str">
        <f aca="false">IF($B171="","",O171-Q171-L171)</f>
        <v/>
      </c>
      <c r="S171" s="21" t="str">
        <f aca="false">IF(OR($B171="",N(O171)=0),"",R171/O171)</f>
        <v/>
      </c>
      <c r="T171" s="14"/>
      <c r="U171" s="19" t="n">
        <f aca="false">IF(OR($B171="",$A171=""),0,IF(COUNTIFS($A$5:$A171,$A171,$B$5:$B171,$B171)=1,1,0))</f>
        <v>0</v>
      </c>
    </row>
    <row r="172" customFormat="false" ht="15" hidden="false" customHeight="false" outlineLevel="0" collapsed="false">
      <c r="A172" s="17"/>
      <c r="B172" s="13"/>
      <c r="C172" s="20" t="str">
        <f aca="false">IF($B172="","",IFERROR(INDEX(고객사!$B$5:$B$104,MATCH($B172,고객사!$A$5:$A$104,0)),"코드 확인"))</f>
        <v/>
      </c>
      <c r="D172" s="15"/>
      <c r="E172" s="15"/>
      <c r="F172" s="16"/>
      <c r="G172" s="16"/>
      <c r="H172" s="21" t="str">
        <f aca="false">IF(OR($B172="",F172=0),"",G172/F172)</f>
        <v/>
      </c>
      <c r="I172" s="22" t="str">
        <f aca="false">IF($B172="","",MAX(F172-G172,0))</f>
        <v/>
      </c>
      <c r="J172" s="23" t="str">
        <f aca="false">IF($B172="","",IFERROR(INDEX(고객사!$G$5:$G$104,MATCH($B172,고객사!$A$5:$A$104,0)),""))</f>
        <v/>
      </c>
      <c r="K172" s="16"/>
      <c r="L172" s="22" t="str">
        <f aca="false">IF($B172="","",K172*IFERROR(INDEX(고객사!$L$5:$L$104,MATCH($B172,고객사!$A$5:$A$104,0)),0))</f>
        <v/>
      </c>
      <c r="M172" s="23" t="str">
        <f aca="false">IF($B172="","",IF(AND(J172="N",G172&gt;0,K172=0,IFERROR(INDEX(고객사!$H$5:$H$104,MATCH($B172,고객사!$A$5:$A$104,0)),"")="자사 차량 운행"),"차량 미배정",""))</f>
        <v/>
      </c>
      <c r="N172" s="22" t="str">
        <f aca="false">IF($B172="","",IFERROR(INDEX(고객사!$J$5:$J$104,MATCH($B172,고객사!$A$5:$A$104,0)),0))</f>
        <v/>
      </c>
      <c r="O172" s="22" t="str">
        <f aca="false">IF($B172="","",G172*N172)</f>
        <v/>
      </c>
      <c r="P172" s="22" t="str">
        <f aca="false">IF($B172="","",IFERROR(INDEX(고객사!$K$5:$K$104,MATCH($B172,고객사!$A$5:$A$104,0)),0))</f>
        <v/>
      </c>
      <c r="Q172" s="22" t="str">
        <f aca="false">IF($B172="","",G172*P172)</f>
        <v/>
      </c>
      <c r="R172" s="22" t="str">
        <f aca="false">IF($B172="","",O172-Q172-L172)</f>
        <v/>
      </c>
      <c r="S172" s="21" t="str">
        <f aca="false">IF(OR($B172="",N(O172)=0),"",R172/O172)</f>
        <v/>
      </c>
      <c r="T172" s="14"/>
      <c r="U172" s="19" t="n">
        <f aca="false">IF(OR($B172="",$A172=""),0,IF(COUNTIFS($A$5:$A172,$A172,$B$5:$B172,$B172)=1,1,0))</f>
        <v>0</v>
      </c>
    </row>
    <row r="173" customFormat="false" ht="15" hidden="false" customHeight="false" outlineLevel="0" collapsed="false">
      <c r="A173" s="17"/>
      <c r="B173" s="13"/>
      <c r="C173" s="20" t="str">
        <f aca="false">IF($B173="","",IFERROR(INDEX(고객사!$B$5:$B$104,MATCH($B173,고객사!$A$5:$A$104,0)),"코드 확인"))</f>
        <v/>
      </c>
      <c r="D173" s="15"/>
      <c r="E173" s="15"/>
      <c r="F173" s="16"/>
      <c r="G173" s="16"/>
      <c r="H173" s="21" t="str">
        <f aca="false">IF(OR($B173="",F173=0),"",G173/F173)</f>
        <v/>
      </c>
      <c r="I173" s="22" t="str">
        <f aca="false">IF($B173="","",MAX(F173-G173,0))</f>
        <v/>
      </c>
      <c r="J173" s="23" t="str">
        <f aca="false">IF($B173="","",IFERROR(INDEX(고객사!$G$5:$G$104,MATCH($B173,고객사!$A$5:$A$104,0)),""))</f>
        <v/>
      </c>
      <c r="K173" s="16"/>
      <c r="L173" s="22" t="str">
        <f aca="false">IF($B173="","",K173*IFERROR(INDEX(고객사!$L$5:$L$104,MATCH($B173,고객사!$A$5:$A$104,0)),0))</f>
        <v/>
      </c>
      <c r="M173" s="23" t="str">
        <f aca="false">IF($B173="","",IF(AND(J173="N",G173&gt;0,K173=0,IFERROR(INDEX(고객사!$H$5:$H$104,MATCH($B173,고객사!$A$5:$A$104,0)),"")="자사 차량 운행"),"차량 미배정",""))</f>
        <v/>
      </c>
      <c r="N173" s="22" t="str">
        <f aca="false">IF($B173="","",IFERROR(INDEX(고객사!$J$5:$J$104,MATCH($B173,고객사!$A$5:$A$104,0)),0))</f>
        <v/>
      </c>
      <c r="O173" s="22" t="str">
        <f aca="false">IF($B173="","",G173*N173)</f>
        <v/>
      </c>
      <c r="P173" s="22" t="str">
        <f aca="false">IF($B173="","",IFERROR(INDEX(고객사!$K$5:$K$104,MATCH($B173,고객사!$A$5:$A$104,0)),0))</f>
        <v/>
      </c>
      <c r="Q173" s="22" t="str">
        <f aca="false">IF($B173="","",G173*P173)</f>
        <v/>
      </c>
      <c r="R173" s="22" t="str">
        <f aca="false">IF($B173="","",O173-Q173-L173)</f>
        <v/>
      </c>
      <c r="S173" s="21" t="str">
        <f aca="false">IF(OR($B173="",N(O173)=0),"",R173/O173)</f>
        <v/>
      </c>
      <c r="T173" s="14"/>
      <c r="U173" s="19" t="n">
        <f aca="false">IF(OR($B173="",$A173=""),0,IF(COUNTIFS($A$5:$A173,$A173,$B$5:$B173,$B173)=1,1,0))</f>
        <v>0</v>
      </c>
    </row>
    <row r="174" customFormat="false" ht="15" hidden="false" customHeight="false" outlineLevel="0" collapsed="false">
      <c r="A174" s="17"/>
      <c r="B174" s="13"/>
      <c r="C174" s="20" t="str">
        <f aca="false">IF($B174="","",IFERROR(INDEX(고객사!$B$5:$B$104,MATCH($B174,고객사!$A$5:$A$104,0)),"코드 확인"))</f>
        <v/>
      </c>
      <c r="D174" s="15"/>
      <c r="E174" s="15"/>
      <c r="F174" s="16"/>
      <c r="G174" s="16"/>
      <c r="H174" s="21" t="str">
        <f aca="false">IF(OR($B174="",F174=0),"",G174/F174)</f>
        <v/>
      </c>
      <c r="I174" s="22" t="str">
        <f aca="false">IF($B174="","",MAX(F174-G174,0))</f>
        <v/>
      </c>
      <c r="J174" s="23" t="str">
        <f aca="false">IF($B174="","",IFERROR(INDEX(고객사!$G$5:$G$104,MATCH($B174,고객사!$A$5:$A$104,0)),""))</f>
        <v/>
      </c>
      <c r="K174" s="16"/>
      <c r="L174" s="22" t="str">
        <f aca="false">IF($B174="","",K174*IFERROR(INDEX(고객사!$L$5:$L$104,MATCH($B174,고객사!$A$5:$A$104,0)),0))</f>
        <v/>
      </c>
      <c r="M174" s="23" t="str">
        <f aca="false">IF($B174="","",IF(AND(J174="N",G174&gt;0,K174=0,IFERROR(INDEX(고객사!$H$5:$H$104,MATCH($B174,고객사!$A$5:$A$104,0)),"")="자사 차량 운행"),"차량 미배정",""))</f>
        <v/>
      </c>
      <c r="N174" s="22" t="str">
        <f aca="false">IF($B174="","",IFERROR(INDEX(고객사!$J$5:$J$104,MATCH($B174,고객사!$A$5:$A$104,0)),0))</f>
        <v/>
      </c>
      <c r="O174" s="22" t="str">
        <f aca="false">IF($B174="","",G174*N174)</f>
        <v/>
      </c>
      <c r="P174" s="22" t="str">
        <f aca="false">IF($B174="","",IFERROR(INDEX(고객사!$K$5:$K$104,MATCH($B174,고객사!$A$5:$A$104,0)),0))</f>
        <v/>
      </c>
      <c r="Q174" s="22" t="str">
        <f aca="false">IF($B174="","",G174*P174)</f>
        <v/>
      </c>
      <c r="R174" s="22" t="str">
        <f aca="false">IF($B174="","",O174-Q174-L174)</f>
        <v/>
      </c>
      <c r="S174" s="21" t="str">
        <f aca="false">IF(OR($B174="",N(O174)=0),"",R174/O174)</f>
        <v/>
      </c>
      <c r="T174" s="14"/>
      <c r="U174" s="19" t="n">
        <f aca="false">IF(OR($B174="",$A174=""),0,IF(COUNTIFS($A$5:$A174,$A174,$B$5:$B174,$B174)=1,1,0))</f>
        <v>0</v>
      </c>
    </row>
    <row r="175" customFormat="false" ht="15" hidden="false" customHeight="false" outlineLevel="0" collapsed="false">
      <c r="A175" s="17"/>
      <c r="B175" s="13"/>
      <c r="C175" s="20" t="str">
        <f aca="false">IF($B175="","",IFERROR(INDEX(고객사!$B$5:$B$104,MATCH($B175,고객사!$A$5:$A$104,0)),"코드 확인"))</f>
        <v/>
      </c>
      <c r="D175" s="15"/>
      <c r="E175" s="15"/>
      <c r="F175" s="16"/>
      <c r="G175" s="16"/>
      <c r="H175" s="21" t="str">
        <f aca="false">IF(OR($B175="",F175=0),"",G175/F175)</f>
        <v/>
      </c>
      <c r="I175" s="22" t="str">
        <f aca="false">IF($B175="","",MAX(F175-G175,0))</f>
        <v/>
      </c>
      <c r="J175" s="23" t="str">
        <f aca="false">IF($B175="","",IFERROR(INDEX(고객사!$G$5:$G$104,MATCH($B175,고객사!$A$5:$A$104,0)),""))</f>
        <v/>
      </c>
      <c r="K175" s="16"/>
      <c r="L175" s="22" t="str">
        <f aca="false">IF($B175="","",K175*IFERROR(INDEX(고객사!$L$5:$L$104,MATCH($B175,고객사!$A$5:$A$104,0)),0))</f>
        <v/>
      </c>
      <c r="M175" s="23" t="str">
        <f aca="false">IF($B175="","",IF(AND(J175="N",G175&gt;0,K175=0,IFERROR(INDEX(고객사!$H$5:$H$104,MATCH($B175,고객사!$A$5:$A$104,0)),"")="자사 차량 운행"),"차량 미배정",""))</f>
        <v/>
      </c>
      <c r="N175" s="22" t="str">
        <f aca="false">IF($B175="","",IFERROR(INDEX(고객사!$J$5:$J$104,MATCH($B175,고객사!$A$5:$A$104,0)),0))</f>
        <v/>
      </c>
      <c r="O175" s="22" t="str">
        <f aca="false">IF($B175="","",G175*N175)</f>
        <v/>
      </c>
      <c r="P175" s="22" t="str">
        <f aca="false">IF($B175="","",IFERROR(INDEX(고객사!$K$5:$K$104,MATCH($B175,고객사!$A$5:$A$104,0)),0))</f>
        <v/>
      </c>
      <c r="Q175" s="22" t="str">
        <f aca="false">IF($B175="","",G175*P175)</f>
        <v/>
      </c>
      <c r="R175" s="22" t="str">
        <f aca="false">IF($B175="","",O175-Q175-L175)</f>
        <v/>
      </c>
      <c r="S175" s="21" t="str">
        <f aca="false">IF(OR($B175="",N(O175)=0),"",R175/O175)</f>
        <v/>
      </c>
      <c r="T175" s="14"/>
      <c r="U175" s="19" t="n">
        <f aca="false">IF(OR($B175="",$A175=""),0,IF(COUNTIFS($A$5:$A175,$A175,$B$5:$B175,$B175)=1,1,0))</f>
        <v>0</v>
      </c>
    </row>
    <row r="176" customFormat="false" ht="15" hidden="false" customHeight="false" outlineLevel="0" collapsed="false">
      <c r="A176" s="17"/>
      <c r="B176" s="13"/>
      <c r="C176" s="20" t="str">
        <f aca="false">IF($B176="","",IFERROR(INDEX(고객사!$B$5:$B$104,MATCH($B176,고객사!$A$5:$A$104,0)),"코드 확인"))</f>
        <v/>
      </c>
      <c r="D176" s="15"/>
      <c r="E176" s="15"/>
      <c r="F176" s="16"/>
      <c r="G176" s="16"/>
      <c r="H176" s="21" t="str">
        <f aca="false">IF(OR($B176="",F176=0),"",G176/F176)</f>
        <v/>
      </c>
      <c r="I176" s="22" t="str">
        <f aca="false">IF($B176="","",MAX(F176-G176,0))</f>
        <v/>
      </c>
      <c r="J176" s="23" t="str">
        <f aca="false">IF($B176="","",IFERROR(INDEX(고객사!$G$5:$G$104,MATCH($B176,고객사!$A$5:$A$104,0)),""))</f>
        <v/>
      </c>
      <c r="K176" s="16"/>
      <c r="L176" s="22" t="str">
        <f aca="false">IF($B176="","",K176*IFERROR(INDEX(고객사!$L$5:$L$104,MATCH($B176,고객사!$A$5:$A$104,0)),0))</f>
        <v/>
      </c>
      <c r="M176" s="23" t="str">
        <f aca="false">IF($B176="","",IF(AND(J176="N",G176&gt;0,K176=0,IFERROR(INDEX(고객사!$H$5:$H$104,MATCH($B176,고객사!$A$5:$A$104,0)),"")="자사 차량 운행"),"차량 미배정",""))</f>
        <v/>
      </c>
      <c r="N176" s="22" t="str">
        <f aca="false">IF($B176="","",IFERROR(INDEX(고객사!$J$5:$J$104,MATCH($B176,고객사!$A$5:$A$104,0)),0))</f>
        <v/>
      </c>
      <c r="O176" s="22" t="str">
        <f aca="false">IF($B176="","",G176*N176)</f>
        <v/>
      </c>
      <c r="P176" s="22" t="str">
        <f aca="false">IF($B176="","",IFERROR(INDEX(고객사!$K$5:$K$104,MATCH($B176,고객사!$A$5:$A$104,0)),0))</f>
        <v/>
      </c>
      <c r="Q176" s="22" t="str">
        <f aca="false">IF($B176="","",G176*P176)</f>
        <v/>
      </c>
      <c r="R176" s="22" t="str">
        <f aca="false">IF($B176="","",O176-Q176-L176)</f>
        <v/>
      </c>
      <c r="S176" s="21" t="str">
        <f aca="false">IF(OR($B176="",N(O176)=0),"",R176/O176)</f>
        <v/>
      </c>
      <c r="T176" s="14"/>
      <c r="U176" s="19" t="n">
        <f aca="false">IF(OR($B176="",$A176=""),0,IF(COUNTIFS($A$5:$A176,$A176,$B$5:$B176,$B176)=1,1,0))</f>
        <v>0</v>
      </c>
    </row>
    <row r="177" customFormat="false" ht="15" hidden="false" customHeight="false" outlineLevel="0" collapsed="false">
      <c r="A177" s="17"/>
      <c r="B177" s="13"/>
      <c r="C177" s="20" t="str">
        <f aca="false">IF($B177="","",IFERROR(INDEX(고객사!$B$5:$B$104,MATCH($B177,고객사!$A$5:$A$104,0)),"코드 확인"))</f>
        <v/>
      </c>
      <c r="D177" s="15"/>
      <c r="E177" s="15"/>
      <c r="F177" s="16"/>
      <c r="G177" s="16"/>
      <c r="H177" s="21" t="str">
        <f aca="false">IF(OR($B177="",F177=0),"",G177/F177)</f>
        <v/>
      </c>
      <c r="I177" s="22" t="str">
        <f aca="false">IF($B177="","",MAX(F177-G177,0))</f>
        <v/>
      </c>
      <c r="J177" s="23" t="str">
        <f aca="false">IF($B177="","",IFERROR(INDEX(고객사!$G$5:$G$104,MATCH($B177,고객사!$A$5:$A$104,0)),""))</f>
        <v/>
      </c>
      <c r="K177" s="16"/>
      <c r="L177" s="22" t="str">
        <f aca="false">IF($B177="","",K177*IFERROR(INDEX(고객사!$L$5:$L$104,MATCH($B177,고객사!$A$5:$A$104,0)),0))</f>
        <v/>
      </c>
      <c r="M177" s="23" t="str">
        <f aca="false">IF($B177="","",IF(AND(J177="N",G177&gt;0,K177=0,IFERROR(INDEX(고객사!$H$5:$H$104,MATCH($B177,고객사!$A$5:$A$104,0)),"")="자사 차량 운행"),"차량 미배정",""))</f>
        <v/>
      </c>
      <c r="N177" s="22" t="str">
        <f aca="false">IF($B177="","",IFERROR(INDEX(고객사!$J$5:$J$104,MATCH($B177,고객사!$A$5:$A$104,0)),0))</f>
        <v/>
      </c>
      <c r="O177" s="22" t="str">
        <f aca="false">IF($B177="","",G177*N177)</f>
        <v/>
      </c>
      <c r="P177" s="22" t="str">
        <f aca="false">IF($B177="","",IFERROR(INDEX(고객사!$K$5:$K$104,MATCH($B177,고객사!$A$5:$A$104,0)),0))</f>
        <v/>
      </c>
      <c r="Q177" s="22" t="str">
        <f aca="false">IF($B177="","",G177*P177)</f>
        <v/>
      </c>
      <c r="R177" s="22" t="str">
        <f aca="false">IF($B177="","",O177-Q177-L177)</f>
        <v/>
      </c>
      <c r="S177" s="21" t="str">
        <f aca="false">IF(OR($B177="",N(O177)=0),"",R177/O177)</f>
        <v/>
      </c>
      <c r="T177" s="14"/>
      <c r="U177" s="19" t="n">
        <f aca="false">IF(OR($B177="",$A177=""),0,IF(COUNTIFS($A$5:$A177,$A177,$B$5:$B177,$B177)=1,1,0))</f>
        <v>0</v>
      </c>
    </row>
    <row r="178" customFormat="false" ht="15" hidden="false" customHeight="false" outlineLevel="0" collapsed="false">
      <c r="A178" s="17"/>
      <c r="B178" s="13"/>
      <c r="C178" s="20" t="str">
        <f aca="false">IF($B178="","",IFERROR(INDEX(고객사!$B$5:$B$104,MATCH($B178,고객사!$A$5:$A$104,0)),"코드 확인"))</f>
        <v/>
      </c>
      <c r="D178" s="15"/>
      <c r="E178" s="15"/>
      <c r="F178" s="16"/>
      <c r="G178" s="16"/>
      <c r="H178" s="21" t="str">
        <f aca="false">IF(OR($B178="",F178=0),"",G178/F178)</f>
        <v/>
      </c>
      <c r="I178" s="22" t="str">
        <f aca="false">IF($B178="","",MAX(F178-G178,0))</f>
        <v/>
      </c>
      <c r="J178" s="23" t="str">
        <f aca="false">IF($B178="","",IFERROR(INDEX(고객사!$G$5:$G$104,MATCH($B178,고객사!$A$5:$A$104,0)),""))</f>
        <v/>
      </c>
      <c r="K178" s="16"/>
      <c r="L178" s="22" t="str">
        <f aca="false">IF($B178="","",K178*IFERROR(INDEX(고객사!$L$5:$L$104,MATCH($B178,고객사!$A$5:$A$104,0)),0))</f>
        <v/>
      </c>
      <c r="M178" s="23" t="str">
        <f aca="false">IF($B178="","",IF(AND(J178="N",G178&gt;0,K178=0,IFERROR(INDEX(고객사!$H$5:$H$104,MATCH($B178,고객사!$A$5:$A$104,0)),"")="자사 차량 운행"),"차량 미배정",""))</f>
        <v/>
      </c>
      <c r="N178" s="22" t="str">
        <f aca="false">IF($B178="","",IFERROR(INDEX(고객사!$J$5:$J$104,MATCH($B178,고객사!$A$5:$A$104,0)),0))</f>
        <v/>
      </c>
      <c r="O178" s="22" t="str">
        <f aca="false">IF($B178="","",G178*N178)</f>
        <v/>
      </c>
      <c r="P178" s="22" t="str">
        <f aca="false">IF($B178="","",IFERROR(INDEX(고객사!$K$5:$K$104,MATCH($B178,고객사!$A$5:$A$104,0)),0))</f>
        <v/>
      </c>
      <c r="Q178" s="22" t="str">
        <f aca="false">IF($B178="","",G178*P178)</f>
        <v/>
      </c>
      <c r="R178" s="22" t="str">
        <f aca="false">IF($B178="","",O178-Q178-L178)</f>
        <v/>
      </c>
      <c r="S178" s="21" t="str">
        <f aca="false">IF(OR($B178="",N(O178)=0),"",R178/O178)</f>
        <v/>
      </c>
      <c r="T178" s="14"/>
      <c r="U178" s="19" t="n">
        <f aca="false">IF(OR($B178="",$A178=""),0,IF(COUNTIFS($A$5:$A178,$A178,$B$5:$B178,$B178)=1,1,0))</f>
        <v>0</v>
      </c>
    </row>
    <row r="179" customFormat="false" ht="15" hidden="false" customHeight="false" outlineLevel="0" collapsed="false">
      <c r="A179" s="17"/>
      <c r="B179" s="13"/>
      <c r="C179" s="20" t="str">
        <f aca="false">IF($B179="","",IFERROR(INDEX(고객사!$B$5:$B$104,MATCH($B179,고객사!$A$5:$A$104,0)),"코드 확인"))</f>
        <v/>
      </c>
      <c r="D179" s="15"/>
      <c r="E179" s="15"/>
      <c r="F179" s="16"/>
      <c r="G179" s="16"/>
      <c r="H179" s="21" t="str">
        <f aca="false">IF(OR($B179="",F179=0),"",G179/F179)</f>
        <v/>
      </c>
      <c r="I179" s="22" t="str">
        <f aca="false">IF($B179="","",MAX(F179-G179,0))</f>
        <v/>
      </c>
      <c r="J179" s="23" t="str">
        <f aca="false">IF($B179="","",IFERROR(INDEX(고객사!$G$5:$G$104,MATCH($B179,고객사!$A$5:$A$104,0)),""))</f>
        <v/>
      </c>
      <c r="K179" s="16"/>
      <c r="L179" s="22" t="str">
        <f aca="false">IF($B179="","",K179*IFERROR(INDEX(고객사!$L$5:$L$104,MATCH($B179,고객사!$A$5:$A$104,0)),0))</f>
        <v/>
      </c>
      <c r="M179" s="23" t="str">
        <f aca="false">IF($B179="","",IF(AND(J179="N",G179&gt;0,K179=0,IFERROR(INDEX(고객사!$H$5:$H$104,MATCH($B179,고객사!$A$5:$A$104,0)),"")="자사 차량 운행"),"차량 미배정",""))</f>
        <v/>
      </c>
      <c r="N179" s="22" t="str">
        <f aca="false">IF($B179="","",IFERROR(INDEX(고객사!$J$5:$J$104,MATCH($B179,고객사!$A$5:$A$104,0)),0))</f>
        <v/>
      </c>
      <c r="O179" s="22" t="str">
        <f aca="false">IF($B179="","",G179*N179)</f>
        <v/>
      </c>
      <c r="P179" s="22" t="str">
        <f aca="false">IF($B179="","",IFERROR(INDEX(고객사!$K$5:$K$104,MATCH($B179,고객사!$A$5:$A$104,0)),0))</f>
        <v/>
      </c>
      <c r="Q179" s="22" t="str">
        <f aca="false">IF($B179="","",G179*P179)</f>
        <v/>
      </c>
      <c r="R179" s="22" t="str">
        <f aca="false">IF($B179="","",O179-Q179-L179)</f>
        <v/>
      </c>
      <c r="S179" s="21" t="str">
        <f aca="false">IF(OR($B179="",N(O179)=0),"",R179/O179)</f>
        <v/>
      </c>
      <c r="T179" s="14"/>
      <c r="U179" s="19" t="n">
        <f aca="false">IF(OR($B179="",$A179=""),0,IF(COUNTIFS($A$5:$A179,$A179,$B$5:$B179,$B179)=1,1,0))</f>
        <v>0</v>
      </c>
    </row>
    <row r="180" customFormat="false" ht="15" hidden="false" customHeight="false" outlineLevel="0" collapsed="false">
      <c r="A180" s="17"/>
      <c r="B180" s="13"/>
      <c r="C180" s="20" t="str">
        <f aca="false">IF($B180="","",IFERROR(INDEX(고객사!$B$5:$B$104,MATCH($B180,고객사!$A$5:$A$104,0)),"코드 확인"))</f>
        <v/>
      </c>
      <c r="D180" s="15"/>
      <c r="E180" s="15"/>
      <c r="F180" s="16"/>
      <c r="G180" s="16"/>
      <c r="H180" s="21" t="str">
        <f aca="false">IF(OR($B180="",F180=0),"",G180/F180)</f>
        <v/>
      </c>
      <c r="I180" s="22" t="str">
        <f aca="false">IF($B180="","",MAX(F180-G180,0))</f>
        <v/>
      </c>
      <c r="J180" s="23" t="str">
        <f aca="false">IF($B180="","",IFERROR(INDEX(고객사!$G$5:$G$104,MATCH($B180,고객사!$A$5:$A$104,0)),""))</f>
        <v/>
      </c>
      <c r="K180" s="16"/>
      <c r="L180" s="22" t="str">
        <f aca="false">IF($B180="","",K180*IFERROR(INDEX(고객사!$L$5:$L$104,MATCH($B180,고객사!$A$5:$A$104,0)),0))</f>
        <v/>
      </c>
      <c r="M180" s="23" t="str">
        <f aca="false">IF($B180="","",IF(AND(J180="N",G180&gt;0,K180=0,IFERROR(INDEX(고객사!$H$5:$H$104,MATCH($B180,고객사!$A$5:$A$104,0)),"")="자사 차량 운행"),"차량 미배정",""))</f>
        <v/>
      </c>
      <c r="N180" s="22" t="str">
        <f aca="false">IF($B180="","",IFERROR(INDEX(고객사!$J$5:$J$104,MATCH($B180,고객사!$A$5:$A$104,0)),0))</f>
        <v/>
      </c>
      <c r="O180" s="22" t="str">
        <f aca="false">IF($B180="","",G180*N180)</f>
        <v/>
      </c>
      <c r="P180" s="22" t="str">
        <f aca="false">IF($B180="","",IFERROR(INDEX(고객사!$K$5:$K$104,MATCH($B180,고객사!$A$5:$A$104,0)),0))</f>
        <v/>
      </c>
      <c r="Q180" s="22" t="str">
        <f aca="false">IF($B180="","",G180*P180)</f>
        <v/>
      </c>
      <c r="R180" s="22" t="str">
        <f aca="false">IF($B180="","",O180-Q180-L180)</f>
        <v/>
      </c>
      <c r="S180" s="21" t="str">
        <f aca="false">IF(OR($B180="",N(O180)=0),"",R180/O180)</f>
        <v/>
      </c>
      <c r="T180" s="14"/>
      <c r="U180" s="19" t="n">
        <f aca="false">IF(OR($B180="",$A180=""),0,IF(COUNTIFS($A$5:$A180,$A180,$B$5:$B180,$B180)=1,1,0))</f>
        <v>0</v>
      </c>
    </row>
    <row r="181" customFormat="false" ht="15" hidden="false" customHeight="false" outlineLevel="0" collapsed="false">
      <c r="A181" s="17"/>
      <c r="B181" s="13"/>
      <c r="C181" s="20" t="str">
        <f aca="false">IF($B181="","",IFERROR(INDEX(고객사!$B$5:$B$104,MATCH($B181,고객사!$A$5:$A$104,0)),"코드 확인"))</f>
        <v/>
      </c>
      <c r="D181" s="15"/>
      <c r="E181" s="15"/>
      <c r="F181" s="16"/>
      <c r="G181" s="16"/>
      <c r="H181" s="21" t="str">
        <f aca="false">IF(OR($B181="",F181=0),"",G181/F181)</f>
        <v/>
      </c>
      <c r="I181" s="22" t="str">
        <f aca="false">IF($B181="","",MAX(F181-G181,0))</f>
        <v/>
      </c>
      <c r="J181" s="23" t="str">
        <f aca="false">IF($B181="","",IFERROR(INDEX(고객사!$G$5:$G$104,MATCH($B181,고객사!$A$5:$A$104,0)),""))</f>
        <v/>
      </c>
      <c r="K181" s="16"/>
      <c r="L181" s="22" t="str">
        <f aca="false">IF($B181="","",K181*IFERROR(INDEX(고객사!$L$5:$L$104,MATCH($B181,고객사!$A$5:$A$104,0)),0))</f>
        <v/>
      </c>
      <c r="M181" s="23" t="str">
        <f aca="false">IF($B181="","",IF(AND(J181="N",G181&gt;0,K181=0,IFERROR(INDEX(고객사!$H$5:$H$104,MATCH($B181,고객사!$A$5:$A$104,0)),"")="자사 차량 운행"),"차량 미배정",""))</f>
        <v/>
      </c>
      <c r="N181" s="22" t="str">
        <f aca="false">IF($B181="","",IFERROR(INDEX(고객사!$J$5:$J$104,MATCH($B181,고객사!$A$5:$A$104,0)),0))</f>
        <v/>
      </c>
      <c r="O181" s="22" t="str">
        <f aca="false">IF($B181="","",G181*N181)</f>
        <v/>
      </c>
      <c r="P181" s="22" t="str">
        <f aca="false">IF($B181="","",IFERROR(INDEX(고객사!$K$5:$K$104,MATCH($B181,고객사!$A$5:$A$104,0)),0))</f>
        <v/>
      </c>
      <c r="Q181" s="22" t="str">
        <f aca="false">IF($B181="","",G181*P181)</f>
        <v/>
      </c>
      <c r="R181" s="22" t="str">
        <f aca="false">IF($B181="","",O181-Q181-L181)</f>
        <v/>
      </c>
      <c r="S181" s="21" t="str">
        <f aca="false">IF(OR($B181="",N(O181)=0),"",R181/O181)</f>
        <v/>
      </c>
      <c r="T181" s="14"/>
      <c r="U181" s="19" t="n">
        <f aca="false">IF(OR($B181="",$A181=""),0,IF(COUNTIFS($A$5:$A181,$A181,$B$5:$B181,$B181)=1,1,0))</f>
        <v>0</v>
      </c>
    </row>
    <row r="182" customFormat="false" ht="15" hidden="false" customHeight="false" outlineLevel="0" collapsed="false">
      <c r="A182" s="17"/>
      <c r="B182" s="13"/>
      <c r="C182" s="20" t="str">
        <f aca="false">IF($B182="","",IFERROR(INDEX(고객사!$B$5:$B$104,MATCH($B182,고객사!$A$5:$A$104,0)),"코드 확인"))</f>
        <v/>
      </c>
      <c r="D182" s="15"/>
      <c r="E182" s="15"/>
      <c r="F182" s="16"/>
      <c r="G182" s="16"/>
      <c r="H182" s="21" t="str">
        <f aca="false">IF(OR($B182="",F182=0),"",G182/F182)</f>
        <v/>
      </c>
      <c r="I182" s="22" t="str">
        <f aca="false">IF($B182="","",MAX(F182-G182,0))</f>
        <v/>
      </c>
      <c r="J182" s="23" t="str">
        <f aca="false">IF($B182="","",IFERROR(INDEX(고객사!$G$5:$G$104,MATCH($B182,고객사!$A$5:$A$104,0)),""))</f>
        <v/>
      </c>
      <c r="K182" s="16"/>
      <c r="L182" s="22" t="str">
        <f aca="false">IF($B182="","",K182*IFERROR(INDEX(고객사!$L$5:$L$104,MATCH($B182,고객사!$A$5:$A$104,0)),0))</f>
        <v/>
      </c>
      <c r="M182" s="23" t="str">
        <f aca="false">IF($B182="","",IF(AND(J182="N",G182&gt;0,K182=0,IFERROR(INDEX(고객사!$H$5:$H$104,MATCH($B182,고객사!$A$5:$A$104,0)),"")="자사 차량 운행"),"차량 미배정",""))</f>
        <v/>
      </c>
      <c r="N182" s="22" t="str">
        <f aca="false">IF($B182="","",IFERROR(INDEX(고객사!$J$5:$J$104,MATCH($B182,고객사!$A$5:$A$104,0)),0))</f>
        <v/>
      </c>
      <c r="O182" s="22" t="str">
        <f aca="false">IF($B182="","",G182*N182)</f>
        <v/>
      </c>
      <c r="P182" s="22" t="str">
        <f aca="false">IF($B182="","",IFERROR(INDEX(고객사!$K$5:$K$104,MATCH($B182,고객사!$A$5:$A$104,0)),0))</f>
        <v/>
      </c>
      <c r="Q182" s="22" t="str">
        <f aca="false">IF($B182="","",G182*P182)</f>
        <v/>
      </c>
      <c r="R182" s="22" t="str">
        <f aca="false">IF($B182="","",O182-Q182-L182)</f>
        <v/>
      </c>
      <c r="S182" s="21" t="str">
        <f aca="false">IF(OR($B182="",N(O182)=0),"",R182/O182)</f>
        <v/>
      </c>
      <c r="T182" s="14"/>
      <c r="U182" s="19" t="n">
        <f aca="false">IF(OR($B182="",$A182=""),0,IF(COUNTIFS($A$5:$A182,$A182,$B$5:$B182,$B182)=1,1,0))</f>
        <v>0</v>
      </c>
    </row>
    <row r="183" customFormat="false" ht="15" hidden="false" customHeight="false" outlineLevel="0" collapsed="false">
      <c r="A183" s="17"/>
      <c r="B183" s="13"/>
      <c r="C183" s="20" t="str">
        <f aca="false">IF($B183="","",IFERROR(INDEX(고객사!$B$5:$B$104,MATCH($B183,고객사!$A$5:$A$104,0)),"코드 확인"))</f>
        <v/>
      </c>
      <c r="D183" s="15"/>
      <c r="E183" s="15"/>
      <c r="F183" s="16"/>
      <c r="G183" s="16"/>
      <c r="H183" s="21" t="str">
        <f aca="false">IF(OR($B183="",F183=0),"",G183/F183)</f>
        <v/>
      </c>
      <c r="I183" s="22" t="str">
        <f aca="false">IF($B183="","",MAX(F183-G183,0))</f>
        <v/>
      </c>
      <c r="J183" s="23" t="str">
        <f aca="false">IF($B183="","",IFERROR(INDEX(고객사!$G$5:$G$104,MATCH($B183,고객사!$A$5:$A$104,0)),""))</f>
        <v/>
      </c>
      <c r="K183" s="16"/>
      <c r="L183" s="22" t="str">
        <f aca="false">IF($B183="","",K183*IFERROR(INDEX(고객사!$L$5:$L$104,MATCH($B183,고객사!$A$5:$A$104,0)),0))</f>
        <v/>
      </c>
      <c r="M183" s="23" t="str">
        <f aca="false">IF($B183="","",IF(AND(J183="N",G183&gt;0,K183=0,IFERROR(INDEX(고객사!$H$5:$H$104,MATCH($B183,고객사!$A$5:$A$104,0)),"")="자사 차량 운행"),"차량 미배정",""))</f>
        <v/>
      </c>
      <c r="N183" s="22" t="str">
        <f aca="false">IF($B183="","",IFERROR(INDEX(고객사!$J$5:$J$104,MATCH($B183,고객사!$A$5:$A$104,0)),0))</f>
        <v/>
      </c>
      <c r="O183" s="22" t="str">
        <f aca="false">IF($B183="","",G183*N183)</f>
        <v/>
      </c>
      <c r="P183" s="22" t="str">
        <f aca="false">IF($B183="","",IFERROR(INDEX(고객사!$K$5:$K$104,MATCH($B183,고객사!$A$5:$A$104,0)),0))</f>
        <v/>
      </c>
      <c r="Q183" s="22" t="str">
        <f aca="false">IF($B183="","",G183*P183)</f>
        <v/>
      </c>
      <c r="R183" s="22" t="str">
        <f aca="false">IF($B183="","",O183-Q183-L183)</f>
        <v/>
      </c>
      <c r="S183" s="21" t="str">
        <f aca="false">IF(OR($B183="",N(O183)=0),"",R183/O183)</f>
        <v/>
      </c>
      <c r="T183" s="14"/>
      <c r="U183" s="19" t="n">
        <f aca="false">IF(OR($B183="",$A183=""),0,IF(COUNTIFS($A$5:$A183,$A183,$B$5:$B183,$B183)=1,1,0))</f>
        <v>0</v>
      </c>
    </row>
    <row r="184" customFormat="false" ht="15" hidden="false" customHeight="false" outlineLevel="0" collapsed="false">
      <c r="A184" s="17"/>
      <c r="B184" s="13"/>
      <c r="C184" s="20" t="str">
        <f aca="false">IF($B184="","",IFERROR(INDEX(고객사!$B$5:$B$104,MATCH($B184,고객사!$A$5:$A$104,0)),"코드 확인"))</f>
        <v/>
      </c>
      <c r="D184" s="15"/>
      <c r="E184" s="15"/>
      <c r="F184" s="16"/>
      <c r="G184" s="16"/>
      <c r="H184" s="21" t="str">
        <f aca="false">IF(OR($B184="",F184=0),"",G184/F184)</f>
        <v/>
      </c>
      <c r="I184" s="22" t="str">
        <f aca="false">IF($B184="","",MAX(F184-G184,0))</f>
        <v/>
      </c>
      <c r="J184" s="23" t="str">
        <f aca="false">IF($B184="","",IFERROR(INDEX(고객사!$G$5:$G$104,MATCH($B184,고객사!$A$5:$A$104,0)),""))</f>
        <v/>
      </c>
      <c r="K184" s="16"/>
      <c r="L184" s="22" t="str">
        <f aca="false">IF($B184="","",K184*IFERROR(INDEX(고객사!$L$5:$L$104,MATCH($B184,고객사!$A$5:$A$104,0)),0))</f>
        <v/>
      </c>
      <c r="M184" s="23" t="str">
        <f aca="false">IF($B184="","",IF(AND(J184="N",G184&gt;0,K184=0,IFERROR(INDEX(고객사!$H$5:$H$104,MATCH($B184,고객사!$A$5:$A$104,0)),"")="자사 차량 운행"),"차량 미배정",""))</f>
        <v/>
      </c>
      <c r="N184" s="22" t="str">
        <f aca="false">IF($B184="","",IFERROR(INDEX(고객사!$J$5:$J$104,MATCH($B184,고객사!$A$5:$A$104,0)),0))</f>
        <v/>
      </c>
      <c r="O184" s="22" t="str">
        <f aca="false">IF($B184="","",G184*N184)</f>
        <v/>
      </c>
      <c r="P184" s="22" t="str">
        <f aca="false">IF($B184="","",IFERROR(INDEX(고객사!$K$5:$K$104,MATCH($B184,고객사!$A$5:$A$104,0)),0))</f>
        <v/>
      </c>
      <c r="Q184" s="22" t="str">
        <f aca="false">IF($B184="","",G184*P184)</f>
        <v/>
      </c>
      <c r="R184" s="22" t="str">
        <f aca="false">IF($B184="","",O184-Q184-L184)</f>
        <v/>
      </c>
      <c r="S184" s="21" t="str">
        <f aca="false">IF(OR($B184="",N(O184)=0),"",R184/O184)</f>
        <v/>
      </c>
      <c r="T184" s="14"/>
      <c r="U184" s="19" t="n">
        <f aca="false">IF(OR($B184="",$A184=""),0,IF(COUNTIFS($A$5:$A184,$A184,$B$5:$B184,$B184)=1,1,0))</f>
        <v>0</v>
      </c>
    </row>
    <row r="185" customFormat="false" ht="15" hidden="false" customHeight="false" outlineLevel="0" collapsed="false">
      <c r="A185" s="17"/>
      <c r="B185" s="13"/>
      <c r="C185" s="20" t="str">
        <f aca="false">IF($B185="","",IFERROR(INDEX(고객사!$B$5:$B$104,MATCH($B185,고객사!$A$5:$A$104,0)),"코드 확인"))</f>
        <v/>
      </c>
      <c r="D185" s="15"/>
      <c r="E185" s="15"/>
      <c r="F185" s="16"/>
      <c r="G185" s="16"/>
      <c r="H185" s="21" t="str">
        <f aca="false">IF(OR($B185="",F185=0),"",G185/F185)</f>
        <v/>
      </c>
      <c r="I185" s="22" t="str">
        <f aca="false">IF($B185="","",MAX(F185-G185,0))</f>
        <v/>
      </c>
      <c r="J185" s="23" t="str">
        <f aca="false">IF($B185="","",IFERROR(INDEX(고객사!$G$5:$G$104,MATCH($B185,고객사!$A$5:$A$104,0)),""))</f>
        <v/>
      </c>
      <c r="K185" s="16"/>
      <c r="L185" s="22" t="str">
        <f aca="false">IF($B185="","",K185*IFERROR(INDEX(고객사!$L$5:$L$104,MATCH($B185,고객사!$A$5:$A$104,0)),0))</f>
        <v/>
      </c>
      <c r="M185" s="23" t="str">
        <f aca="false">IF($B185="","",IF(AND(J185="N",G185&gt;0,K185=0,IFERROR(INDEX(고객사!$H$5:$H$104,MATCH($B185,고객사!$A$5:$A$104,0)),"")="자사 차량 운행"),"차량 미배정",""))</f>
        <v/>
      </c>
      <c r="N185" s="22" t="str">
        <f aca="false">IF($B185="","",IFERROR(INDEX(고객사!$J$5:$J$104,MATCH($B185,고객사!$A$5:$A$104,0)),0))</f>
        <v/>
      </c>
      <c r="O185" s="22" t="str">
        <f aca="false">IF($B185="","",G185*N185)</f>
        <v/>
      </c>
      <c r="P185" s="22" t="str">
        <f aca="false">IF($B185="","",IFERROR(INDEX(고객사!$K$5:$K$104,MATCH($B185,고객사!$A$5:$A$104,0)),0))</f>
        <v/>
      </c>
      <c r="Q185" s="22" t="str">
        <f aca="false">IF($B185="","",G185*P185)</f>
        <v/>
      </c>
      <c r="R185" s="22" t="str">
        <f aca="false">IF($B185="","",O185-Q185-L185)</f>
        <v/>
      </c>
      <c r="S185" s="21" t="str">
        <f aca="false">IF(OR($B185="",N(O185)=0),"",R185/O185)</f>
        <v/>
      </c>
      <c r="T185" s="14"/>
      <c r="U185" s="19" t="n">
        <f aca="false">IF(OR($B185="",$A185=""),0,IF(COUNTIFS($A$5:$A185,$A185,$B$5:$B185,$B185)=1,1,0))</f>
        <v>0</v>
      </c>
    </row>
    <row r="186" customFormat="false" ht="15" hidden="false" customHeight="false" outlineLevel="0" collapsed="false">
      <c r="A186" s="17"/>
      <c r="B186" s="13"/>
      <c r="C186" s="20" t="str">
        <f aca="false">IF($B186="","",IFERROR(INDEX(고객사!$B$5:$B$104,MATCH($B186,고객사!$A$5:$A$104,0)),"코드 확인"))</f>
        <v/>
      </c>
      <c r="D186" s="15"/>
      <c r="E186" s="15"/>
      <c r="F186" s="16"/>
      <c r="G186" s="16"/>
      <c r="H186" s="21" t="str">
        <f aca="false">IF(OR($B186="",F186=0),"",G186/F186)</f>
        <v/>
      </c>
      <c r="I186" s="22" t="str">
        <f aca="false">IF($B186="","",MAX(F186-G186,0))</f>
        <v/>
      </c>
      <c r="J186" s="23" t="str">
        <f aca="false">IF($B186="","",IFERROR(INDEX(고객사!$G$5:$G$104,MATCH($B186,고객사!$A$5:$A$104,0)),""))</f>
        <v/>
      </c>
      <c r="K186" s="16"/>
      <c r="L186" s="22" t="str">
        <f aca="false">IF($B186="","",K186*IFERROR(INDEX(고객사!$L$5:$L$104,MATCH($B186,고객사!$A$5:$A$104,0)),0))</f>
        <v/>
      </c>
      <c r="M186" s="23" t="str">
        <f aca="false">IF($B186="","",IF(AND(J186="N",G186&gt;0,K186=0,IFERROR(INDEX(고객사!$H$5:$H$104,MATCH($B186,고객사!$A$5:$A$104,0)),"")="자사 차량 운행"),"차량 미배정",""))</f>
        <v/>
      </c>
      <c r="N186" s="22" t="str">
        <f aca="false">IF($B186="","",IFERROR(INDEX(고객사!$J$5:$J$104,MATCH($B186,고객사!$A$5:$A$104,0)),0))</f>
        <v/>
      </c>
      <c r="O186" s="22" t="str">
        <f aca="false">IF($B186="","",G186*N186)</f>
        <v/>
      </c>
      <c r="P186" s="22" t="str">
        <f aca="false">IF($B186="","",IFERROR(INDEX(고객사!$K$5:$K$104,MATCH($B186,고객사!$A$5:$A$104,0)),0))</f>
        <v/>
      </c>
      <c r="Q186" s="22" t="str">
        <f aca="false">IF($B186="","",G186*P186)</f>
        <v/>
      </c>
      <c r="R186" s="22" t="str">
        <f aca="false">IF($B186="","",O186-Q186-L186)</f>
        <v/>
      </c>
      <c r="S186" s="21" t="str">
        <f aca="false">IF(OR($B186="",N(O186)=0),"",R186/O186)</f>
        <v/>
      </c>
      <c r="T186" s="14"/>
      <c r="U186" s="19" t="n">
        <f aca="false">IF(OR($B186="",$A186=""),0,IF(COUNTIFS($A$5:$A186,$A186,$B$5:$B186,$B186)=1,1,0))</f>
        <v>0</v>
      </c>
    </row>
    <row r="187" customFormat="false" ht="15" hidden="false" customHeight="false" outlineLevel="0" collapsed="false">
      <c r="A187" s="17"/>
      <c r="B187" s="13"/>
      <c r="C187" s="20" t="str">
        <f aca="false">IF($B187="","",IFERROR(INDEX(고객사!$B$5:$B$104,MATCH($B187,고객사!$A$5:$A$104,0)),"코드 확인"))</f>
        <v/>
      </c>
      <c r="D187" s="15"/>
      <c r="E187" s="15"/>
      <c r="F187" s="16"/>
      <c r="G187" s="16"/>
      <c r="H187" s="21" t="str">
        <f aca="false">IF(OR($B187="",F187=0),"",G187/F187)</f>
        <v/>
      </c>
      <c r="I187" s="22" t="str">
        <f aca="false">IF($B187="","",MAX(F187-G187,0))</f>
        <v/>
      </c>
      <c r="J187" s="23" t="str">
        <f aca="false">IF($B187="","",IFERROR(INDEX(고객사!$G$5:$G$104,MATCH($B187,고객사!$A$5:$A$104,0)),""))</f>
        <v/>
      </c>
      <c r="K187" s="16"/>
      <c r="L187" s="22" t="str">
        <f aca="false">IF($B187="","",K187*IFERROR(INDEX(고객사!$L$5:$L$104,MATCH($B187,고객사!$A$5:$A$104,0)),0))</f>
        <v/>
      </c>
      <c r="M187" s="23" t="str">
        <f aca="false">IF($B187="","",IF(AND(J187="N",G187&gt;0,K187=0,IFERROR(INDEX(고객사!$H$5:$H$104,MATCH($B187,고객사!$A$5:$A$104,0)),"")="자사 차량 운행"),"차량 미배정",""))</f>
        <v/>
      </c>
      <c r="N187" s="22" t="str">
        <f aca="false">IF($B187="","",IFERROR(INDEX(고객사!$J$5:$J$104,MATCH($B187,고객사!$A$5:$A$104,0)),0))</f>
        <v/>
      </c>
      <c r="O187" s="22" t="str">
        <f aca="false">IF($B187="","",G187*N187)</f>
        <v/>
      </c>
      <c r="P187" s="22" t="str">
        <f aca="false">IF($B187="","",IFERROR(INDEX(고객사!$K$5:$K$104,MATCH($B187,고객사!$A$5:$A$104,0)),0))</f>
        <v/>
      </c>
      <c r="Q187" s="22" t="str">
        <f aca="false">IF($B187="","",G187*P187)</f>
        <v/>
      </c>
      <c r="R187" s="22" t="str">
        <f aca="false">IF($B187="","",O187-Q187-L187)</f>
        <v/>
      </c>
      <c r="S187" s="21" t="str">
        <f aca="false">IF(OR($B187="",N(O187)=0),"",R187/O187)</f>
        <v/>
      </c>
      <c r="T187" s="14"/>
      <c r="U187" s="19" t="n">
        <f aca="false">IF(OR($B187="",$A187=""),0,IF(COUNTIFS($A$5:$A187,$A187,$B$5:$B187,$B187)=1,1,0))</f>
        <v>0</v>
      </c>
    </row>
    <row r="188" customFormat="false" ht="15" hidden="false" customHeight="false" outlineLevel="0" collapsed="false">
      <c r="A188" s="17"/>
      <c r="B188" s="13"/>
      <c r="C188" s="20" t="str">
        <f aca="false">IF($B188="","",IFERROR(INDEX(고객사!$B$5:$B$104,MATCH($B188,고객사!$A$5:$A$104,0)),"코드 확인"))</f>
        <v/>
      </c>
      <c r="D188" s="15"/>
      <c r="E188" s="15"/>
      <c r="F188" s="16"/>
      <c r="G188" s="16"/>
      <c r="H188" s="21" t="str">
        <f aca="false">IF(OR($B188="",F188=0),"",G188/F188)</f>
        <v/>
      </c>
      <c r="I188" s="22" t="str">
        <f aca="false">IF($B188="","",MAX(F188-G188,0))</f>
        <v/>
      </c>
      <c r="J188" s="23" t="str">
        <f aca="false">IF($B188="","",IFERROR(INDEX(고객사!$G$5:$G$104,MATCH($B188,고객사!$A$5:$A$104,0)),""))</f>
        <v/>
      </c>
      <c r="K188" s="16"/>
      <c r="L188" s="22" t="str">
        <f aca="false">IF($B188="","",K188*IFERROR(INDEX(고객사!$L$5:$L$104,MATCH($B188,고객사!$A$5:$A$104,0)),0))</f>
        <v/>
      </c>
      <c r="M188" s="23" t="str">
        <f aca="false">IF($B188="","",IF(AND(J188="N",G188&gt;0,K188=0,IFERROR(INDEX(고객사!$H$5:$H$104,MATCH($B188,고객사!$A$5:$A$104,0)),"")="자사 차량 운행"),"차량 미배정",""))</f>
        <v/>
      </c>
      <c r="N188" s="22" t="str">
        <f aca="false">IF($B188="","",IFERROR(INDEX(고객사!$J$5:$J$104,MATCH($B188,고객사!$A$5:$A$104,0)),0))</f>
        <v/>
      </c>
      <c r="O188" s="22" t="str">
        <f aca="false">IF($B188="","",G188*N188)</f>
        <v/>
      </c>
      <c r="P188" s="22" t="str">
        <f aca="false">IF($B188="","",IFERROR(INDEX(고객사!$K$5:$K$104,MATCH($B188,고객사!$A$5:$A$104,0)),0))</f>
        <v/>
      </c>
      <c r="Q188" s="22" t="str">
        <f aca="false">IF($B188="","",G188*P188)</f>
        <v/>
      </c>
      <c r="R188" s="22" t="str">
        <f aca="false">IF($B188="","",O188-Q188-L188)</f>
        <v/>
      </c>
      <c r="S188" s="21" t="str">
        <f aca="false">IF(OR($B188="",N(O188)=0),"",R188/O188)</f>
        <v/>
      </c>
      <c r="T188" s="14"/>
      <c r="U188" s="19" t="n">
        <f aca="false">IF(OR($B188="",$A188=""),0,IF(COUNTIFS($A$5:$A188,$A188,$B$5:$B188,$B188)=1,1,0))</f>
        <v>0</v>
      </c>
    </row>
    <row r="189" customFormat="false" ht="15" hidden="false" customHeight="false" outlineLevel="0" collapsed="false">
      <c r="A189" s="17"/>
      <c r="B189" s="13"/>
      <c r="C189" s="20" t="str">
        <f aca="false">IF($B189="","",IFERROR(INDEX(고객사!$B$5:$B$104,MATCH($B189,고객사!$A$5:$A$104,0)),"코드 확인"))</f>
        <v/>
      </c>
      <c r="D189" s="15"/>
      <c r="E189" s="15"/>
      <c r="F189" s="16"/>
      <c r="G189" s="16"/>
      <c r="H189" s="21" t="str">
        <f aca="false">IF(OR($B189="",F189=0),"",G189/F189)</f>
        <v/>
      </c>
      <c r="I189" s="22" t="str">
        <f aca="false">IF($B189="","",MAX(F189-G189,0))</f>
        <v/>
      </c>
      <c r="J189" s="23" t="str">
        <f aca="false">IF($B189="","",IFERROR(INDEX(고객사!$G$5:$G$104,MATCH($B189,고객사!$A$5:$A$104,0)),""))</f>
        <v/>
      </c>
      <c r="K189" s="16"/>
      <c r="L189" s="22" t="str">
        <f aca="false">IF($B189="","",K189*IFERROR(INDEX(고객사!$L$5:$L$104,MATCH($B189,고객사!$A$5:$A$104,0)),0))</f>
        <v/>
      </c>
      <c r="M189" s="23" t="str">
        <f aca="false">IF($B189="","",IF(AND(J189="N",G189&gt;0,K189=0,IFERROR(INDEX(고객사!$H$5:$H$104,MATCH($B189,고객사!$A$5:$A$104,0)),"")="자사 차량 운행"),"차량 미배정",""))</f>
        <v/>
      </c>
      <c r="N189" s="22" t="str">
        <f aca="false">IF($B189="","",IFERROR(INDEX(고객사!$J$5:$J$104,MATCH($B189,고객사!$A$5:$A$104,0)),0))</f>
        <v/>
      </c>
      <c r="O189" s="22" t="str">
        <f aca="false">IF($B189="","",G189*N189)</f>
        <v/>
      </c>
      <c r="P189" s="22" t="str">
        <f aca="false">IF($B189="","",IFERROR(INDEX(고객사!$K$5:$K$104,MATCH($B189,고객사!$A$5:$A$104,0)),0))</f>
        <v/>
      </c>
      <c r="Q189" s="22" t="str">
        <f aca="false">IF($B189="","",G189*P189)</f>
        <v/>
      </c>
      <c r="R189" s="22" t="str">
        <f aca="false">IF($B189="","",O189-Q189-L189)</f>
        <v/>
      </c>
      <c r="S189" s="21" t="str">
        <f aca="false">IF(OR($B189="",N(O189)=0),"",R189/O189)</f>
        <v/>
      </c>
      <c r="T189" s="14"/>
      <c r="U189" s="19" t="n">
        <f aca="false">IF(OR($B189="",$A189=""),0,IF(COUNTIFS($A$5:$A189,$A189,$B$5:$B189,$B189)=1,1,0))</f>
        <v>0</v>
      </c>
    </row>
    <row r="190" customFormat="false" ht="15" hidden="false" customHeight="false" outlineLevel="0" collapsed="false">
      <c r="A190" s="17"/>
      <c r="B190" s="13"/>
      <c r="C190" s="20" t="str">
        <f aca="false">IF($B190="","",IFERROR(INDEX(고객사!$B$5:$B$104,MATCH($B190,고객사!$A$5:$A$104,0)),"코드 확인"))</f>
        <v/>
      </c>
      <c r="D190" s="15"/>
      <c r="E190" s="15"/>
      <c r="F190" s="16"/>
      <c r="G190" s="16"/>
      <c r="H190" s="21" t="str">
        <f aca="false">IF(OR($B190="",F190=0),"",G190/F190)</f>
        <v/>
      </c>
      <c r="I190" s="22" t="str">
        <f aca="false">IF($B190="","",MAX(F190-G190,0))</f>
        <v/>
      </c>
      <c r="J190" s="23" t="str">
        <f aca="false">IF($B190="","",IFERROR(INDEX(고객사!$G$5:$G$104,MATCH($B190,고객사!$A$5:$A$104,0)),""))</f>
        <v/>
      </c>
      <c r="K190" s="16"/>
      <c r="L190" s="22" t="str">
        <f aca="false">IF($B190="","",K190*IFERROR(INDEX(고객사!$L$5:$L$104,MATCH($B190,고객사!$A$5:$A$104,0)),0))</f>
        <v/>
      </c>
      <c r="M190" s="23" t="str">
        <f aca="false">IF($B190="","",IF(AND(J190="N",G190&gt;0,K190=0,IFERROR(INDEX(고객사!$H$5:$H$104,MATCH($B190,고객사!$A$5:$A$104,0)),"")="자사 차량 운행"),"차량 미배정",""))</f>
        <v/>
      </c>
      <c r="N190" s="22" t="str">
        <f aca="false">IF($B190="","",IFERROR(INDEX(고객사!$J$5:$J$104,MATCH($B190,고객사!$A$5:$A$104,0)),0))</f>
        <v/>
      </c>
      <c r="O190" s="22" t="str">
        <f aca="false">IF($B190="","",G190*N190)</f>
        <v/>
      </c>
      <c r="P190" s="22" t="str">
        <f aca="false">IF($B190="","",IFERROR(INDEX(고객사!$K$5:$K$104,MATCH($B190,고객사!$A$5:$A$104,0)),0))</f>
        <v/>
      </c>
      <c r="Q190" s="22" t="str">
        <f aca="false">IF($B190="","",G190*P190)</f>
        <v/>
      </c>
      <c r="R190" s="22" t="str">
        <f aca="false">IF($B190="","",O190-Q190-L190)</f>
        <v/>
      </c>
      <c r="S190" s="21" t="str">
        <f aca="false">IF(OR($B190="",N(O190)=0),"",R190/O190)</f>
        <v/>
      </c>
      <c r="T190" s="14"/>
      <c r="U190" s="19" t="n">
        <f aca="false">IF(OR($B190="",$A190=""),0,IF(COUNTIFS($A$5:$A190,$A190,$B$5:$B190,$B190)=1,1,0))</f>
        <v>0</v>
      </c>
    </row>
    <row r="191" customFormat="false" ht="15" hidden="false" customHeight="false" outlineLevel="0" collapsed="false">
      <c r="A191" s="17"/>
      <c r="B191" s="13"/>
      <c r="C191" s="20" t="str">
        <f aca="false">IF($B191="","",IFERROR(INDEX(고객사!$B$5:$B$104,MATCH($B191,고객사!$A$5:$A$104,0)),"코드 확인"))</f>
        <v/>
      </c>
      <c r="D191" s="15"/>
      <c r="E191" s="15"/>
      <c r="F191" s="16"/>
      <c r="G191" s="16"/>
      <c r="H191" s="21" t="str">
        <f aca="false">IF(OR($B191="",F191=0),"",G191/F191)</f>
        <v/>
      </c>
      <c r="I191" s="22" t="str">
        <f aca="false">IF($B191="","",MAX(F191-G191,0))</f>
        <v/>
      </c>
      <c r="J191" s="23" t="str">
        <f aca="false">IF($B191="","",IFERROR(INDEX(고객사!$G$5:$G$104,MATCH($B191,고객사!$A$5:$A$104,0)),""))</f>
        <v/>
      </c>
      <c r="K191" s="16"/>
      <c r="L191" s="22" t="str">
        <f aca="false">IF($B191="","",K191*IFERROR(INDEX(고객사!$L$5:$L$104,MATCH($B191,고객사!$A$5:$A$104,0)),0))</f>
        <v/>
      </c>
      <c r="M191" s="23" t="str">
        <f aca="false">IF($B191="","",IF(AND(J191="N",G191&gt;0,K191=0,IFERROR(INDEX(고객사!$H$5:$H$104,MATCH($B191,고객사!$A$5:$A$104,0)),"")="자사 차량 운행"),"차량 미배정",""))</f>
        <v/>
      </c>
      <c r="N191" s="22" t="str">
        <f aca="false">IF($B191="","",IFERROR(INDEX(고객사!$J$5:$J$104,MATCH($B191,고객사!$A$5:$A$104,0)),0))</f>
        <v/>
      </c>
      <c r="O191" s="22" t="str">
        <f aca="false">IF($B191="","",G191*N191)</f>
        <v/>
      </c>
      <c r="P191" s="22" t="str">
        <f aca="false">IF($B191="","",IFERROR(INDEX(고객사!$K$5:$K$104,MATCH($B191,고객사!$A$5:$A$104,0)),0))</f>
        <v/>
      </c>
      <c r="Q191" s="22" t="str">
        <f aca="false">IF($B191="","",G191*P191)</f>
        <v/>
      </c>
      <c r="R191" s="22" t="str">
        <f aca="false">IF($B191="","",O191-Q191-L191)</f>
        <v/>
      </c>
      <c r="S191" s="21" t="str">
        <f aca="false">IF(OR($B191="",N(O191)=0),"",R191/O191)</f>
        <v/>
      </c>
      <c r="T191" s="14"/>
      <c r="U191" s="19" t="n">
        <f aca="false">IF(OR($B191="",$A191=""),0,IF(COUNTIFS($A$5:$A191,$A191,$B$5:$B191,$B191)=1,1,0))</f>
        <v>0</v>
      </c>
    </row>
    <row r="192" customFormat="false" ht="15" hidden="false" customHeight="false" outlineLevel="0" collapsed="false">
      <c r="A192" s="17"/>
      <c r="B192" s="13"/>
      <c r="C192" s="20" t="str">
        <f aca="false">IF($B192="","",IFERROR(INDEX(고객사!$B$5:$B$104,MATCH($B192,고객사!$A$5:$A$104,0)),"코드 확인"))</f>
        <v/>
      </c>
      <c r="D192" s="15"/>
      <c r="E192" s="15"/>
      <c r="F192" s="16"/>
      <c r="G192" s="16"/>
      <c r="H192" s="21" t="str">
        <f aca="false">IF(OR($B192="",F192=0),"",G192/F192)</f>
        <v/>
      </c>
      <c r="I192" s="22" t="str">
        <f aca="false">IF($B192="","",MAX(F192-G192,0))</f>
        <v/>
      </c>
      <c r="J192" s="23" t="str">
        <f aca="false">IF($B192="","",IFERROR(INDEX(고객사!$G$5:$G$104,MATCH($B192,고객사!$A$5:$A$104,0)),""))</f>
        <v/>
      </c>
      <c r="K192" s="16"/>
      <c r="L192" s="22" t="str">
        <f aca="false">IF($B192="","",K192*IFERROR(INDEX(고객사!$L$5:$L$104,MATCH($B192,고객사!$A$5:$A$104,0)),0))</f>
        <v/>
      </c>
      <c r="M192" s="23" t="str">
        <f aca="false">IF($B192="","",IF(AND(J192="N",G192&gt;0,K192=0,IFERROR(INDEX(고객사!$H$5:$H$104,MATCH($B192,고객사!$A$5:$A$104,0)),"")="자사 차량 운행"),"차량 미배정",""))</f>
        <v/>
      </c>
      <c r="N192" s="22" t="str">
        <f aca="false">IF($B192="","",IFERROR(INDEX(고객사!$J$5:$J$104,MATCH($B192,고객사!$A$5:$A$104,0)),0))</f>
        <v/>
      </c>
      <c r="O192" s="22" t="str">
        <f aca="false">IF($B192="","",G192*N192)</f>
        <v/>
      </c>
      <c r="P192" s="22" t="str">
        <f aca="false">IF($B192="","",IFERROR(INDEX(고객사!$K$5:$K$104,MATCH($B192,고객사!$A$5:$A$104,0)),0))</f>
        <v/>
      </c>
      <c r="Q192" s="22" t="str">
        <f aca="false">IF($B192="","",G192*P192)</f>
        <v/>
      </c>
      <c r="R192" s="22" t="str">
        <f aca="false">IF($B192="","",O192-Q192-L192)</f>
        <v/>
      </c>
      <c r="S192" s="21" t="str">
        <f aca="false">IF(OR($B192="",N(O192)=0),"",R192/O192)</f>
        <v/>
      </c>
      <c r="T192" s="14"/>
      <c r="U192" s="19" t="n">
        <f aca="false">IF(OR($B192="",$A192=""),0,IF(COUNTIFS($A$5:$A192,$A192,$B$5:$B192,$B192)=1,1,0))</f>
        <v>0</v>
      </c>
    </row>
    <row r="193" customFormat="false" ht="15" hidden="false" customHeight="false" outlineLevel="0" collapsed="false">
      <c r="A193" s="17"/>
      <c r="B193" s="13"/>
      <c r="C193" s="20" t="str">
        <f aca="false">IF($B193="","",IFERROR(INDEX(고객사!$B$5:$B$104,MATCH($B193,고객사!$A$5:$A$104,0)),"코드 확인"))</f>
        <v/>
      </c>
      <c r="D193" s="15"/>
      <c r="E193" s="15"/>
      <c r="F193" s="16"/>
      <c r="G193" s="16"/>
      <c r="H193" s="21" t="str">
        <f aca="false">IF(OR($B193="",F193=0),"",G193/F193)</f>
        <v/>
      </c>
      <c r="I193" s="22" t="str">
        <f aca="false">IF($B193="","",MAX(F193-G193,0))</f>
        <v/>
      </c>
      <c r="J193" s="23" t="str">
        <f aca="false">IF($B193="","",IFERROR(INDEX(고객사!$G$5:$G$104,MATCH($B193,고객사!$A$5:$A$104,0)),""))</f>
        <v/>
      </c>
      <c r="K193" s="16"/>
      <c r="L193" s="22" t="str">
        <f aca="false">IF($B193="","",K193*IFERROR(INDEX(고객사!$L$5:$L$104,MATCH($B193,고객사!$A$5:$A$104,0)),0))</f>
        <v/>
      </c>
      <c r="M193" s="23" t="str">
        <f aca="false">IF($B193="","",IF(AND(J193="N",G193&gt;0,K193=0,IFERROR(INDEX(고객사!$H$5:$H$104,MATCH($B193,고객사!$A$5:$A$104,0)),"")="자사 차량 운행"),"차량 미배정",""))</f>
        <v/>
      </c>
      <c r="N193" s="22" t="str">
        <f aca="false">IF($B193="","",IFERROR(INDEX(고객사!$J$5:$J$104,MATCH($B193,고객사!$A$5:$A$104,0)),0))</f>
        <v/>
      </c>
      <c r="O193" s="22" t="str">
        <f aca="false">IF($B193="","",G193*N193)</f>
        <v/>
      </c>
      <c r="P193" s="22" t="str">
        <f aca="false">IF($B193="","",IFERROR(INDEX(고객사!$K$5:$K$104,MATCH($B193,고객사!$A$5:$A$104,0)),0))</f>
        <v/>
      </c>
      <c r="Q193" s="22" t="str">
        <f aca="false">IF($B193="","",G193*P193)</f>
        <v/>
      </c>
      <c r="R193" s="22" t="str">
        <f aca="false">IF($B193="","",O193-Q193-L193)</f>
        <v/>
      </c>
      <c r="S193" s="21" t="str">
        <f aca="false">IF(OR($B193="",N(O193)=0),"",R193/O193)</f>
        <v/>
      </c>
      <c r="T193" s="14"/>
      <c r="U193" s="19" t="n">
        <f aca="false">IF(OR($B193="",$A193=""),0,IF(COUNTIFS($A$5:$A193,$A193,$B$5:$B193,$B193)=1,1,0))</f>
        <v>0</v>
      </c>
    </row>
    <row r="194" customFormat="false" ht="15" hidden="false" customHeight="false" outlineLevel="0" collapsed="false">
      <c r="A194" s="17"/>
      <c r="B194" s="13"/>
      <c r="C194" s="20" t="str">
        <f aca="false">IF($B194="","",IFERROR(INDEX(고객사!$B$5:$B$104,MATCH($B194,고객사!$A$5:$A$104,0)),"코드 확인"))</f>
        <v/>
      </c>
      <c r="D194" s="15"/>
      <c r="E194" s="15"/>
      <c r="F194" s="16"/>
      <c r="G194" s="16"/>
      <c r="H194" s="21" t="str">
        <f aca="false">IF(OR($B194="",F194=0),"",G194/F194)</f>
        <v/>
      </c>
      <c r="I194" s="22" t="str">
        <f aca="false">IF($B194="","",MAX(F194-G194,0))</f>
        <v/>
      </c>
      <c r="J194" s="23" t="str">
        <f aca="false">IF($B194="","",IFERROR(INDEX(고객사!$G$5:$G$104,MATCH($B194,고객사!$A$5:$A$104,0)),""))</f>
        <v/>
      </c>
      <c r="K194" s="16"/>
      <c r="L194" s="22" t="str">
        <f aca="false">IF($B194="","",K194*IFERROR(INDEX(고객사!$L$5:$L$104,MATCH($B194,고객사!$A$5:$A$104,0)),0))</f>
        <v/>
      </c>
      <c r="M194" s="23" t="str">
        <f aca="false">IF($B194="","",IF(AND(J194="N",G194&gt;0,K194=0,IFERROR(INDEX(고객사!$H$5:$H$104,MATCH($B194,고객사!$A$5:$A$104,0)),"")="자사 차량 운행"),"차량 미배정",""))</f>
        <v/>
      </c>
      <c r="N194" s="22" t="str">
        <f aca="false">IF($B194="","",IFERROR(INDEX(고객사!$J$5:$J$104,MATCH($B194,고객사!$A$5:$A$104,0)),0))</f>
        <v/>
      </c>
      <c r="O194" s="22" t="str">
        <f aca="false">IF($B194="","",G194*N194)</f>
        <v/>
      </c>
      <c r="P194" s="22" t="str">
        <f aca="false">IF($B194="","",IFERROR(INDEX(고객사!$K$5:$K$104,MATCH($B194,고객사!$A$5:$A$104,0)),0))</f>
        <v/>
      </c>
      <c r="Q194" s="22" t="str">
        <f aca="false">IF($B194="","",G194*P194)</f>
        <v/>
      </c>
      <c r="R194" s="22" t="str">
        <f aca="false">IF($B194="","",O194-Q194-L194)</f>
        <v/>
      </c>
      <c r="S194" s="21" t="str">
        <f aca="false">IF(OR($B194="",N(O194)=0),"",R194/O194)</f>
        <v/>
      </c>
      <c r="T194" s="14"/>
      <c r="U194" s="19" t="n">
        <f aca="false">IF(OR($B194="",$A194=""),0,IF(COUNTIFS($A$5:$A194,$A194,$B$5:$B194,$B194)=1,1,0))</f>
        <v>0</v>
      </c>
    </row>
    <row r="195" customFormat="false" ht="15" hidden="false" customHeight="false" outlineLevel="0" collapsed="false">
      <c r="A195" s="17"/>
      <c r="B195" s="13"/>
      <c r="C195" s="20" t="str">
        <f aca="false">IF($B195="","",IFERROR(INDEX(고객사!$B$5:$B$104,MATCH($B195,고객사!$A$5:$A$104,0)),"코드 확인"))</f>
        <v/>
      </c>
      <c r="D195" s="15"/>
      <c r="E195" s="15"/>
      <c r="F195" s="16"/>
      <c r="G195" s="16"/>
      <c r="H195" s="21" t="str">
        <f aca="false">IF(OR($B195="",F195=0),"",G195/F195)</f>
        <v/>
      </c>
      <c r="I195" s="22" t="str">
        <f aca="false">IF($B195="","",MAX(F195-G195,0))</f>
        <v/>
      </c>
      <c r="J195" s="23" t="str">
        <f aca="false">IF($B195="","",IFERROR(INDEX(고객사!$G$5:$G$104,MATCH($B195,고객사!$A$5:$A$104,0)),""))</f>
        <v/>
      </c>
      <c r="K195" s="16"/>
      <c r="L195" s="22" t="str">
        <f aca="false">IF($B195="","",K195*IFERROR(INDEX(고객사!$L$5:$L$104,MATCH($B195,고객사!$A$5:$A$104,0)),0))</f>
        <v/>
      </c>
      <c r="M195" s="23" t="str">
        <f aca="false">IF($B195="","",IF(AND(J195="N",G195&gt;0,K195=0,IFERROR(INDEX(고객사!$H$5:$H$104,MATCH($B195,고객사!$A$5:$A$104,0)),"")="자사 차량 운행"),"차량 미배정",""))</f>
        <v/>
      </c>
      <c r="N195" s="22" t="str">
        <f aca="false">IF($B195="","",IFERROR(INDEX(고객사!$J$5:$J$104,MATCH($B195,고객사!$A$5:$A$104,0)),0))</f>
        <v/>
      </c>
      <c r="O195" s="22" t="str">
        <f aca="false">IF($B195="","",G195*N195)</f>
        <v/>
      </c>
      <c r="P195" s="22" t="str">
        <f aca="false">IF($B195="","",IFERROR(INDEX(고객사!$K$5:$K$104,MATCH($B195,고객사!$A$5:$A$104,0)),0))</f>
        <v/>
      </c>
      <c r="Q195" s="22" t="str">
        <f aca="false">IF($B195="","",G195*P195)</f>
        <v/>
      </c>
      <c r="R195" s="22" t="str">
        <f aca="false">IF($B195="","",O195-Q195-L195)</f>
        <v/>
      </c>
      <c r="S195" s="21" t="str">
        <f aca="false">IF(OR($B195="",N(O195)=0),"",R195/O195)</f>
        <v/>
      </c>
      <c r="T195" s="14"/>
      <c r="U195" s="19" t="n">
        <f aca="false">IF(OR($B195="",$A195=""),0,IF(COUNTIFS($A$5:$A195,$A195,$B$5:$B195,$B195)=1,1,0))</f>
        <v>0</v>
      </c>
    </row>
    <row r="196" customFormat="false" ht="15" hidden="false" customHeight="false" outlineLevel="0" collapsed="false">
      <c r="A196" s="17"/>
      <c r="B196" s="13"/>
      <c r="C196" s="20" t="str">
        <f aca="false">IF($B196="","",IFERROR(INDEX(고객사!$B$5:$B$104,MATCH($B196,고객사!$A$5:$A$104,0)),"코드 확인"))</f>
        <v/>
      </c>
      <c r="D196" s="15"/>
      <c r="E196" s="15"/>
      <c r="F196" s="16"/>
      <c r="G196" s="16"/>
      <c r="H196" s="21" t="str">
        <f aca="false">IF(OR($B196="",F196=0),"",G196/F196)</f>
        <v/>
      </c>
      <c r="I196" s="22" t="str">
        <f aca="false">IF($B196="","",MAX(F196-G196,0))</f>
        <v/>
      </c>
      <c r="J196" s="23" t="str">
        <f aca="false">IF($B196="","",IFERROR(INDEX(고객사!$G$5:$G$104,MATCH($B196,고객사!$A$5:$A$104,0)),""))</f>
        <v/>
      </c>
      <c r="K196" s="16"/>
      <c r="L196" s="22" t="str">
        <f aca="false">IF($B196="","",K196*IFERROR(INDEX(고객사!$L$5:$L$104,MATCH($B196,고객사!$A$5:$A$104,0)),0))</f>
        <v/>
      </c>
      <c r="M196" s="23" t="str">
        <f aca="false">IF($B196="","",IF(AND(J196="N",G196&gt;0,K196=0,IFERROR(INDEX(고객사!$H$5:$H$104,MATCH($B196,고객사!$A$5:$A$104,0)),"")="자사 차량 운행"),"차량 미배정",""))</f>
        <v/>
      </c>
      <c r="N196" s="22" t="str">
        <f aca="false">IF($B196="","",IFERROR(INDEX(고객사!$J$5:$J$104,MATCH($B196,고객사!$A$5:$A$104,0)),0))</f>
        <v/>
      </c>
      <c r="O196" s="22" t="str">
        <f aca="false">IF($B196="","",G196*N196)</f>
        <v/>
      </c>
      <c r="P196" s="22" t="str">
        <f aca="false">IF($B196="","",IFERROR(INDEX(고객사!$K$5:$K$104,MATCH($B196,고객사!$A$5:$A$104,0)),0))</f>
        <v/>
      </c>
      <c r="Q196" s="22" t="str">
        <f aca="false">IF($B196="","",G196*P196)</f>
        <v/>
      </c>
      <c r="R196" s="22" t="str">
        <f aca="false">IF($B196="","",O196-Q196-L196)</f>
        <v/>
      </c>
      <c r="S196" s="21" t="str">
        <f aca="false">IF(OR($B196="",N(O196)=0),"",R196/O196)</f>
        <v/>
      </c>
      <c r="T196" s="14"/>
      <c r="U196" s="19" t="n">
        <f aca="false">IF(OR($B196="",$A196=""),0,IF(COUNTIFS($A$5:$A196,$A196,$B$5:$B196,$B196)=1,1,0))</f>
        <v>0</v>
      </c>
    </row>
    <row r="197" customFormat="false" ht="15" hidden="false" customHeight="false" outlineLevel="0" collapsed="false">
      <c r="A197" s="17"/>
      <c r="B197" s="13"/>
      <c r="C197" s="20" t="str">
        <f aca="false">IF($B197="","",IFERROR(INDEX(고객사!$B$5:$B$104,MATCH($B197,고객사!$A$5:$A$104,0)),"코드 확인"))</f>
        <v/>
      </c>
      <c r="D197" s="15"/>
      <c r="E197" s="15"/>
      <c r="F197" s="16"/>
      <c r="G197" s="16"/>
      <c r="H197" s="21" t="str">
        <f aca="false">IF(OR($B197="",F197=0),"",G197/F197)</f>
        <v/>
      </c>
      <c r="I197" s="22" t="str">
        <f aca="false">IF($B197="","",MAX(F197-G197,0))</f>
        <v/>
      </c>
      <c r="J197" s="23" t="str">
        <f aca="false">IF($B197="","",IFERROR(INDEX(고객사!$G$5:$G$104,MATCH($B197,고객사!$A$5:$A$104,0)),""))</f>
        <v/>
      </c>
      <c r="K197" s="16"/>
      <c r="L197" s="22" t="str">
        <f aca="false">IF($B197="","",K197*IFERROR(INDEX(고객사!$L$5:$L$104,MATCH($B197,고객사!$A$5:$A$104,0)),0))</f>
        <v/>
      </c>
      <c r="M197" s="23" t="str">
        <f aca="false">IF($B197="","",IF(AND(J197="N",G197&gt;0,K197=0,IFERROR(INDEX(고객사!$H$5:$H$104,MATCH($B197,고객사!$A$5:$A$104,0)),"")="자사 차량 운행"),"차량 미배정",""))</f>
        <v/>
      </c>
      <c r="N197" s="22" t="str">
        <f aca="false">IF($B197="","",IFERROR(INDEX(고객사!$J$5:$J$104,MATCH($B197,고객사!$A$5:$A$104,0)),0))</f>
        <v/>
      </c>
      <c r="O197" s="22" t="str">
        <f aca="false">IF($B197="","",G197*N197)</f>
        <v/>
      </c>
      <c r="P197" s="22" t="str">
        <f aca="false">IF($B197="","",IFERROR(INDEX(고객사!$K$5:$K$104,MATCH($B197,고객사!$A$5:$A$104,0)),0))</f>
        <v/>
      </c>
      <c r="Q197" s="22" t="str">
        <f aca="false">IF($B197="","",G197*P197)</f>
        <v/>
      </c>
      <c r="R197" s="22" t="str">
        <f aca="false">IF($B197="","",O197-Q197-L197)</f>
        <v/>
      </c>
      <c r="S197" s="21" t="str">
        <f aca="false">IF(OR($B197="",N(O197)=0),"",R197/O197)</f>
        <v/>
      </c>
      <c r="T197" s="14"/>
      <c r="U197" s="19" t="n">
        <f aca="false">IF(OR($B197="",$A197=""),0,IF(COUNTIFS($A$5:$A197,$A197,$B$5:$B197,$B197)=1,1,0))</f>
        <v>0</v>
      </c>
    </row>
    <row r="198" customFormat="false" ht="15" hidden="false" customHeight="false" outlineLevel="0" collapsed="false">
      <c r="A198" s="17"/>
      <c r="B198" s="13"/>
      <c r="C198" s="20" t="str">
        <f aca="false">IF($B198="","",IFERROR(INDEX(고객사!$B$5:$B$104,MATCH($B198,고객사!$A$5:$A$104,0)),"코드 확인"))</f>
        <v/>
      </c>
      <c r="D198" s="15"/>
      <c r="E198" s="15"/>
      <c r="F198" s="16"/>
      <c r="G198" s="16"/>
      <c r="H198" s="21" t="str">
        <f aca="false">IF(OR($B198="",F198=0),"",G198/F198)</f>
        <v/>
      </c>
      <c r="I198" s="22" t="str">
        <f aca="false">IF($B198="","",MAX(F198-G198,0))</f>
        <v/>
      </c>
      <c r="J198" s="23" t="str">
        <f aca="false">IF($B198="","",IFERROR(INDEX(고객사!$G$5:$G$104,MATCH($B198,고객사!$A$5:$A$104,0)),""))</f>
        <v/>
      </c>
      <c r="K198" s="16"/>
      <c r="L198" s="22" t="str">
        <f aca="false">IF($B198="","",K198*IFERROR(INDEX(고객사!$L$5:$L$104,MATCH($B198,고객사!$A$5:$A$104,0)),0))</f>
        <v/>
      </c>
      <c r="M198" s="23" t="str">
        <f aca="false">IF($B198="","",IF(AND(J198="N",G198&gt;0,K198=0,IFERROR(INDEX(고객사!$H$5:$H$104,MATCH($B198,고객사!$A$5:$A$104,0)),"")="자사 차량 운행"),"차량 미배정",""))</f>
        <v/>
      </c>
      <c r="N198" s="22" t="str">
        <f aca="false">IF($B198="","",IFERROR(INDEX(고객사!$J$5:$J$104,MATCH($B198,고객사!$A$5:$A$104,0)),0))</f>
        <v/>
      </c>
      <c r="O198" s="22" t="str">
        <f aca="false">IF($B198="","",G198*N198)</f>
        <v/>
      </c>
      <c r="P198" s="22" t="str">
        <f aca="false">IF($B198="","",IFERROR(INDEX(고객사!$K$5:$K$104,MATCH($B198,고객사!$A$5:$A$104,0)),0))</f>
        <v/>
      </c>
      <c r="Q198" s="22" t="str">
        <f aca="false">IF($B198="","",G198*P198)</f>
        <v/>
      </c>
      <c r="R198" s="22" t="str">
        <f aca="false">IF($B198="","",O198-Q198-L198)</f>
        <v/>
      </c>
      <c r="S198" s="21" t="str">
        <f aca="false">IF(OR($B198="",N(O198)=0),"",R198/O198)</f>
        <v/>
      </c>
      <c r="T198" s="14"/>
      <c r="U198" s="19" t="n">
        <f aca="false">IF(OR($B198="",$A198=""),0,IF(COUNTIFS($A$5:$A198,$A198,$B$5:$B198,$B198)=1,1,0))</f>
        <v>0</v>
      </c>
    </row>
    <row r="199" customFormat="false" ht="15" hidden="false" customHeight="false" outlineLevel="0" collapsed="false">
      <c r="A199" s="17"/>
      <c r="B199" s="13"/>
      <c r="C199" s="20" t="str">
        <f aca="false">IF($B199="","",IFERROR(INDEX(고객사!$B$5:$B$104,MATCH($B199,고객사!$A$5:$A$104,0)),"코드 확인"))</f>
        <v/>
      </c>
      <c r="D199" s="15"/>
      <c r="E199" s="15"/>
      <c r="F199" s="16"/>
      <c r="G199" s="16"/>
      <c r="H199" s="21" t="str">
        <f aca="false">IF(OR($B199="",F199=0),"",G199/F199)</f>
        <v/>
      </c>
      <c r="I199" s="22" t="str">
        <f aca="false">IF($B199="","",MAX(F199-G199,0))</f>
        <v/>
      </c>
      <c r="J199" s="23" t="str">
        <f aca="false">IF($B199="","",IFERROR(INDEX(고객사!$G$5:$G$104,MATCH($B199,고객사!$A$5:$A$104,0)),""))</f>
        <v/>
      </c>
      <c r="K199" s="16"/>
      <c r="L199" s="22" t="str">
        <f aca="false">IF($B199="","",K199*IFERROR(INDEX(고객사!$L$5:$L$104,MATCH($B199,고객사!$A$5:$A$104,0)),0))</f>
        <v/>
      </c>
      <c r="M199" s="23" t="str">
        <f aca="false">IF($B199="","",IF(AND(J199="N",G199&gt;0,K199=0,IFERROR(INDEX(고객사!$H$5:$H$104,MATCH($B199,고객사!$A$5:$A$104,0)),"")="자사 차량 운행"),"차량 미배정",""))</f>
        <v/>
      </c>
      <c r="N199" s="22" t="str">
        <f aca="false">IF($B199="","",IFERROR(INDEX(고객사!$J$5:$J$104,MATCH($B199,고객사!$A$5:$A$104,0)),0))</f>
        <v/>
      </c>
      <c r="O199" s="22" t="str">
        <f aca="false">IF($B199="","",G199*N199)</f>
        <v/>
      </c>
      <c r="P199" s="22" t="str">
        <f aca="false">IF($B199="","",IFERROR(INDEX(고객사!$K$5:$K$104,MATCH($B199,고객사!$A$5:$A$104,0)),0))</f>
        <v/>
      </c>
      <c r="Q199" s="22" t="str">
        <f aca="false">IF($B199="","",G199*P199)</f>
        <v/>
      </c>
      <c r="R199" s="22" t="str">
        <f aca="false">IF($B199="","",O199-Q199-L199)</f>
        <v/>
      </c>
      <c r="S199" s="21" t="str">
        <f aca="false">IF(OR($B199="",N(O199)=0),"",R199/O199)</f>
        <v/>
      </c>
      <c r="T199" s="14"/>
      <c r="U199" s="19" t="n">
        <f aca="false">IF(OR($B199="",$A199=""),0,IF(COUNTIFS($A$5:$A199,$A199,$B$5:$B199,$B199)=1,1,0))</f>
        <v>0</v>
      </c>
    </row>
    <row r="200" customFormat="false" ht="15" hidden="false" customHeight="false" outlineLevel="0" collapsed="false">
      <c r="A200" s="17"/>
      <c r="B200" s="13"/>
      <c r="C200" s="20" t="str">
        <f aca="false">IF($B200="","",IFERROR(INDEX(고객사!$B$5:$B$104,MATCH($B200,고객사!$A$5:$A$104,0)),"코드 확인"))</f>
        <v/>
      </c>
      <c r="D200" s="15"/>
      <c r="E200" s="15"/>
      <c r="F200" s="16"/>
      <c r="G200" s="16"/>
      <c r="H200" s="21" t="str">
        <f aca="false">IF(OR($B200="",F200=0),"",G200/F200)</f>
        <v/>
      </c>
      <c r="I200" s="22" t="str">
        <f aca="false">IF($B200="","",MAX(F200-G200,0))</f>
        <v/>
      </c>
      <c r="J200" s="23" t="str">
        <f aca="false">IF($B200="","",IFERROR(INDEX(고객사!$G$5:$G$104,MATCH($B200,고객사!$A$5:$A$104,0)),""))</f>
        <v/>
      </c>
      <c r="K200" s="16"/>
      <c r="L200" s="22" t="str">
        <f aca="false">IF($B200="","",K200*IFERROR(INDEX(고객사!$L$5:$L$104,MATCH($B200,고객사!$A$5:$A$104,0)),0))</f>
        <v/>
      </c>
      <c r="M200" s="23" t="str">
        <f aca="false">IF($B200="","",IF(AND(J200="N",G200&gt;0,K200=0,IFERROR(INDEX(고객사!$H$5:$H$104,MATCH($B200,고객사!$A$5:$A$104,0)),"")="자사 차량 운행"),"차량 미배정",""))</f>
        <v/>
      </c>
      <c r="N200" s="22" t="str">
        <f aca="false">IF($B200="","",IFERROR(INDEX(고객사!$J$5:$J$104,MATCH($B200,고객사!$A$5:$A$104,0)),0))</f>
        <v/>
      </c>
      <c r="O200" s="22" t="str">
        <f aca="false">IF($B200="","",G200*N200)</f>
        <v/>
      </c>
      <c r="P200" s="22" t="str">
        <f aca="false">IF($B200="","",IFERROR(INDEX(고객사!$K$5:$K$104,MATCH($B200,고객사!$A$5:$A$104,0)),0))</f>
        <v/>
      </c>
      <c r="Q200" s="22" t="str">
        <f aca="false">IF($B200="","",G200*P200)</f>
        <v/>
      </c>
      <c r="R200" s="22" t="str">
        <f aca="false">IF($B200="","",O200-Q200-L200)</f>
        <v/>
      </c>
      <c r="S200" s="21" t="str">
        <f aca="false">IF(OR($B200="",N(O200)=0),"",R200/O200)</f>
        <v/>
      </c>
      <c r="T200" s="14"/>
      <c r="U200" s="19" t="n">
        <f aca="false">IF(OR($B200="",$A200=""),0,IF(COUNTIFS($A$5:$A200,$A200,$B$5:$B200,$B200)=1,1,0))</f>
        <v>0</v>
      </c>
    </row>
    <row r="201" customFormat="false" ht="15" hidden="false" customHeight="false" outlineLevel="0" collapsed="false">
      <c r="A201" s="17"/>
      <c r="B201" s="13"/>
      <c r="C201" s="20" t="str">
        <f aca="false">IF($B201="","",IFERROR(INDEX(고객사!$B$5:$B$104,MATCH($B201,고객사!$A$5:$A$104,0)),"코드 확인"))</f>
        <v/>
      </c>
      <c r="D201" s="15"/>
      <c r="E201" s="15"/>
      <c r="F201" s="16"/>
      <c r="G201" s="16"/>
      <c r="H201" s="21" t="str">
        <f aca="false">IF(OR($B201="",F201=0),"",G201/F201)</f>
        <v/>
      </c>
      <c r="I201" s="22" t="str">
        <f aca="false">IF($B201="","",MAX(F201-G201,0))</f>
        <v/>
      </c>
      <c r="J201" s="23" t="str">
        <f aca="false">IF($B201="","",IFERROR(INDEX(고객사!$G$5:$G$104,MATCH($B201,고객사!$A$5:$A$104,0)),""))</f>
        <v/>
      </c>
      <c r="K201" s="16"/>
      <c r="L201" s="22" t="str">
        <f aca="false">IF($B201="","",K201*IFERROR(INDEX(고객사!$L$5:$L$104,MATCH($B201,고객사!$A$5:$A$104,0)),0))</f>
        <v/>
      </c>
      <c r="M201" s="23" t="str">
        <f aca="false">IF($B201="","",IF(AND(J201="N",G201&gt;0,K201=0,IFERROR(INDEX(고객사!$H$5:$H$104,MATCH($B201,고객사!$A$5:$A$104,0)),"")="자사 차량 운행"),"차량 미배정",""))</f>
        <v/>
      </c>
      <c r="N201" s="22" t="str">
        <f aca="false">IF($B201="","",IFERROR(INDEX(고객사!$J$5:$J$104,MATCH($B201,고객사!$A$5:$A$104,0)),0))</f>
        <v/>
      </c>
      <c r="O201" s="22" t="str">
        <f aca="false">IF($B201="","",G201*N201)</f>
        <v/>
      </c>
      <c r="P201" s="22" t="str">
        <f aca="false">IF($B201="","",IFERROR(INDEX(고객사!$K$5:$K$104,MATCH($B201,고객사!$A$5:$A$104,0)),0))</f>
        <v/>
      </c>
      <c r="Q201" s="22" t="str">
        <f aca="false">IF($B201="","",G201*P201)</f>
        <v/>
      </c>
      <c r="R201" s="22" t="str">
        <f aca="false">IF($B201="","",O201-Q201-L201)</f>
        <v/>
      </c>
      <c r="S201" s="21" t="str">
        <f aca="false">IF(OR($B201="",N(O201)=0),"",R201/O201)</f>
        <v/>
      </c>
      <c r="T201" s="14"/>
      <c r="U201" s="19" t="n">
        <f aca="false">IF(OR($B201="",$A201=""),0,IF(COUNTIFS($A$5:$A201,$A201,$B$5:$B201,$B201)=1,1,0))</f>
        <v>0</v>
      </c>
    </row>
    <row r="202" customFormat="false" ht="15" hidden="false" customHeight="false" outlineLevel="0" collapsed="false">
      <c r="A202" s="17"/>
      <c r="B202" s="13"/>
      <c r="C202" s="20" t="str">
        <f aca="false">IF($B202="","",IFERROR(INDEX(고객사!$B$5:$B$104,MATCH($B202,고객사!$A$5:$A$104,0)),"코드 확인"))</f>
        <v/>
      </c>
      <c r="D202" s="15"/>
      <c r="E202" s="15"/>
      <c r="F202" s="16"/>
      <c r="G202" s="16"/>
      <c r="H202" s="21" t="str">
        <f aca="false">IF(OR($B202="",F202=0),"",G202/F202)</f>
        <v/>
      </c>
      <c r="I202" s="22" t="str">
        <f aca="false">IF($B202="","",MAX(F202-G202,0))</f>
        <v/>
      </c>
      <c r="J202" s="23" t="str">
        <f aca="false">IF($B202="","",IFERROR(INDEX(고객사!$G$5:$G$104,MATCH($B202,고객사!$A$5:$A$104,0)),""))</f>
        <v/>
      </c>
      <c r="K202" s="16"/>
      <c r="L202" s="22" t="str">
        <f aca="false">IF($B202="","",K202*IFERROR(INDEX(고객사!$L$5:$L$104,MATCH($B202,고객사!$A$5:$A$104,0)),0))</f>
        <v/>
      </c>
      <c r="M202" s="23" t="str">
        <f aca="false">IF($B202="","",IF(AND(J202="N",G202&gt;0,K202=0,IFERROR(INDEX(고객사!$H$5:$H$104,MATCH($B202,고객사!$A$5:$A$104,0)),"")="자사 차량 운행"),"차량 미배정",""))</f>
        <v/>
      </c>
      <c r="N202" s="22" t="str">
        <f aca="false">IF($B202="","",IFERROR(INDEX(고객사!$J$5:$J$104,MATCH($B202,고객사!$A$5:$A$104,0)),0))</f>
        <v/>
      </c>
      <c r="O202" s="22" t="str">
        <f aca="false">IF($B202="","",G202*N202)</f>
        <v/>
      </c>
      <c r="P202" s="22" t="str">
        <f aca="false">IF($B202="","",IFERROR(INDEX(고객사!$K$5:$K$104,MATCH($B202,고객사!$A$5:$A$104,0)),0))</f>
        <v/>
      </c>
      <c r="Q202" s="22" t="str">
        <f aca="false">IF($B202="","",G202*P202)</f>
        <v/>
      </c>
      <c r="R202" s="22" t="str">
        <f aca="false">IF($B202="","",O202-Q202-L202)</f>
        <v/>
      </c>
      <c r="S202" s="21" t="str">
        <f aca="false">IF(OR($B202="",N(O202)=0),"",R202/O202)</f>
        <v/>
      </c>
      <c r="T202" s="14"/>
      <c r="U202" s="19" t="n">
        <f aca="false">IF(OR($B202="",$A202=""),0,IF(COUNTIFS($A$5:$A202,$A202,$B$5:$B202,$B202)=1,1,0))</f>
        <v>0</v>
      </c>
    </row>
    <row r="203" customFormat="false" ht="15" hidden="false" customHeight="false" outlineLevel="0" collapsed="false">
      <c r="A203" s="17"/>
      <c r="B203" s="13"/>
      <c r="C203" s="20" t="str">
        <f aca="false">IF($B203="","",IFERROR(INDEX(고객사!$B$5:$B$104,MATCH($B203,고객사!$A$5:$A$104,0)),"코드 확인"))</f>
        <v/>
      </c>
      <c r="D203" s="15"/>
      <c r="E203" s="15"/>
      <c r="F203" s="16"/>
      <c r="G203" s="16"/>
      <c r="H203" s="21" t="str">
        <f aca="false">IF(OR($B203="",F203=0),"",G203/F203)</f>
        <v/>
      </c>
      <c r="I203" s="22" t="str">
        <f aca="false">IF($B203="","",MAX(F203-G203,0))</f>
        <v/>
      </c>
      <c r="J203" s="23" t="str">
        <f aca="false">IF($B203="","",IFERROR(INDEX(고객사!$G$5:$G$104,MATCH($B203,고객사!$A$5:$A$104,0)),""))</f>
        <v/>
      </c>
      <c r="K203" s="16"/>
      <c r="L203" s="22" t="str">
        <f aca="false">IF($B203="","",K203*IFERROR(INDEX(고객사!$L$5:$L$104,MATCH($B203,고객사!$A$5:$A$104,0)),0))</f>
        <v/>
      </c>
      <c r="M203" s="23" t="str">
        <f aca="false">IF($B203="","",IF(AND(J203="N",G203&gt;0,K203=0,IFERROR(INDEX(고객사!$H$5:$H$104,MATCH($B203,고객사!$A$5:$A$104,0)),"")="자사 차량 운행"),"차량 미배정",""))</f>
        <v/>
      </c>
      <c r="N203" s="22" t="str">
        <f aca="false">IF($B203="","",IFERROR(INDEX(고객사!$J$5:$J$104,MATCH($B203,고객사!$A$5:$A$104,0)),0))</f>
        <v/>
      </c>
      <c r="O203" s="22" t="str">
        <f aca="false">IF($B203="","",G203*N203)</f>
        <v/>
      </c>
      <c r="P203" s="22" t="str">
        <f aca="false">IF($B203="","",IFERROR(INDEX(고객사!$K$5:$K$104,MATCH($B203,고객사!$A$5:$A$104,0)),0))</f>
        <v/>
      </c>
      <c r="Q203" s="22" t="str">
        <f aca="false">IF($B203="","",G203*P203)</f>
        <v/>
      </c>
      <c r="R203" s="22" t="str">
        <f aca="false">IF($B203="","",O203-Q203-L203)</f>
        <v/>
      </c>
      <c r="S203" s="21" t="str">
        <f aca="false">IF(OR($B203="",N(O203)=0),"",R203/O203)</f>
        <v/>
      </c>
      <c r="T203" s="14"/>
      <c r="U203" s="19" t="n">
        <f aca="false">IF(OR($B203="",$A203=""),0,IF(COUNTIFS($A$5:$A203,$A203,$B$5:$B203,$B203)=1,1,0))</f>
        <v>0</v>
      </c>
    </row>
    <row r="204" customFormat="false" ht="15" hidden="false" customHeight="false" outlineLevel="0" collapsed="false">
      <c r="A204" s="17"/>
      <c r="B204" s="13"/>
      <c r="C204" s="20" t="str">
        <f aca="false">IF($B204="","",IFERROR(INDEX(고객사!$B$5:$B$104,MATCH($B204,고객사!$A$5:$A$104,0)),"코드 확인"))</f>
        <v/>
      </c>
      <c r="D204" s="15"/>
      <c r="E204" s="15"/>
      <c r="F204" s="16"/>
      <c r="G204" s="16"/>
      <c r="H204" s="21" t="str">
        <f aca="false">IF(OR($B204="",F204=0),"",G204/F204)</f>
        <v/>
      </c>
      <c r="I204" s="22" t="str">
        <f aca="false">IF($B204="","",MAX(F204-G204,0))</f>
        <v/>
      </c>
      <c r="J204" s="23" t="str">
        <f aca="false">IF($B204="","",IFERROR(INDEX(고객사!$G$5:$G$104,MATCH($B204,고객사!$A$5:$A$104,0)),""))</f>
        <v/>
      </c>
      <c r="K204" s="16"/>
      <c r="L204" s="22" t="str">
        <f aca="false">IF($B204="","",K204*IFERROR(INDEX(고객사!$L$5:$L$104,MATCH($B204,고객사!$A$5:$A$104,0)),0))</f>
        <v/>
      </c>
      <c r="M204" s="23" t="str">
        <f aca="false">IF($B204="","",IF(AND(J204="N",G204&gt;0,K204=0,IFERROR(INDEX(고객사!$H$5:$H$104,MATCH($B204,고객사!$A$5:$A$104,0)),"")="자사 차량 운행"),"차량 미배정",""))</f>
        <v/>
      </c>
      <c r="N204" s="22" t="str">
        <f aca="false">IF($B204="","",IFERROR(INDEX(고객사!$J$5:$J$104,MATCH($B204,고객사!$A$5:$A$104,0)),0))</f>
        <v/>
      </c>
      <c r="O204" s="22" t="str">
        <f aca="false">IF($B204="","",G204*N204)</f>
        <v/>
      </c>
      <c r="P204" s="22" t="str">
        <f aca="false">IF($B204="","",IFERROR(INDEX(고객사!$K$5:$K$104,MATCH($B204,고객사!$A$5:$A$104,0)),0))</f>
        <v/>
      </c>
      <c r="Q204" s="22" t="str">
        <f aca="false">IF($B204="","",G204*P204)</f>
        <v/>
      </c>
      <c r="R204" s="22" t="str">
        <f aca="false">IF($B204="","",O204-Q204-L204)</f>
        <v/>
      </c>
      <c r="S204" s="21" t="str">
        <f aca="false">IF(OR($B204="",N(O204)=0),"",R204/O204)</f>
        <v/>
      </c>
      <c r="T204" s="14"/>
      <c r="U204" s="19" t="n">
        <f aca="false">IF(OR($B204="",$A204=""),0,IF(COUNTIFS($A$5:$A204,$A204,$B$5:$B204,$B204)=1,1,0))</f>
        <v>0</v>
      </c>
    </row>
    <row r="205" customFormat="false" ht="15" hidden="false" customHeight="false" outlineLevel="0" collapsed="false">
      <c r="A205" s="17"/>
      <c r="B205" s="13"/>
      <c r="C205" s="20" t="str">
        <f aca="false">IF($B205="","",IFERROR(INDEX(고객사!$B$5:$B$104,MATCH($B205,고객사!$A$5:$A$104,0)),"코드 확인"))</f>
        <v/>
      </c>
      <c r="D205" s="15"/>
      <c r="E205" s="15"/>
      <c r="F205" s="16"/>
      <c r="G205" s="16"/>
      <c r="H205" s="21" t="str">
        <f aca="false">IF(OR($B205="",F205=0),"",G205/F205)</f>
        <v/>
      </c>
      <c r="I205" s="22" t="str">
        <f aca="false">IF($B205="","",MAX(F205-G205,0))</f>
        <v/>
      </c>
      <c r="J205" s="23" t="str">
        <f aca="false">IF($B205="","",IFERROR(INDEX(고객사!$G$5:$G$104,MATCH($B205,고객사!$A$5:$A$104,0)),""))</f>
        <v/>
      </c>
      <c r="K205" s="16"/>
      <c r="L205" s="22" t="str">
        <f aca="false">IF($B205="","",K205*IFERROR(INDEX(고객사!$L$5:$L$104,MATCH($B205,고객사!$A$5:$A$104,0)),0))</f>
        <v/>
      </c>
      <c r="M205" s="23" t="str">
        <f aca="false">IF($B205="","",IF(AND(J205="N",G205&gt;0,K205=0,IFERROR(INDEX(고객사!$H$5:$H$104,MATCH($B205,고객사!$A$5:$A$104,0)),"")="자사 차량 운행"),"차량 미배정",""))</f>
        <v/>
      </c>
      <c r="N205" s="22" t="str">
        <f aca="false">IF($B205="","",IFERROR(INDEX(고객사!$J$5:$J$104,MATCH($B205,고객사!$A$5:$A$104,0)),0))</f>
        <v/>
      </c>
      <c r="O205" s="22" t="str">
        <f aca="false">IF($B205="","",G205*N205)</f>
        <v/>
      </c>
      <c r="P205" s="22" t="str">
        <f aca="false">IF($B205="","",IFERROR(INDEX(고객사!$K$5:$K$104,MATCH($B205,고객사!$A$5:$A$104,0)),0))</f>
        <v/>
      </c>
      <c r="Q205" s="22" t="str">
        <f aca="false">IF($B205="","",G205*P205)</f>
        <v/>
      </c>
      <c r="R205" s="22" t="str">
        <f aca="false">IF($B205="","",O205-Q205-L205)</f>
        <v/>
      </c>
      <c r="S205" s="21" t="str">
        <f aca="false">IF(OR($B205="",N(O205)=0),"",R205/O205)</f>
        <v/>
      </c>
      <c r="T205" s="14"/>
      <c r="U205" s="19" t="n">
        <f aca="false">IF(OR($B205="",$A205=""),0,IF(COUNTIFS($A$5:$A205,$A205,$B$5:$B205,$B205)=1,1,0))</f>
        <v>0</v>
      </c>
    </row>
    <row r="206" customFormat="false" ht="15" hidden="false" customHeight="false" outlineLevel="0" collapsed="false">
      <c r="A206" s="17"/>
      <c r="B206" s="13"/>
      <c r="C206" s="20" t="str">
        <f aca="false">IF($B206="","",IFERROR(INDEX(고객사!$B$5:$B$104,MATCH($B206,고객사!$A$5:$A$104,0)),"코드 확인"))</f>
        <v/>
      </c>
      <c r="D206" s="15"/>
      <c r="E206" s="15"/>
      <c r="F206" s="16"/>
      <c r="G206" s="16"/>
      <c r="H206" s="21" t="str">
        <f aca="false">IF(OR($B206="",F206=0),"",G206/F206)</f>
        <v/>
      </c>
      <c r="I206" s="22" t="str">
        <f aca="false">IF($B206="","",MAX(F206-G206,0))</f>
        <v/>
      </c>
      <c r="J206" s="23" t="str">
        <f aca="false">IF($B206="","",IFERROR(INDEX(고객사!$G$5:$G$104,MATCH($B206,고객사!$A$5:$A$104,0)),""))</f>
        <v/>
      </c>
      <c r="K206" s="16"/>
      <c r="L206" s="22" t="str">
        <f aca="false">IF($B206="","",K206*IFERROR(INDEX(고객사!$L$5:$L$104,MATCH($B206,고객사!$A$5:$A$104,0)),0))</f>
        <v/>
      </c>
      <c r="M206" s="23" t="str">
        <f aca="false">IF($B206="","",IF(AND(J206="N",G206&gt;0,K206=0,IFERROR(INDEX(고객사!$H$5:$H$104,MATCH($B206,고객사!$A$5:$A$104,0)),"")="자사 차량 운행"),"차량 미배정",""))</f>
        <v/>
      </c>
      <c r="N206" s="22" t="str">
        <f aca="false">IF($B206="","",IFERROR(INDEX(고객사!$J$5:$J$104,MATCH($B206,고객사!$A$5:$A$104,0)),0))</f>
        <v/>
      </c>
      <c r="O206" s="22" t="str">
        <f aca="false">IF($B206="","",G206*N206)</f>
        <v/>
      </c>
      <c r="P206" s="22" t="str">
        <f aca="false">IF($B206="","",IFERROR(INDEX(고객사!$K$5:$K$104,MATCH($B206,고객사!$A$5:$A$104,0)),0))</f>
        <v/>
      </c>
      <c r="Q206" s="22" t="str">
        <f aca="false">IF($B206="","",G206*P206)</f>
        <v/>
      </c>
      <c r="R206" s="22" t="str">
        <f aca="false">IF($B206="","",O206-Q206-L206)</f>
        <v/>
      </c>
      <c r="S206" s="21" t="str">
        <f aca="false">IF(OR($B206="",N(O206)=0),"",R206/O206)</f>
        <v/>
      </c>
      <c r="T206" s="14"/>
      <c r="U206" s="19" t="n">
        <f aca="false">IF(OR($B206="",$A206=""),0,IF(COUNTIFS($A$5:$A206,$A206,$B$5:$B206,$B206)=1,1,0))</f>
        <v>0</v>
      </c>
    </row>
    <row r="207" customFormat="false" ht="15" hidden="false" customHeight="false" outlineLevel="0" collapsed="false">
      <c r="A207" s="17"/>
      <c r="B207" s="13"/>
      <c r="C207" s="20" t="str">
        <f aca="false">IF($B207="","",IFERROR(INDEX(고객사!$B$5:$B$104,MATCH($B207,고객사!$A$5:$A$104,0)),"코드 확인"))</f>
        <v/>
      </c>
      <c r="D207" s="15"/>
      <c r="E207" s="15"/>
      <c r="F207" s="16"/>
      <c r="G207" s="16"/>
      <c r="H207" s="21" t="str">
        <f aca="false">IF(OR($B207="",F207=0),"",G207/F207)</f>
        <v/>
      </c>
      <c r="I207" s="22" t="str">
        <f aca="false">IF($B207="","",MAX(F207-G207,0))</f>
        <v/>
      </c>
      <c r="J207" s="23" t="str">
        <f aca="false">IF($B207="","",IFERROR(INDEX(고객사!$G$5:$G$104,MATCH($B207,고객사!$A$5:$A$104,0)),""))</f>
        <v/>
      </c>
      <c r="K207" s="16"/>
      <c r="L207" s="22" t="str">
        <f aca="false">IF($B207="","",K207*IFERROR(INDEX(고객사!$L$5:$L$104,MATCH($B207,고객사!$A$5:$A$104,0)),0))</f>
        <v/>
      </c>
      <c r="M207" s="23" t="str">
        <f aca="false">IF($B207="","",IF(AND(J207="N",G207&gt;0,K207=0,IFERROR(INDEX(고객사!$H$5:$H$104,MATCH($B207,고객사!$A$5:$A$104,0)),"")="자사 차량 운행"),"차량 미배정",""))</f>
        <v/>
      </c>
      <c r="N207" s="22" t="str">
        <f aca="false">IF($B207="","",IFERROR(INDEX(고객사!$J$5:$J$104,MATCH($B207,고객사!$A$5:$A$104,0)),0))</f>
        <v/>
      </c>
      <c r="O207" s="22" t="str">
        <f aca="false">IF($B207="","",G207*N207)</f>
        <v/>
      </c>
      <c r="P207" s="22" t="str">
        <f aca="false">IF($B207="","",IFERROR(INDEX(고객사!$K$5:$K$104,MATCH($B207,고객사!$A$5:$A$104,0)),0))</f>
        <v/>
      </c>
      <c r="Q207" s="22" t="str">
        <f aca="false">IF($B207="","",G207*P207)</f>
        <v/>
      </c>
      <c r="R207" s="22" t="str">
        <f aca="false">IF($B207="","",O207-Q207-L207)</f>
        <v/>
      </c>
      <c r="S207" s="21" t="str">
        <f aca="false">IF(OR($B207="",N(O207)=0),"",R207/O207)</f>
        <v/>
      </c>
      <c r="T207" s="14"/>
      <c r="U207" s="19" t="n">
        <f aca="false">IF(OR($B207="",$A207=""),0,IF(COUNTIFS($A$5:$A207,$A207,$B$5:$B207,$B207)=1,1,0))</f>
        <v>0</v>
      </c>
    </row>
    <row r="208" customFormat="false" ht="15" hidden="false" customHeight="false" outlineLevel="0" collapsed="false">
      <c r="A208" s="17"/>
      <c r="B208" s="13"/>
      <c r="C208" s="20" t="str">
        <f aca="false">IF($B208="","",IFERROR(INDEX(고객사!$B$5:$B$104,MATCH($B208,고객사!$A$5:$A$104,0)),"코드 확인"))</f>
        <v/>
      </c>
      <c r="D208" s="15"/>
      <c r="E208" s="15"/>
      <c r="F208" s="16"/>
      <c r="G208" s="16"/>
      <c r="H208" s="21" t="str">
        <f aca="false">IF(OR($B208="",F208=0),"",G208/F208)</f>
        <v/>
      </c>
      <c r="I208" s="22" t="str">
        <f aca="false">IF($B208="","",MAX(F208-G208,0))</f>
        <v/>
      </c>
      <c r="J208" s="23" t="str">
        <f aca="false">IF($B208="","",IFERROR(INDEX(고객사!$G$5:$G$104,MATCH($B208,고객사!$A$5:$A$104,0)),""))</f>
        <v/>
      </c>
      <c r="K208" s="16"/>
      <c r="L208" s="22" t="str">
        <f aca="false">IF($B208="","",K208*IFERROR(INDEX(고객사!$L$5:$L$104,MATCH($B208,고객사!$A$5:$A$104,0)),0))</f>
        <v/>
      </c>
      <c r="M208" s="23" t="str">
        <f aca="false">IF($B208="","",IF(AND(J208="N",G208&gt;0,K208=0,IFERROR(INDEX(고객사!$H$5:$H$104,MATCH($B208,고객사!$A$5:$A$104,0)),"")="자사 차량 운행"),"차량 미배정",""))</f>
        <v/>
      </c>
      <c r="N208" s="22" t="str">
        <f aca="false">IF($B208="","",IFERROR(INDEX(고객사!$J$5:$J$104,MATCH($B208,고객사!$A$5:$A$104,0)),0))</f>
        <v/>
      </c>
      <c r="O208" s="22" t="str">
        <f aca="false">IF($B208="","",G208*N208)</f>
        <v/>
      </c>
      <c r="P208" s="22" t="str">
        <f aca="false">IF($B208="","",IFERROR(INDEX(고객사!$K$5:$K$104,MATCH($B208,고객사!$A$5:$A$104,0)),0))</f>
        <v/>
      </c>
      <c r="Q208" s="22" t="str">
        <f aca="false">IF($B208="","",G208*P208)</f>
        <v/>
      </c>
      <c r="R208" s="22" t="str">
        <f aca="false">IF($B208="","",O208-Q208-L208)</f>
        <v/>
      </c>
      <c r="S208" s="21" t="str">
        <f aca="false">IF(OR($B208="",N(O208)=0),"",R208/O208)</f>
        <v/>
      </c>
      <c r="T208" s="14"/>
      <c r="U208" s="19" t="n">
        <f aca="false">IF(OR($B208="",$A208=""),0,IF(COUNTIFS($A$5:$A208,$A208,$B$5:$B208,$B208)=1,1,0))</f>
        <v>0</v>
      </c>
    </row>
    <row r="209" customFormat="false" ht="15" hidden="false" customHeight="false" outlineLevel="0" collapsed="false">
      <c r="A209" s="17"/>
      <c r="B209" s="13"/>
      <c r="C209" s="20" t="str">
        <f aca="false">IF($B209="","",IFERROR(INDEX(고객사!$B$5:$B$104,MATCH($B209,고객사!$A$5:$A$104,0)),"코드 확인"))</f>
        <v/>
      </c>
      <c r="D209" s="15"/>
      <c r="E209" s="15"/>
      <c r="F209" s="16"/>
      <c r="G209" s="16"/>
      <c r="H209" s="21" t="str">
        <f aca="false">IF(OR($B209="",F209=0),"",G209/F209)</f>
        <v/>
      </c>
      <c r="I209" s="22" t="str">
        <f aca="false">IF($B209="","",MAX(F209-G209,0))</f>
        <v/>
      </c>
      <c r="J209" s="23" t="str">
        <f aca="false">IF($B209="","",IFERROR(INDEX(고객사!$G$5:$G$104,MATCH($B209,고객사!$A$5:$A$104,0)),""))</f>
        <v/>
      </c>
      <c r="K209" s="16"/>
      <c r="L209" s="22" t="str">
        <f aca="false">IF($B209="","",K209*IFERROR(INDEX(고객사!$L$5:$L$104,MATCH($B209,고객사!$A$5:$A$104,0)),0))</f>
        <v/>
      </c>
      <c r="M209" s="23" t="str">
        <f aca="false">IF($B209="","",IF(AND(J209="N",G209&gt;0,K209=0,IFERROR(INDEX(고객사!$H$5:$H$104,MATCH($B209,고객사!$A$5:$A$104,0)),"")="자사 차량 운행"),"차량 미배정",""))</f>
        <v/>
      </c>
      <c r="N209" s="22" t="str">
        <f aca="false">IF($B209="","",IFERROR(INDEX(고객사!$J$5:$J$104,MATCH($B209,고객사!$A$5:$A$104,0)),0))</f>
        <v/>
      </c>
      <c r="O209" s="22" t="str">
        <f aca="false">IF($B209="","",G209*N209)</f>
        <v/>
      </c>
      <c r="P209" s="22" t="str">
        <f aca="false">IF($B209="","",IFERROR(INDEX(고객사!$K$5:$K$104,MATCH($B209,고객사!$A$5:$A$104,0)),0))</f>
        <v/>
      </c>
      <c r="Q209" s="22" t="str">
        <f aca="false">IF($B209="","",G209*P209)</f>
        <v/>
      </c>
      <c r="R209" s="22" t="str">
        <f aca="false">IF($B209="","",O209-Q209-L209)</f>
        <v/>
      </c>
      <c r="S209" s="21" t="str">
        <f aca="false">IF(OR($B209="",N(O209)=0),"",R209/O209)</f>
        <v/>
      </c>
      <c r="T209" s="14"/>
      <c r="U209" s="19" t="n">
        <f aca="false">IF(OR($B209="",$A209=""),0,IF(COUNTIFS($A$5:$A209,$A209,$B$5:$B209,$B209)=1,1,0))</f>
        <v>0</v>
      </c>
    </row>
    <row r="210" customFormat="false" ht="15" hidden="false" customHeight="false" outlineLevel="0" collapsed="false">
      <c r="A210" s="17"/>
      <c r="B210" s="13"/>
      <c r="C210" s="20" t="str">
        <f aca="false">IF($B210="","",IFERROR(INDEX(고객사!$B$5:$B$104,MATCH($B210,고객사!$A$5:$A$104,0)),"코드 확인"))</f>
        <v/>
      </c>
      <c r="D210" s="15"/>
      <c r="E210" s="15"/>
      <c r="F210" s="16"/>
      <c r="G210" s="16"/>
      <c r="H210" s="21" t="str">
        <f aca="false">IF(OR($B210="",F210=0),"",G210/F210)</f>
        <v/>
      </c>
      <c r="I210" s="22" t="str">
        <f aca="false">IF($B210="","",MAX(F210-G210,0))</f>
        <v/>
      </c>
      <c r="J210" s="23" t="str">
        <f aca="false">IF($B210="","",IFERROR(INDEX(고객사!$G$5:$G$104,MATCH($B210,고객사!$A$5:$A$104,0)),""))</f>
        <v/>
      </c>
      <c r="K210" s="16"/>
      <c r="L210" s="22" t="str">
        <f aca="false">IF($B210="","",K210*IFERROR(INDEX(고객사!$L$5:$L$104,MATCH($B210,고객사!$A$5:$A$104,0)),0))</f>
        <v/>
      </c>
      <c r="M210" s="23" t="str">
        <f aca="false">IF($B210="","",IF(AND(J210="N",G210&gt;0,K210=0,IFERROR(INDEX(고객사!$H$5:$H$104,MATCH($B210,고객사!$A$5:$A$104,0)),"")="자사 차량 운행"),"차량 미배정",""))</f>
        <v/>
      </c>
      <c r="N210" s="22" t="str">
        <f aca="false">IF($B210="","",IFERROR(INDEX(고객사!$J$5:$J$104,MATCH($B210,고객사!$A$5:$A$104,0)),0))</f>
        <v/>
      </c>
      <c r="O210" s="22" t="str">
        <f aca="false">IF($B210="","",G210*N210)</f>
        <v/>
      </c>
      <c r="P210" s="22" t="str">
        <f aca="false">IF($B210="","",IFERROR(INDEX(고객사!$K$5:$K$104,MATCH($B210,고객사!$A$5:$A$104,0)),0))</f>
        <v/>
      </c>
      <c r="Q210" s="22" t="str">
        <f aca="false">IF($B210="","",G210*P210)</f>
        <v/>
      </c>
      <c r="R210" s="22" t="str">
        <f aca="false">IF($B210="","",O210-Q210-L210)</f>
        <v/>
      </c>
      <c r="S210" s="21" t="str">
        <f aca="false">IF(OR($B210="",N(O210)=0),"",R210/O210)</f>
        <v/>
      </c>
      <c r="T210" s="14"/>
      <c r="U210" s="19" t="n">
        <f aca="false">IF(OR($B210="",$A210=""),0,IF(COUNTIFS($A$5:$A210,$A210,$B$5:$B210,$B210)=1,1,0))</f>
        <v>0</v>
      </c>
    </row>
    <row r="211" customFormat="false" ht="15" hidden="false" customHeight="false" outlineLevel="0" collapsed="false">
      <c r="A211" s="17"/>
      <c r="B211" s="13"/>
      <c r="C211" s="20" t="str">
        <f aca="false">IF($B211="","",IFERROR(INDEX(고객사!$B$5:$B$104,MATCH($B211,고객사!$A$5:$A$104,0)),"코드 확인"))</f>
        <v/>
      </c>
      <c r="D211" s="15"/>
      <c r="E211" s="15"/>
      <c r="F211" s="16"/>
      <c r="G211" s="16"/>
      <c r="H211" s="21" t="str">
        <f aca="false">IF(OR($B211="",F211=0),"",G211/F211)</f>
        <v/>
      </c>
      <c r="I211" s="22" t="str">
        <f aca="false">IF($B211="","",MAX(F211-G211,0))</f>
        <v/>
      </c>
      <c r="J211" s="23" t="str">
        <f aca="false">IF($B211="","",IFERROR(INDEX(고객사!$G$5:$G$104,MATCH($B211,고객사!$A$5:$A$104,0)),""))</f>
        <v/>
      </c>
      <c r="K211" s="16"/>
      <c r="L211" s="22" t="str">
        <f aca="false">IF($B211="","",K211*IFERROR(INDEX(고객사!$L$5:$L$104,MATCH($B211,고객사!$A$5:$A$104,0)),0))</f>
        <v/>
      </c>
      <c r="M211" s="23" t="str">
        <f aca="false">IF($B211="","",IF(AND(J211="N",G211&gt;0,K211=0,IFERROR(INDEX(고객사!$H$5:$H$104,MATCH($B211,고객사!$A$5:$A$104,0)),"")="자사 차량 운행"),"차량 미배정",""))</f>
        <v/>
      </c>
      <c r="N211" s="22" t="str">
        <f aca="false">IF($B211="","",IFERROR(INDEX(고객사!$J$5:$J$104,MATCH($B211,고객사!$A$5:$A$104,0)),0))</f>
        <v/>
      </c>
      <c r="O211" s="22" t="str">
        <f aca="false">IF($B211="","",G211*N211)</f>
        <v/>
      </c>
      <c r="P211" s="22" t="str">
        <f aca="false">IF($B211="","",IFERROR(INDEX(고객사!$K$5:$K$104,MATCH($B211,고객사!$A$5:$A$104,0)),0))</f>
        <v/>
      </c>
      <c r="Q211" s="22" t="str">
        <f aca="false">IF($B211="","",G211*P211)</f>
        <v/>
      </c>
      <c r="R211" s="22" t="str">
        <f aca="false">IF($B211="","",O211-Q211-L211)</f>
        <v/>
      </c>
      <c r="S211" s="21" t="str">
        <f aca="false">IF(OR($B211="",N(O211)=0),"",R211/O211)</f>
        <v/>
      </c>
      <c r="T211" s="14"/>
      <c r="U211" s="19" t="n">
        <f aca="false">IF(OR($B211="",$A211=""),0,IF(COUNTIFS($A$5:$A211,$A211,$B$5:$B211,$B211)=1,1,0))</f>
        <v>0</v>
      </c>
    </row>
    <row r="212" customFormat="false" ht="15" hidden="false" customHeight="false" outlineLevel="0" collapsed="false">
      <c r="A212" s="17"/>
      <c r="B212" s="13"/>
      <c r="C212" s="20" t="str">
        <f aca="false">IF($B212="","",IFERROR(INDEX(고객사!$B$5:$B$104,MATCH($B212,고객사!$A$5:$A$104,0)),"코드 확인"))</f>
        <v/>
      </c>
      <c r="D212" s="15"/>
      <c r="E212" s="15"/>
      <c r="F212" s="16"/>
      <c r="G212" s="16"/>
      <c r="H212" s="21" t="str">
        <f aca="false">IF(OR($B212="",F212=0),"",G212/F212)</f>
        <v/>
      </c>
      <c r="I212" s="22" t="str">
        <f aca="false">IF($B212="","",MAX(F212-G212,0))</f>
        <v/>
      </c>
      <c r="J212" s="23" t="str">
        <f aca="false">IF($B212="","",IFERROR(INDEX(고객사!$G$5:$G$104,MATCH($B212,고객사!$A$5:$A$104,0)),""))</f>
        <v/>
      </c>
      <c r="K212" s="16"/>
      <c r="L212" s="22" t="str">
        <f aca="false">IF($B212="","",K212*IFERROR(INDEX(고객사!$L$5:$L$104,MATCH($B212,고객사!$A$5:$A$104,0)),0))</f>
        <v/>
      </c>
      <c r="M212" s="23" t="str">
        <f aca="false">IF($B212="","",IF(AND(J212="N",G212&gt;0,K212=0,IFERROR(INDEX(고객사!$H$5:$H$104,MATCH($B212,고객사!$A$5:$A$104,0)),"")="자사 차량 운행"),"차량 미배정",""))</f>
        <v/>
      </c>
      <c r="N212" s="22" t="str">
        <f aca="false">IF($B212="","",IFERROR(INDEX(고객사!$J$5:$J$104,MATCH($B212,고객사!$A$5:$A$104,0)),0))</f>
        <v/>
      </c>
      <c r="O212" s="22" t="str">
        <f aca="false">IF($B212="","",G212*N212)</f>
        <v/>
      </c>
      <c r="P212" s="22" t="str">
        <f aca="false">IF($B212="","",IFERROR(INDEX(고객사!$K$5:$K$104,MATCH($B212,고객사!$A$5:$A$104,0)),0))</f>
        <v/>
      </c>
      <c r="Q212" s="22" t="str">
        <f aca="false">IF($B212="","",G212*P212)</f>
        <v/>
      </c>
      <c r="R212" s="22" t="str">
        <f aca="false">IF($B212="","",O212-Q212-L212)</f>
        <v/>
      </c>
      <c r="S212" s="21" t="str">
        <f aca="false">IF(OR($B212="",N(O212)=0),"",R212/O212)</f>
        <v/>
      </c>
      <c r="T212" s="14"/>
      <c r="U212" s="19" t="n">
        <f aca="false">IF(OR($B212="",$A212=""),0,IF(COUNTIFS($A$5:$A212,$A212,$B$5:$B212,$B212)=1,1,0))</f>
        <v>0</v>
      </c>
    </row>
    <row r="213" customFormat="false" ht="15" hidden="false" customHeight="false" outlineLevel="0" collapsed="false">
      <c r="A213" s="17"/>
      <c r="B213" s="13"/>
      <c r="C213" s="20" t="str">
        <f aca="false">IF($B213="","",IFERROR(INDEX(고객사!$B$5:$B$104,MATCH($B213,고객사!$A$5:$A$104,0)),"코드 확인"))</f>
        <v/>
      </c>
      <c r="D213" s="15"/>
      <c r="E213" s="15"/>
      <c r="F213" s="16"/>
      <c r="G213" s="16"/>
      <c r="H213" s="21" t="str">
        <f aca="false">IF(OR($B213="",F213=0),"",G213/F213)</f>
        <v/>
      </c>
      <c r="I213" s="22" t="str">
        <f aca="false">IF($B213="","",MAX(F213-G213,0))</f>
        <v/>
      </c>
      <c r="J213" s="23" t="str">
        <f aca="false">IF($B213="","",IFERROR(INDEX(고객사!$G$5:$G$104,MATCH($B213,고객사!$A$5:$A$104,0)),""))</f>
        <v/>
      </c>
      <c r="K213" s="16"/>
      <c r="L213" s="22" t="str">
        <f aca="false">IF($B213="","",K213*IFERROR(INDEX(고객사!$L$5:$L$104,MATCH($B213,고객사!$A$5:$A$104,0)),0))</f>
        <v/>
      </c>
      <c r="M213" s="23" t="str">
        <f aca="false">IF($B213="","",IF(AND(J213="N",G213&gt;0,K213=0,IFERROR(INDEX(고객사!$H$5:$H$104,MATCH($B213,고객사!$A$5:$A$104,0)),"")="자사 차량 운행"),"차량 미배정",""))</f>
        <v/>
      </c>
      <c r="N213" s="22" t="str">
        <f aca="false">IF($B213="","",IFERROR(INDEX(고객사!$J$5:$J$104,MATCH($B213,고객사!$A$5:$A$104,0)),0))</f>
        <v/>
      </c>
      <c r="O213" s="22" t="str">
        <f aca="false">IF($B213="","",G213*N213)</f>
        <v/>
      </c>
      <c r="P213" s="22" t="str">
        <f aca="false">IF($B213="","",IFERROR(INDEX(고객사!$K$5:$K$104,MATCH($B213,고객사!$A$5:$A$104,0)),0))</f>
        <v/>
      </c>
      <c r="Q213" s="22" t="str">
        <f aca="false">IF($B213="","",G213*P213)</f>
        <v/>
      </c>
      <c r="R213" s="22" t="str">
        <f aca="false">IF($B213="","",O213-Q213-L213)</f>
        <v/>
      </c>
      <c r="S213" s="21" t="str">
        <f aca="false">IF(OR($B213="",N(O213)=0),"",R213/O213)</f>
        <v/>
      </c>
      <c r="T213" s="14"/>
      <c r="U213" s="19" t="n">
        <f aca="false">IF(OR($B213="",$A213=""),0,IF(COUNTIFS($A$5:$A213,$A213,$B$5:$B213,$B213)=1,1,0))</f>
        <v>0</v>
      </c>
    </row>
    <row r="214" customFormat="false" ht="15" hidden="false" customHeight="false" outlineLevel="0" collapsed="false">
      <c r="A214" s="17"/>
      <c r="B214" s="13"/>
      <c r="C214" s="20" t="str">
        <f aca="false">IF($B214="","",IFERROR(INDEX(고객사!$B$5:$B$104,MATCH($B214,고객사!$A$5:$A$104,0)),"코드 확인"))</f>
        <v/>
      </c>
      <c r="D214" s="15"/>
      <c r="E214" s="15"/>
      <c r="F214" s="16"/>
      <c r="G214" s="16"/>
      <c r="H214" s="21" t="str">
        <f aca="false">IF(OR($B214="",F214=0),"",G214/F214)</f>
        <v/>
      </c>
      <c r="I214" s="22" t="str">
        <f aca="false">IF($B214="","",MAX(F214-G214,0))</f>
        <v/>
      </c>
      <c r="J214" s="23" t="str">
        <f aca="false">IF($B214="","",IFERROR(INDEX(고객사!$G$5:$G$104,MATCH($B214,고객사!$A$5:$A$104,0)),""))</f>
        <v/>
      </c>
      <c r="K214" s="16"/>
      <c r="L214" s="22" t="str">
        <f aca="false">IF($B214="","",K214*IFERROR(INDEX(고객사!$L$5:$L$104,MATCH($B214,고객사!$A$5:$A$104,0)),0))</f>
        <v/>
      </c>
      <c r="M214" s="23" t="str">
        <f aca="false">IF($B214="","",IF(AND(J214="N",G214&gt;0,K214=0,IFERROR(INDEX(고객사!$H$5:$H$104,MATCH($B214,고객사!$A$5:$A$104,0)),"")="자사 차량 운행"),"차량 미배정",""))</f>
        <v/>
      </c>
      <c r="N214" s="22" t="str">
        <f aca="false">IF($B214="","",IFERROR(INDEX(고객사!$J$5:$J$104,MATCH($B214,고객사!$A$5:$A$104,0)),0))</f>
        <v/>
      </c>
      <c r="O214" s="22" t="str">
        <f aca="false">IF($B214="","",G214*N214)</f>
        <v/>
      </c>
      <c r="P214" s="22" t="str">
        <f aca="false">IF($B214="","",IFERROR(INDEX(고객사!$K$5:$K$104,MATCH($B214,고객사!$A$5:$A$104,0)),0))</f>
        <v/>
      </c>
      <c r="Q214" s="22" t="str">
        <f aca="false">IF($B214="","",G214*P214)</f>
        <v/>
      </c>
      <c r="R214" s="22" t="str">
        <f aca="false">IF($B214="","",O214-Q214-L214)</f>
        <v/>
      </c>
      <c r="S214" s="21" t="str">
        <f aca="false">IF(OR($B214="",N(O214)=0),"",R214/O214)</f>
        <v/>
      </c>
      <c r="T214" s="14"/>
      <c r="U214" s="19" t="n">
        <f aca="false">IF(OR($B214="",$A214=""),0,IF(COUNTIFS($A$5:$A214,$A214,$B$5:$B214,$B214)=1,1,0))</f>
        <v>0</v>
      </c>
    </row>
    <row r="215" customFormat="false" ht="15" hidden="false" customHeight="false" outlineLevel="0" collapsed="false">
      <c r="A215" s="17"/>
      <c r="B215" s="13"/>
      <c r="C215" s="20" t="str">
        <f aca="false">IF($B215="","",IFERROR(INDEX(고객사!$B$5:$B$104,MATCH($B215,고객사!$A$5:$A$104,0)),"코드 확인"))</f>
        <v/>
      </c>
      <c r="D215" s="15"/>
      <c r="E215" s="15"/>
      <c r="F215" s="16"/>
      <c r="G215" s="16"/>
      <c r="H215" s="21" t="str">
        <f aca="false">IF(OR($B215="",F215=0),"",G215/F215)</f>
        <v/>
      </c>
      <c r="I215" s="22" t="str">
        <f aca="false">IF($B215="","",MAX(F215-G215,0))</f>
        <v/>
      </c>
      <c r="J215" s="23" t="str">
        <f aca="false">IF($B215="","",IFERROR(INDEX(고객사!$G$5:$G$104,MATCH($B215,고객사!$A$5:$A$104,0)),""))</f>
        <v/>
      </c>
      <c r="K215" s="16"/>
      <c r="L215" s="22" t="str">
        <f aca="false">IF($B215="","",K215*IFERROR(INDEX(고객사!$L$5:$L$104,MATCH($B215,고객사!$A$5:$A$104,0)),0))</f>
        <v/>
      </c>
      <c r="M215" s="23" t="str">
        <f aca="false">IF($B215="","",IF(AND(J215="N",G215&gt;0,K215=0,IFERROR(INDEX(고객사!$H$5:$H$104,MATCH($B215,고객사!$A$5:$A$104,0)),"")="자사 차량 운행"),"차량 미배정",""))</f>
        <v/>
      </c>
      <c r="N215" s="22" t="str">
        <f aca="false">IF($B215="","",IFERROR(INDEX(고객사!$J$5:$J$104,MATCH($B215,고객사!$A$5:$A$104,0)),0))</f>
        <v/>
      </c>
      <c r="O215" s="22" t="str">
        <f aca="false">IF($B215="","",G215*N215)</f>
        <v/>
      </c>
      <c r="P215" s="22" t="str">
        <f aca="false">IF($B215="","",IFERROR(INDEX(고객사!$K$5:$K$104,MATCH($B215,고객사!$A$5:$A$104,0)),0))</f>
        <v/>
      </c>
      <c r="Q215" s="22" t="str">
        <f aca="false">IF($B215="","",G215*P215)</f>
        <v/>
      </c>
      <c r="R215" s="22" t="str">
        <f aca="false">IF($B215="","",O215-Q215-L215)</f>
        <v/>
      </c>
      <c r="S215" s="21" t="str">
        <f aca="false">IF(OR($B215="",N(O215)=0),"",R215/O215)</f>
        <v/>
      </c>
      <c r="T215" s="14"/>
      <c r="U215" s="19" t="n">
        <f aca="false">IF(OR($B215="",$A215=""),0,IF(COUNTIFS($A$5:$A215,$A215,$B$5:$B215,$B215)=1,1,0))</f>
        <v>0</v>
      </c>
    </row>
    <row r="216" customFormat="false" ht="15" hidden="false" customHeight="false" outlineLevel="0" collapsed="false">
      <c r="A216" s="17"/>
      <c r="B216" s="13"/>
      <c r="C216" s="20" t="str">
        <f aca="false">IF($B216="","",IFERROR(INDEX(고객사!$B$5:$B$104,MATCH($B216,고객사!$A$5:$A$104,0)),"코드 확인"))</f>
        <v/>
      </c>
      <c r="D216" s="15"/>
      <c r="E216" s="15"/>
      <c r="F216" s="16"/>
      <c r="G216" s="16"/>
      <c r="H216" s="21" t="str">
        <f aca="false">IF(OR($B216="",F216=0),"",G216/F216)</f>
        <v/>
      </c>
      <c r="I216" s="22" t="str">
        <f aca="false">IF($B216="","",MAX(F216-G216,0))</f>
        <v/>
      </c>
      <c r="J216" s="23" t="str">
        <f aca="false">IF($B216="","",IFERROR(INDEX(고객사!$G$5:$G$104,MATCH($B216,고객사!$A$5:$A$104,0)),""))</f>
        <v/>
      </c>
      <c r="K216" s="16"/>
      <c r="L216" s="22" t="str">
        <f aca="false">IF($B216="","",K216*IFERROR(INDEX(고객사!$L$5:$L$104,MATCH($B216,고객사!$A$5:$A$104,0)),0))</f>
        <v/>
      </c>
      <c r="M216" s="23" t="str">
        <f aca="false">IF($B216="","",IF(AND(J216="N",G216&gt;0,K216=0,IFERROR(INDEX(고객사!$H$5:$H$104,MATCH($B216,고객사!$A$5:$A$104,0)),"")="자사 차량 운행"),"차량 미배정",""))</f>
        <v/>
      </c>
      <c r="N216" s="22" t="str">
        <f aca="false">IF($B216="","",IFERROR(INDEX(고객사!$J$5:$J$104,MATCH($B216,고객사!$A$5:$A$104,0)),0))</f>
        <v/>
      </c>
      <c r="O216" s="22" t="str">
        <f aca="false">IF($B216="","",G216*N216)</f>
        <v/>
      </c>
      <c r="P216" s="22" t="str">
        <f aca="false">IF($B216="","",IFERROR(INDEX(고객사!$K$5:$K$104,MATCH($B216,고객사!$A$5:$A$104,0)),0))</f>
        <v/>
      </c>
      <c r="Q216" s="22" t="str">
        <f aca="false">IF($B216="","",G216*P216)</f>
        <v/>
      </c>
      <c r="R216" s="22" t="str">
        <f aca="false">IF($B216="","",O216-Q216-L216)</f>
        <v/>
      </c>
      <c r="S216" s="21" t="str">
        <f aca="false">IF(OR($B216="",N(O216)=0),"",R216/O216)</f>
        <v/>
      </c>
      <c r="T216" s="14"/>
      <c r="U216" s="19" t="n">
        <f aca="false">IF(OR($B216="",$A216=""),0,IF(COUNTIFS($A$5:$A216,$A216,$B$5:$B216,$B216)=1,1,0))</f>
        <v>0</v>
      </c>
    </row>
    <row r="217" customFormat="false" ht="15" hidden="false" customHeight="false" outlineLevel="0" collapsed="false">
      <c r="A217" s="17"/>
      <c r="B217" s="13"/>
      <c r="C217" s="20" t="str">
        <f aca="false">IF($B217="","",IFERROR(INDEX(고객사!$B$5:$B$104,MATCH($B217,고객사!$A$5:$A$104,0)),"코드 확인"))</f>
        <v/>
      </c>
      <c r="D217" s="15"/>
      <c r="E217" s="15"/>
      <c r="F217" s="16"/>
      <c r="G217" s="16"/>
      <c r="H217" s="21" t="str">
        <f aca="false">IF(OR($B217="",F217=0),"",G217/F217)</f>
        <v/>
      </c>
      <c r="I217" s="22" t="str">
        <f aca="false">IF($B217="","",MAX(F217-G217,0))</f>
        <v/>
      </c>
      <c r="J217" s="23" t="str">
        <f aca="false">IF($B217="","",IFERROR(INDEX(고객사!$G$5:$G$104,MATCH($B217,고객사!$A$5:$A$104,0)),""))</f>
        <v/>
      </c>
      <c r="K217" s="16"/>
      <c r="L217" s="22" t="str">
        <f aca="false">IF($B217="","",K217*IFERROR(INDEX(고객사!$L$5:$L$104,MATCH($B217,고객사!$A$5:$A$104,0)),0))</f>
        <v/>
      </c>
      <c r="M217" s="23" t="str">
        <f aca="false">IF($B217="","",IF(AND(J217="N",G217&gt;0,K217=0,IFERROR(INDEX(고객사!$H$5:$H$104,MATCH($B217,고객사!$A$5:$A$104,0)),"")="자사 차량 운행"),"차량 미배정",""))</f>
        <v/>
      </c>
      <c r="N217" s="22" t="str">
        <f aca="false">IF($B217="","",IFERROR(INDEX(고객사!$J$5:$J$104,MATCH($B217,고객사!$A$5:$A$104,0)),0))</f>
        <v/>
      </c>
      <c r="O217" s="22" t="str">
        <f aca="false">IF($B217="","",G217*N217)</f>
        <v/>
      </c>
      <c r="P217" s="22" t="str">
        <f aca="false">IF($B217="","",IFERROR(INDEX(고객사!$K$5:$K$104,MATCH($B217,고객사!$A$5:$A$104,0)),0))</f>
        <v/>
      </c>
      <c r="Q217" s="22" t="str">
        <f aca="false">IF($B217="","",G217*P217)</f>
        <v/>
      </c>
      <c r="R217" s="22" t="str">
        <f aca="false">IF($B217="","",O217-Q217-L217)</f>
        <v/>
      </c>
      <c r="S217" s="21" t="str">
        <f aca="false">IF(OR($B217="",N(O217)=0),"",R217/O217)</f>
        <v/>
      </c>
      <c r="T217" s="14"/>
      <c r="U217" s="19" t="n">
        <f aca="false">IF(OR($B217="",$A217=""),0,IF(COUNTIFS($A$5:$A217,$A217,$B$5:$B217,$B217)=1,1,0))</f>
        <v>0</v>
      </c>
    </row>
    <row r="218" customFormat="false" ht="15" hidden="false" customHeight="false" outlineLevel="0" collapsed="false">
      <c r="A218" s="17"/>
      <c r="B218" s="13"/>
      <c r="C218" s="20" t="str">
        <f aca="false">IF($B218="","",IFERROR(INDEX(고객사!$B$5:$B$104,MATCH($B218,고객사!$A$5:$A$104,0)),"코드 확인"))</f>
        <v/>
      </c>
      <c r="D218" s="15"/>
      <c r="E218" s="15"/>
      <c r="F218" s="16"/>
      <c r="G218" s="16"/>
      <c r="H218" s="21" t="str">
        <f aca="false">IF(OR($B218="",F218=0),"",G218/F218)</f>
        <v/>
      </c>
      <c r="I218" s="22" t="str">
        <f aca="false">IF($B218="","",MAX(F218-G218,0))</f>
        <v/>
      </c>
      <c r="J218" s="23" t="str">
        <f aca="false">IF($B218="","",IFERROR(INDEX(고객사!$G$5:$G$104,MATCH($B218,고객사!$A$5:$A$104,0)),""))</f>
        <v/>
      </c>
      <c r="K218" s="16"/>
      <c r="L218" s="22" t="str">
        <f aca="false">IF($B218="","",K218*IFERROR(INDEX(고객사!$L$5:$L$104,MATCH($B218,고객사!$A$5:$A$104,0)),0))</f>
        <v/>
      </c>
      <c r="M218" s="23" t="str">
        <f aca="false">IF($B218="","",IF(AND(J218="N",G218&gt;0,K218=0,IFERROR(INDEX(고객사!$H$5:$H$104,MATCH($B218,고객사!$A$5:$A$104,0)),"")="자사 차량 운행"),"차량 미배정",""))</f>
        <v/>
      </c>
      <c r="N218" s="22" t="str">
        <f aca="false">IF($B218="","",IFERROR(INDEX(고객사!$J$5:$J$104,MATCH($B218,고객사!$A$5:$A$104,0)),0))</f>
        <v/>
      </c>
      <c r="O218" s="22" t="str">
        <f aca="false">IF($B218="","",G218*N218)</f>
        <v/>
      </c>
      <c r="P218" s="22" t="str">
        <f aca="false">IF($B218="","",IFERROR(INDEX(고객사!$K$5:$K$104,MATCH($B218,고객사!$A$5:$A$104,0)),0))</f>
        <v/>
      </c>
      <c r="Q218" s="22" t="str">
        <f aca="false">IF($B218="","",G218*P218)</f>
        <v/>
      </c>
      <c r="R218" s="22" t="str">
        <f aca="false">IF($B218="","",O218-Q218-L218)</f>
        <v/>
      </c>
      <c r="S218" s="21" t="str">
        <f aca="false">IF(OR($B218="",N(O218)=0),"",R218/O218)</f>
        <v/>
      </c>
      <c r="T218" s="14"/>
      <c r="U218" s="19" t="n">
        <f aca="false">IF(OR($B218="",$A218=""),0,IF(COUNTIFS($A$5:$A218,$A218,$B$5:$B218,$B218)=1,1,0))</f>
        <v>0</v>
      </c>
    </row>
    <row r="219" customFormat="false" ht="15" hidden="false" customHeight="false" outlineLevel="0" collapsed="false">
      <c r="A219" s="17"/>
      <c r="B219" s="13"/>
      <c r="C219" s="20" t="str">
        <f aca="false">IF($B219="","",IFERROR(INDEX(고객사!$B$5:$B$104,MATCH($B219,고객사!$A$5:$A$104,0)),"코드 확인"))</f>
        <v/>
      </c>
      <c r="D219" s="15"/>
      <c r="E219" s="15"/>
      <c r="F219" s="16"/>
      <c r="G219" s="16"/>
      <c r="H219" s="21" t="str">
        <f aca="false">IF(OR($B219="",F219=0),"",G219/F219)</f>
        <v/>
      </c>
      <c r="I219" s="22" t="str">
        <f aca="false">IF($B219="","",MAX(F219-G219,0))</f>
        <v/>
      </c>
      <c r="J219" s="23" t="str">
        <f aca="false">IF($B219="","",IFERROR(INDEX(고객사!$G$5:$G$104,MATCH($B219,고객사!$A$5:$A$104,0)),""))</f>
        <v/>
      </c>
      <c r="K219" s="16"/>
      <c r="L219" s="22" t="str">
        <f aca="false">IF($B219="","",K219*IFERROR(INDEX(고객사!$L$5:$L$104,MATCH($B219,고객사!$A$5:$A$104,0)),0))</f>
        <v/>
      </c>
      <c r="M219" s="23" t="str">
        <f aca="false">IF($B219="","",IF(AND(J219="N",G219&gt;0,K219=0,IFERROR(INDEX(고객사!$H$5:$H$104,MATCH($B219,고객사!$A$5:$A$104,0)),"")="자사 차량 운행"),"차량 미배정",""))</f>
        <v/>
      </c>
      <c r="N219" s="22" t="str">
        <f aca="false">IF($B219="","",IFERROR(INDEX(고객사!$J$5:$J$104,MATCH($B219,고객사!$A$5:$A$104,0)),0))</f>
        <v/>
      </c>
      <c r="O219" s="22" t="str">
        <f aca="false">IF($B219="","",G219*N219)</f>
        <v/>
      </c>
      <c r="P219" s="22" t="str">
        <f aca="false">IF($B219="","",IFERROR(INDEX(고객사!$K$5:$K$104,MATCH($B219,고객사!$A$5:$A$104,0)),0))</f>
        <v/>
      </c>
      <c r="Q219" s="22" t="str">
        <f aca="false">IF($B219="","",G219*P219)</f>
        <v/>
      </c>
      <c r="R219" s="22" t="str">
        <f aca="false">IF($B219="","",O219-Q219-L219)</f>
        <v/>
      </c>
      <c r="S219" s="21" t="str">
        <f aca="false">IF(OR($B219="",N(O219)=0),"",R219/O219)</f>
        <v/>
      </c>
      <c r="T219" s="14"/>
      <c r="U219" s="19" t="n">
        <f aca="false">IF(OR($B219="",$A219=""),0,IF(COUNTIFS($A$5:$A219,$A219,$B$5:$B219,$B219)=1,1,0))</f>
        <v>0</v>
      </c>
    </row>
    <row r="220" customFormat="false" ht="15" hidden="false" customHeight="false" outlineLevel="0" collapsed="false">
      <c r="A220" s="17"/>
      <c r="B220" s="13"/>
      <c r="C220" s="20" t="str">
        <f aca="false">IF($B220="","",IFERROR(INDEX(고객사!$B$5:$B$104,MATCH($B220,고객사!$A$5:$A$104,0)),"코드 확인"))</f>
        <v/>
      </c>
      <c r="D220" s="15"/>
      <c r="E220" s="15"/>
      <c r="F220" s="16"/>
      <c r="G220" s="16"/>
      <c r="H220" s="21" t="str">
        <f aca="false">IF(OR($B220="",F220=0),"",G220/F220)</f>
        <v/>
      </c>
      <c r="I220" s="22" t="str">
        <f aca="false">IF($B220="","",MAX(F220-G220,0))</f>
        <v/>
      </c>
      <c r="J220" s="23" t="str">
        <f aca="false">IF($B220="","",IFERROR(INDEX(고객사!$G$5:$G$104,MATCH($B220,고객사!$A$5:$A$104,0)),""))</f>
        <v/>
      </c>
      <c r="K220" s="16"/>
      <c r="L220" s="22" t="str">
        <f aca="false">IF($B220="","",K220*IFERROR(INDEX(고객사!$L$5:$L$104,MATCH($B220,고객사!$A$5:$A$104,0)),0))</f>
        <v/>
      </c>
      <c r="M220" s="23" t="str">
        <f aca="false">IF($B220="","",IF(AND(J220="N",G220&gt;0,K220=0,IFERROR(INDEX(고객사!$H$5:$H$104,MATCH($B220,고객사!$A$5:$A$104,0)),"")="자사 차량 운행"),"차량 미배정",""))</f>
        <v/>
      </c>
      <c r="N220" s="22" t="str">
        <f aca="false">IF($B220="","",IFERROR(INDEX(고객사!$J$5:$J$104,MATCH($B220,고객사!$A$5:$A$104,0)),0))</f>
        <v/>
      </c>
      <c r="O220" s="22" t="str">
        <f aca="false">IF($B220="","",G220*N220)</f>
        <v/>
      </c>
      <c r="P220" s="22" t="str">
        <f aca="false">IF($B220="","",IFERROR(INDEX(고객사!$K$5:$K$104,MATCH($B220,고객사!$A$5:$A$104,0)),0))</f>
        <v/>
      </c>
      <c r="Q220" s="22" t="str">
        <f aca="false">IF($B220="","",G220*P220)</f>
        <v/>
      </c>
      <c r="R220" s="22" t="str">
        <f aca="false">IF($B220="","",O220-Q220-L220)</f>
        <v/>
      </c>
      <c r="S220" s="21" t="str">
        <f aca="false">IF(OR($B220="",N(O220)=0),"",R220/O220)</f>
        <v/>
      </c>
      <c r="T220" s="14"/>
      <c r="U220" s="19" t="n">
        <f aca="false">IF(OR($B220="",$A220=""),0,IF(COUNTIFS($A$5:$A220,$A220,$B$5:$B220,$B220)=1,1,0))</f>
        <v>0</v>
      </c>
    </row>
    <row r="221" customFormat="false" ht="15" hidden="false" customHeight="false" outlineLevel="0" collapsed="false">
      <c r="A221" s="17"/>
      <c r="B221" s="13"/>
      <c r="C221" s="20" t="str">
        <f aca="false">IF($B221="","",IFERROR(INDEX(고객사!$B$5:$B$104,MATCH($B221,고객사!$A$5:$A$104,0)),"코드 확인"))</f>
        <v/>
      </c>
      <c r="D221" s="15"/>
      <c r="E221" s="15"/>
      <c r="F221" s="16"/>
      <c r="G221" s="16"/>
      <c r="H221" s="21" t="str">
        <f aca="false">IF(OR($B221="",F221=0),"",G221/F221)</f>
        <v/>
      </c>
      <c r="I221" s="22" t="str">
        <f aca="false">IF($B221="","",MAX(F221-G221,0))</f>
        <v/>
      </c>
      <c r="J221" s="23" t="str">
        <f aca="false">IF($B221="","",IFERROR(INDEX(고객사!$G$5:$G$104,MATCH($B221,고객사!$A$5:$A$104,0)),""))</f>
        <v/>
      </c>
      <c r="K221" s="16"/>
      <c r="L221" s="22" t="str">
        <f aca="false">IF($B221="","",K221*IFERROR(INDEX(고객사!$L$5:$L$104,MATCH($B221,고객사!$A$5:$A$104,0)),0))</f>
        <v/>
      </c>
      <c r="M221" s="23" t="str">
        <f aca="false">IF($B221="","",IF(AND(J221="N",G221&gt;0,K221=0,IFERROR(INDEX(고객사!$H$5:$H$104,MATCH($B221,고객사!$A$5:$A$104,0)),"")="자사 차량 운행"),"차량 미배정",""))</f>
        <v/>
      </c>
      <c r="N221" s="22" t="str">
        <f aca="false">IF($B221="","",IFERROR(INDEX(고객사!$J$5:$J$104,MATCH($B221,고객사!$A$5:$A$104,0)),0))</f>
        <v/>
      </c>
      <c r="O221" s="22" t="str">
        <f aca="false">IF($B221="","",G221*N221)</f>
        <v/>
      </c>
      <c r="P221" s="22" t="str">
        <f aca="false">IF($B221="","",IFERROR(INDEX(고객사!$K$5:$K$104,MATCH($B221,고객사!$A$5:$A$104,0)),0))</f>
        <v/>
      </c>
      <c r="Q221" s="22" t="str">
        <f aca="false">IF($B221="","",G221*P221)</f>
        <v/>
      </c>
      <c r="R221" s="22" t="str">
        <f aca="false">IF($B221="","",O221-Q221-L221)</f>
        <v/>
      </c>
      <c r="S221" s="21" t="str">
        <f aca="false">IF(OR($B221="",N(O221)=0),"",R221/O221)</f>
        <v/>
      </c>
      <c r="T221" s="14"/>
      <c r="U221" s="19" t="n">
        <f aca="false">IF(OR($B221="",$A221=""),0,IF(COUNTIFS($A$5:$A221,$A221,$B$5:$B221,$B221)=1,1,0))</f>
        <v>0</v>
      </c>
    </row>
    <row r="222" customFormat="false" ht="15" hidden="false" customHeight="false" outlineLevel="0" collapsed="false">
      <c r="A222" s="17"/>
      <c r="B222" s="13"/>
      <c r="C222" s="20" t="str">
        <f aca="false">IF($B222="","",IFERROR(INDEX(고객사!$B$5:$B$104,MATCH($B222,고객사!$A$5:$A$104,0)),"코드 확인"))</f>
        <v/>
      </c>
      <c r="D222" s="15"/>
      <c r="E222" s="15"/>
      <c r="F222" s="16"/>
      <c r="G222" s="16"/>
      <c r="H222" s="21" t="str">
        <f aca="false">IF(OR($B222="",F222=0),"",G222/F222)</f>
        <v/>
      </c>
      <c r="I222" s="22" t="str">
        <f aca="false">IF($B222="","",MAX(F222-G222,0))</f>
        <v/>
      </c>
      <c r="J222" s="23" t="str">
        <f aca="false">IF($B222="","",IFERROR(INDEX(고객사!$G$5:$G$104,MATCH($B222,고객사!$A$5:$A$104,0)),""))</f>
        <v/>
      </c>
      <c r="K222" s="16"/>
      <c r="L222" s="22" t="str">
        <f aca="false">IF($B222="","",K222*IFERROR(INDEX(고객사!$L$5:$L$104,MATCH($B222,고객사!$A$5:$A$104,0)),0))</f>
        <v/>
      </c>
      <c r="M222" s="23" t="str">
        <f aca="false">IF($B222="","",IF(AND(J222="N",G222&gt;0,K222=0,IFERROR(INDEX(고객사!$H$5:$H$104,MATCH($B222,고객사!$A$5:$A$104,0)),"")="자사 차량 운행"),"차량 미배정",""))</f>
        <v/>
      </c>
      <c r="N222" s="22" t="str">
        <f aca="false">IF($B222="","",IFERROR(INDEX(고객사!$J$5:$J$104,MATCH($B222,고객사!$A$5:$A$104,0)),0))</f>
        <v/>
      </c>
      <c r="O222" s="22" t="str">
        <f aca="false">IF($B222="","",G222*N222)</f>
        <v/>
      </c>
      <c r="P222" s="22" t="str">
        <f aca="false">IF($B222="","",IFERROR(INDEX(고객사!$K$5:$K$104,MATCH($B222,고객사!$A$5:$A$104,0)),0))</f>
        <v/>
      </c>
      <c r="Q222" s="22" t="str">
        <f aca="false">IF($B222="","",G222*P222)</f>
        <v/>
      </c>
      <c r="R222" s="22" t="str">
        <f aca="false">IF($B222="","",O222-Q222-L222)</f>
        <v/>
      </c>
      <c r="S222" s="21" t="str">
        <f aca="false">IF(OR($B222="",N(O222)=0),"",R222/O222)</f>
        <v/>
      </c>
      <c r="T222" s="14"/>
      <c r="U222" s="19" t="n">
        <f aca="false">IF(OR($B222="",$A222=""),0,IF(COUNTIFS($A$5:$A222,$A222,$B$5:$B222,$B222)=1,1,0))</f>
        <v>0</v>
      </c>
    </row>
    <row r="223" customFormat="false" ht="15" hidden="false" customHeight="false" outlineLevel="0" collapsed="false">
      <c r="A223" s="17"/>
      <c r="B223" s="13"/>
      <c r="C223" s="20" t="str">
        <f aca="false">IF($B223="","",IFERROR(INDEX(고객사!$B$5:$B$104,MATCH($B223,고객사!$A$5:$A$104,0)),"코드 확인"))</f>
        <v/>
      </c>
      <c r="D223" s="15"/>
      <c r="E223" s="15"/>
      <c r="F223" s="16"/>
      <c r="G223" s="16"/>
      <c r="H223" s="21" t="str">
        <f aca="false">IF(OR($B223="",F223=0),"",G223/F223)</f>
        <v/>
      </c>
      <c r="I223" s="22" t="str">
        <f aca="false">IF($B223="","",MAX(F223-G223,0))</f>
        <v/>
      </c>
      <c r="J223" s="23" t="str">
        <f aca="false">IF($B223="","",IFERROR(INDEX(고객사!$G$5:$G$104,MATCH($B223,고객사!$A$5:$A$104,0)),""))</f>
        <v/>
      </c>
      <c r="K223" s="16"/>
      <c r="L223" s="22" t="str">
        <f aca="false">IF($B223="","",K223*IFERROR(INDEX(고객사!$L$5:$L$104,MATCH($B223,고객사!$A$5:$A$104,0)),0))</f>
        <v/>
      </c>
      <c r="M223" s="23" t="str">
        <f aca="false">IF($B223="","",IF(AND(J223="N",G223&gt;0,K223=0,IFERROR(INDEX(고객사!$H$5:$H$104,MATCH($B223,고객사!$A$5:$A$104,0)),"")="자사 차량 운행"),"차량 미배정",""))</f>
        <v/>
      </c>
      <c r="N223" s="22" t="str">
        <f aca="false">IF($B223="","",IFERROR(INDEX(고객사!$J$5:$J$104,MATCH($B223,고객사!$A$5:$A$104,0)),0))</f>
        <v/>
      </c>
      <c r="O223" s="22" t="str">
        <f aca="false">IF($B223="","",G223*N223)</f>
        <v/>
      </c>
      <c r="P223" s="22" t="str">
        <f aca="false">IF($B223="","",IFERROR(INDEX(고객사!$K$5:$K$104,MATCH($B223,고객사!$A$5:$A$104,0)),0))</f>
        <v/>
      </c>
      <c r="Q223" s="22" t="str">
        <f aca="false">IF($B223="","",G223*P223)</f>
        <v/>
      </c>
      <c r="R223" s="22" t="str">
        <f aca="false">IF($B223="","",O223-Q223-L223)</f>
        <v/>
      </c>
      <c r="S223" s="21" t="str">
        <f aca="false">IF(OR($B223="",N(O223)=0),"",R223/O223)</f>
        <v/>
      </c>
      <c r="T223" s="14"/>
      <c r="U223" s="19" t="n">
        <f aca="false">IF(OR($B223="",$A223=""),0,IF(COUNTIFS($A$5:$A223,$A223,$B$5:$B223,$B223)=1,1,0))</f>
        <v>0</v>
      </c>
    </row>
    <row r="224" customFormat="false" ht="15" hidden="false" customHeight="false" outlineLevel="0" collapsed="false">
      <c r="A224" s="17"/>
      <c r="B224" s="13"/>
      <c r="C224" s="20" t="str">
        <f aca="false">IF($B224="","",IFERROR(INDEX(고객사!$B$5:$B$104,MATCH($B224,고객사!$A$5:$A$104,0)),"코드 확인"))</f>
        <v/>
      </c>
      <c r="D224" s="15"/>
      <c r="E224" s="15"/>
      <c r="F224" s="16"/>
      <c r="G224" s="16"/>
      <c r="H224" s="21" t="str">
        <f aca="false">IF(OR($B224="",F224=0),"",G224/F224)</f>
        <v/>
      </c>
      <c r="I224" s="22" t="str">
        <f aca="false">IF($B224="","",MAX(F224-G224,0))</f>
        <v/>
      </c>
      <c r="J224" s="23" t="str">
        <f aca="false">IF($B224="","",IFERROR(INDEX(고객사!$G$5:$G$104,MATCH($B224,고객사!$A$5:$A$104,0)),""))</f>
        <v/>
      </c>
      <c r="K224" s="16"/>
      <c r="L224" s="22" t="str">
        <f aca="false">IF($B224="","",K224*IFERROR(INDEX(고객사!$L$5:$L$104,MATCH($B224,고객사!$A$5:$A$104,0)),0))</f>
        <v/>
      </c>
      <c r="M224" s="23" t="str">
        <f aca="false">IF($B224="","",IF(AND(J224="N",G224&gt;0,K224=0,IFERROR(INDEX(고객사!$H$5:$H$104,MATCH($B224,고객사!$A$5:$A$104,0)),"")="자사 차량 운행"),"차량 미배정",""))</f>
        <v/>
      </c>
      <c r="N224" s="22" t="str">
        <f aca="false">IF($B224="","",IFERROR(INDEX(고객사!$J$5:$J$104,MATCH($B224,고객사!$A$5:$A$104,0)),0))</f>
        <v/>
      </c>
      <c r="O224" s="22" t="str">
        <f aca="false">IF($B224="","",G224*N224)</f>
        <v/>
      </c>
      <c r="P224" s="22" t="str">
        <f aca="false">IF($B224="","",IFERROR(INDEX(고객사!$K$5:$K$104,MATCH($B224,고객사!$A$5:$A$104,0)),0))</f>
        <v/>
      </c>
      <c r="Q224" s="22" t="str">
        <f aca="false">IF($B224="","",G224*P224)</f>
        <v/>
      </c>
      <c r="R224" s="22" t="str">
        <f aca="false">IF($B224="","",O224-Q224-L224)</f>
        <v/>
      </c>
      <c r="S224" s="21" t="str">
        <f aca="false">IF(OR($B224="",N(O224)=0),"",R224/O224)</f>
        <v/>
      </c>
      <c r="T224" s="14"/>
      <c r="U224" s="19" t="n">
        <f aca="false">IF(OR($B224="",$A224=""),0,IF(COUNTIFS($A$5:$A224,$A224,$B$5:$B224,$B224)=1,1,0))</f>
        <v>0</v>
      </c>
    </row>
    <row r="225" customFormat="false" ht="15" hidden="false" customHeight="false" outlineLevel="0" collapsed="false">
      <c r="A225" s="17"/>
      <c r="B225" s="13"/>
      <c r="C225" s="20" t="str">
        <f aca="false">IF($B225="","",IFERROR(INDEX(고객사!$B$5:$B$104,MATCH($B225,고객사!$A$5:$A$104,0)),"코드 확인"))</f>
        <v/>
      </c>
      <c r="D225" s="15"/>
      <c r="E225" s="15"/>
      <c r="F225" s="16"/>
      <c r="G225" s="16"/>
      <c r="H225" s="21" t="str">
        <f aca="false">IF(OR($B225="",F225=0),"",G225/F225)</f>
        <v/>
      </c>
      <c r="I225" s="22" t="str">
        <f aca="false">IF($B225="","",MAX(F225-G225,0))</f>
        <v/>
      </c>
      <c r="J225" s="23" t="str">
        <f aca="false">IF($B225="","",IFERROR(INDEX(고객사!$G$5:$G$104,MATCH($B225,고객사!$A$5:$A$104,0)),""))</f>
        <v/>
      </c>
      <c r="K225" s="16"/>
      <c r="L225" s="22" t="str">
        <f aca="false">IF($B225="","",K225*IFERROR(INDEX(고객사!$L$5:$L$104,MATCH($B225,고객사!$A$5:$A$104,0)),0))</f>
        <v/>
      </c>
      <c r="M225" s="23" t="str">
        <f aca="false">IF($B225="","",IF(AND(J225="N",G225&gt;0,K225=0,IFERROR(INDEX(고객사!$H$5:$H$104,MATCH($B225,고객사!$A$5:$A$104,0)),"")="자사 차량 운행"),"차량 미배정",""))</f>
        <v/>
      </c>
      <c r="N225" s="22" t="str">
        <f aca="false">IF($B225="","",IFERROR(INDEX(고객사!$J$5:$J$104,MATCH($B225,고객사!$A$5:$A$104,0)),0))</f>
        <v/>
      </c>
      <c r="O225" s="22" t="str">
        <f aca="false">IF($B225="","",G225*N225)</f>
        <v/>
      </c>
      <c r="P225" s="22" t="str">
        <f aca="false">IF($B225="","",IFERROR(INDEX(고객사!$K$5:$K$104,MATCH($B225,고객사!$A$5:$A$104,0)),0))</f>
        <v/>
      </c>
      <c r="Q225" s="22" t="str">
        <f aca="false">IF($B225="","",G225*P225)</f>
        <v/>
      </c>
      <c r="R225" s="22" t="str">
        <f aca="false">IF($B225="","",O225-Q225-L225)</f>
        <v/>
      </c>
      <c r="S225" s="21" t="str">
        <f aca="false">IF(OR($B225="",N(O225)=0),"",R225/O225)</f>
        <v/>
      </c>
      <c r="T225" s="14"/>
      <c r="U225" s="19" t="n">
        <f aca="false">IF(OR($B225="",$A225=""),0,IF(COUNTIFS($A$5:$A225,$A225,$B$5:$B225,$B225)=1,1,0))</f>
        <v>0</v>
      </c>
    </row>
    <row r="226" customFormat="false" ht="15" hidden="false" customHeight="false" outlineLevel="0" collapsed="false">
      <c r="A226" s="17"/>
      <c r="B226" s="13"/>
      <c r="C226" s="20" t="str">
        <f aca="false">IF($B226="","",IFERROR(INDEX(고객사!$B$5:$B$104,MATCH($B226,고객사!$A$5:$A$104,0)),"코드 확인"))</f>
        <v/>
      </c>
      <c r="D226" s="15"/>
      <c r="E226" s="15"/>
      <c r="F226" s="16"/>
      <c r="G226" s="16"/>
      <c r="H226" s="21" t="str">
        <f aca="false">IF(OR($B226="",F226=0),"",G226/F226)</f>
        <v/>
      </c>
      <c r="I226" s="22" t="str">
        <f aca="false">IF($B226="","",MAX(F226-G226,0))</f>
        <v/>
      </c>
      <c r="J226" s="23" t="str">
        <f aca="false">IF($B226="","",IFERROR(INDEX(고객사!$G$5:$G$104,MATCH($B226,고객사!$A$5:$A$104,0)),""))</f>
        <v/>
      </c>
      <c r="K226" s="16"/>
      <c r="L226" s="22" t="str">
        <f aca="false">IF($B226="","",K226*IFERROR(INDEX(고객사!$L$5:$L$104,MATCH($B226,고객사!$A$5:$A$104,0)),0))</f>
        <v/>
      </c>
      <c r="M226" s="23" t="str">
        <f aca="false">IF($B226="","",IF(AND(J226="N",G226&gt;0,K226=0,IFERROR(INDEX(고객사!$H$5:$H$104,MATCH($B226,고객사!$A$5:$A$104,0)),"")="자사 차량 운행"),"차량 미배정",""))</f>
        <v/>
      </c>
      <c r="N226" s="22" t="str">
        <f aca="false">IF($B226="","",IFERROR(INDEX(고객사!$J$5:$J$104,MATCH($B226,고객사!$A$5:$A$104,0)),0))</f>
        <v/>
      </c>
      <c r="O226" s="22" t="str">
        <f aca="false">IF($B226="","",G226*N226)</f>
        <v/>
      </c>
      <c r="P226" s="22" t="str">
        <f aca="false">IF($B226="","",IFERROR(INDEX(고객사!$K$5:$K$104,MATCH($B226,고객사!$A$5:$A$104,0)),0))</f>
        <v/>
      </c>
      <c r="Q226" s="22" t="str">
        <f aca="false">IF($B226="","",G226*P226)</f>
        <v/>
      </c>
      <c r="R226" s="22" t="str">
        <f aca="false">IF($B226="","",O226-Q226-L226)</f>
        <v/>
      </c>
      <c r="S226" s="21" t="str">
        <f aca="false">IF(OR($B226="",N(O226)=0),"",R226/O226)</f>
        <v/>
      </c>
      <c r="T226" s="14"/>
      <c r="U226" s="19" t="n">
        <f aca="false">IF(OR($B226="",$A226=""),0,IF(COUNTIFS($A$5:$A226,$A226,$B$5:$B226,$B226)=1,1,0))</f>
        <v>0</v>
      </c>
    </row>
    <row r="227" customFormat="false" ht="15" hidden="false" customHeight="false" outlineLevel="0" collapsed="false">
      <c r="A227" s="17"/>
      <c r="B227" s="13"/>
      <c r="C227" s="20" t="str">
        <f aca="false">IF($B227="","",IFERROR(INDEX(고객사!$B$5:$B$104,MATCH($B227,고객사!$A$5:$A$104,0)),"코드 확인"))</f>
        <v/>
      </c>
      <c r="D227" s="15"/>
      <c r="E227" s="15"/>
      <c r="F227" s="16"/>
      <c r="G227" s="16"/>
      <c r="H227" s="21" t="str">
        <f aca="false">IF(OR($B227="",F227=0),"",G227/F227)</f>
        <v/>
      </c>
      <c r="I227" s="22" t="str">
        <f aca="false">IF($B227="","",MAX(F227-G227,0))</f>
        <v/>
      </c>
      <c r="J227" s="23" t="str">
        <f aca="false">IF($B227="","",IFERROR(INDEX(고객사!$G$5:$G$104,MATCH($B227,고객사!$A$5:$A$104,0)),""))</f>
        <v/>
      </c>
      <c r="K227" s="16"/>
      <c r="L227" s="22" t="str">
        <f aca="false">IF($B227="","",K227*IFERROR(INDEX(고객사!$L$5:$L$104,MATCH($B227,고객사!$A$5:$A$104,0)),0))</f>
        <v/>
      </c>
      <c r="M227" s="23" t="str">
        <f aca="false">IF($B227="","",IF(AND(J227="N",G227&gt;0,K227=0,IFERROR(INDEX(고객사!$H$5:$H$104,MATCH($B227,고객사!$A$5:$A$104,0)),"")="자사 차량 운행"),"차량 미배정",""))</f>
        <v/>
      </c>
      <c r="N227" s="22" t="str">
        <f aca="false">IF($B227="","",IFERROR(INDEX(고객사!$J$5:$J$104,MATCH($B227,고객사!$A$5:$A$104,0)),0))</f>
        <v/>
      </c>
      <c r="O227" s="22" t="str">
        <f aca="false">IF($B227="","",G227*N227)</f>
        <v/>
      </c>
      <c r="P227" s="22" t="str">
        <f aca="false">IF($B227="","",IFERROR(INDEX(고객사!$K$5:$K$104,MATCH($B227,고객사!$A$5:$A$104,0)),0))</f>
        <v/>
      </c>
      <c r="Q227" s="22" t="str">
        <f aca="false">IF($B227="","",G227*P227)</f>
        <v/>
      </c>
      <c r="R227" s="22" t="str">
        <f aca="false">IF($B227="","",O227-Q227-L227)</f>
        <v/>
      </c>
      <c r="S227" s="21" t="str">
        <f aca="false">IF(OR($B227="",N(O227)=0),"",R227/O227)</f>
        <v/>
      </c>
      <c r="T227" s="14"/>
      <c r="U227" s="19" t="n">
        <f aca="false">IF(OR($B227="",$A227=""),0,IF(COUNTIFS($A$5:$A227,$A227,$B$5:$B227,$B227)=1,1,0))</f>
        <v>0</v>
      </c>
    </row>
    <row r="228" customFormat="false" ht="15" hidden="false" customHeight="false" outlineLevel="0" collapsed="false">
      <c r="A228" s="17"/>
      <c r="B228" s="13"/>
      <c r="C228" s="20" t="str">
        <f aca="false">IF($B228="","",IFERROR(INDEX(고객사!$B$5:$B$104,MATCH($B228,고객사!$A$5:$A$104,0)),"코드 확인"))</f>
        <v/>
      </c>
      <c r="D228" s="15"/>
      <c r="E228" s="15"/>
      <c r="F228" s="16"/>
      <c r="G228" s="16"/>
      <c r="H228" s="21" t="str">
        <f aca="false">IF(OR($B228="",F228=0),"",G228/F228)</f>
        <v/>
      </c>
      <c r="I228" s="22" t="str">
        <f aca="false">IF($B228="","",MAX(F228-G228,0))</f>
        <v/>
      </c>
      <c r="J228" s="23" t="str">
        <f aca="false">IF($B228="","",IFERROR(INDEX(고객사!$G$5:$G$104,MATCH($B228,고객사!$A$5:$A$104,0)),""))</f>
        <v/>
      </c>
      <c r="K228" s="16"/>
      <c r="L228" s="22" t="str">
        <f aca="false">IF($B228="","",K228*IFERROR(INDEX(고객사!$L$5:$L$104,MATCH($B228,고객사!$A$5:$A$104,0)),0))</f>
        <v/>
      </c>
      <c r="M228" s="23" t="str">
        <f aca="false">IF($B228="","",IF(AND(J228="N",G228&gt;0,K228=0,IFERROR(INDEX(고객사!$H$5:$H$104,MATCH($B228,고객사!$A$5:$A$104,0)),"")="자사 차량 운행"),"차량 미배정",""))</f>
        <v/>
      </c>
      <c r="N228" s="22" t="str">
        <f aca="false">IF($B228="","",IFERROR(INDEX(고객사!$J$5:$J$104,MATCH($B228,고객사!$A$5:$A$104,0)),0))</f>
        <v/>
      </c>
      <c r="O228" s="22" t="str">
        <f aca="false">IF($B228="","",G228*N228)</f>
        <v/>
      </c>
      <c r="P228" s="22" t="str">
        <f aca="false">IF($B228="","",IFERROR(INDEX(고객사!$K$5:$K$104,MATCH($B228,고객사!$A$5:$A$104,0)),0))</f>
        <v/>
      </c>
      <c r="Q228" s="22" t="str">
        <f aca="false">IF($B228="","",G228*P228)</f>
        <v/>
      </c>
      <c r="R228" s="22" t="str">
        <f aca="false">IF($B228="","",O228-Q228-L228)</f>
        <v/>
      </c>
      <c r="S228" s="21" t="str">
        <f aca="false">IF(OR($B228="",N(O228)=0),"",R228/O228)</f>
        <v/>
      </c>
      <c r="T228" s="14"/>
      <c r="U228" s="19" t="n">
        <f aca="false">IF(OR($B228="",$A228=""),0,IF(COUNTIFS($A$5:$A228,$A228,$B$5:$B228,$B228)=1,1,0))</f>
        <v>0</v>
      </c>
    </row>
    <row r="229" customFormat="false" ht="15" hidden="false" customHeight="false" outlineLevel="0" collapsed="false">
      <c r="A229" s="17"/>
      <c r="B229" s="13"/>
      <c r="C229" s="20" t="str">
        <f aca="false">IF($B229="","",IFERROR(INDEX(고객사!$B$5:$B$104,MATCH($B229,고객사!$A$5:$A$104,0)),"코드 확인"))</f>
        <v/>
      </c>
      <c r="D229" s="15"/>
      <c r="E229" s="15"/>
      <c r="F229" s="16"/>
      <c r="G229" s="16"/>
      <c r="H229" s="21" t="str">
        <f aca="false">IF(OR($B229="",F229=0),"",G229/F229)</f>
        <v/>
      </c>
      <c r="I229" s="22" t="str">
        <f aca="false">IF($B229="","",MAX(F229-G229,0))</f>
        <v/>
      </c>
      <c r="J229" s="23" t="str">
        <f aca="false">IF($B229="","",IFERROR(INDEX(고객사!$G$5:$G$104,MATCH($B229,고객사!$A$5:$A$104,0)),""))</f>
        <v/>
      </c>
      <c r="K229" s="16"/>
      <c r="L229" s="22" t="str">
        <f aca="false">IF($B229="","",K229*IFERROR(INDEX(고객사!$L$5:$L$104,MATCH($B229,고객사!$A$5:$A$104,0)),0))</f>
        <v/>
      </c>
      <c r="M229" s="23" t="str">
        <f aca="false">IF($B229="","",IF(AND(J229="N",G229&gt;0,K229=0,IFERROR(INDEX(고객사!$H$5:$H$104,MATCH($B229,고객사!$A$5:$A$104,0)),"")="자사 차량 운행"),"차량 미배정",""))</f>
        <v/>
      </c>
      <c r="N229" s="22" t="str">
        <f aca="false">IF($B229="","",IFERROR(INDEX(고객사!$J$5:$J$104,MATCH($B229,고객사!$A$5:$A$104,0)),0))</f>
        <v/>
      </c>
      <c r="O229" s="22" t="str">
        <f aca="false">IF($B229="","",G229*N229)</f>
        <v/>
      </c>
      <c r="P229" s="22" t="str">
        <f aca="false">IF($B229="","",IFERROR(INDEX(고객사!$K$5:$K$104,MATCH($B229,고객사!$A$5:$A$104,0)),0))</f>
        <v/>
      </c>
      <c r="Q229" s="22" t="str">
        <f aca="false">IF($B229="","",G229*P229)</f>
        <v/>
      </c>
      <c r="R229" s="22" t="str">
        <f aca="false">IF($B229="","",O229-Q229-L229)</f>
        <v/>
      </c>
      <c r="S229" s="21" t="str">
        <f aca="false">IF(OR($B229="",N(O229)=0),"",R229/O229)</f>
        <v/>
      </c>
      <c r="T229" s="14"/>
      <c r="U229" s="19" t="n">
        <f aca="false">IF(OR($B229="",$A229=""),0,IF(COUNTIFS($A$5:$A229,$A229,$B$5:$B229,$B229)=1,1,0))</f>
        <v>0</v>
      </c>
    </row>
    <row r="230" customFormat="false" ht="15" hidden="false" customHeight="false" outlineLevel="0" collapsed="false">
      <c r="A230" s="17"/>
      <c r="B230" s="13"/>
      <c r="C230" s="20" t="str">
        <f aca="false">IF($B230="","",IFERROR(INDEX(고객사!$B$5:$B$104,MATCH($B230,고객사!$A$5:$A$104,0)),"코드 확인"))</f>
        <v/>
      </c>
      <c r="D230" s="15"/>
      <c r="E230" s="15"/>
      <c r="F230" s="16"/>
      <c r="G230" s="16"/>
      <c r="H230" s="21" t="str">
        <f aca="false">IF(OR($B230="",F230=0),"",G230/F230)</f>
        <v/>
      </c>
      <c r="I230" s="22" t="str">
        <f aca="false">IF($B230="","",MAX(F230-G230,0))</f>
        <v/>
      </c>
      <c r="J230" s="23" t="str">
        <f aca="false">IF($B230="","",IFERROR(INDEX(고객사!$G$5:$G$104,MATCH($B230,고객사!$A$5:$A$104,0)),""))</f>
        <v/>
      </c>
      <c r="K230" s="16"/>
      <c r="L230" s="22" t="str">
        <f aca="false">IF($B230="","",K230*IFERROR(INDEX(고객사!$L$5:$L$104,MATCH($B230,고객사!$A$5:$A$104,0)),0))</f>
        <v/>
      </c>
      <c r="M230" s="23" t="str">
        <f aca="false">IF($B230="","",IF(AND(J230="N",G230&gt;0,K230=0,IFERROR(INDEX(고객사!$H$5:$H$104,MATCH($B230,고객사!$A$5:$A$104,0)),"")="자사 차량 운행"),"차량 미배정",""))</f>
        <v/>
      </c>
      <c r="N230" s="22" t="str">
        <f aca="false">IF($B230="","",IFERROR(INDEX(고객사!$J$5:$J$104,MATCH($B230,고객사!$A$5:$A$104,0)),0))</f>
        <v/>
      </c>
      <c r="O230" s="22" t="str">
        <f aca="false">IF($B230="","",G230*N230)</f>
        <v/>
      </c>
      <c r="P230" s="22" t="str">
        <f aca="false">IF($B230="","",IFERROR(INDEX(고객사!$K$5:$K$104,MATCH($B230,고객사!$A$5:$A$104,0)),0))</f>
        <v/>
      </c>
      <c r="Q230" s="22" t="str">
        <f aca="false">IF($B230="","",G230*P230)</f>
        <v/>
      </c>
      <c r="R230" s="22" t="str">
        <f aca="false">IF($B230="","",O230-Q230-L230)</f>
        <v/>
      </c>
      <c r="S230" s="21" t="str">
        <f aca="false">IF(OR($B230="",N(O230)=0),"",R230/O230)</f>
        <v/>
      </c>
      <c r="T230" s="14"/>
      <c r="U230" s="19" t="n">
        <f aca="false">IF(OR($B230="",$A230=""),0,IF(COUNTIFS($A$5:$A230,$A230,$B$5:$B230,$B230)=1,1,0))</f>
        <v>0</v>
      </c>
    </row>
    <row r="231" customFormat="false" ht="15" hidden="false" customHeight="false" outlineLevel="0" collapsed="false">
      <c r="A231" s="17"/>
      <c r="B231" s="13"/>
      <c r="C231" s="20" t="str">
        <f aca="false">IF($B231="","",IFERROR(INDEX(고객사!$B$5:$B$104,MATCH($B231,고객사!$A$5:$A$104,0)),"코드 확인"))</f>
        <v/>
      </c>
      <c r="D231" s="15"/>
      <c r="E231" s="15"/>
      <c r="F231" s="16"/>
      <c r="G231" s="16"/>
      <c r="H231" s="21" t="str">
        <f aca="false">IF(OR($B231="",F231=0),"",G231/F231)</f>
        <v/>
      </c>
      <c r="I231" s="22" t="str">
        <f aca="false">IF($B231="","",MAX(F231-G231,0))</f>
        <v/>
      </c>
      <c r="J231" s="23" t="str">
        <f aca="false">IF($B231="","",IFERROR(INDEX(고객사!$G$5:$G$104,MATCH($B231,고객사!$A$5:$A$104,0)),""))</f>
        <v/>
      </c>
      <c r="K231" s="16"/>
      <c r="L231" s="22" t="str">
        <f aca="false">IF($B231="","",K231*IFERROR(INDEX(고객사!$L$5:$L$104,MATCH($B231,고객사!$A$5:$A$104,0)),0))</f>
        <v/>
      </c>
      <c r="M231" s="23" t="str">
        <f aca="false">IF($B231="","",IF(AND(J231="N",G231&gt;0,K231=0,IFERROR(INDEX(고객사!$H$5:$H$104,MATCH($B231,고객사!$A$5:$A$104,0)),"")="자사 차량 운행"),"차량 미배정",""))</f>
        <v/>
      </c>
      <c r="N231" s="22" t="str">
        <f aca="false">IF($B231="","",IFERROR(INDEX(고객사!$J$5:$J$104,MATCH($B231,고객사!$A$5:$A$104,0)),0))</f>
        <v/>
      </c>
      <c r="O231" s="22" t="str">
        <f aca="false">IF($B231="","",G231*N231)</f>
        <v/>
      </c>
      <c r="P231" s="22" t="str">
        <f aca="false">IF($B231="","",IFERROR(INDEX(고객사!$K$5:$K$104,MATCH($B231,고객사!$A$5:$A$104,0)),0))</f>
        <v/>
      </c>
      <c r="Q231" s="22" t="str">
        <f aca="false">IF($B231="","",G231*P231)</f>
        <v/>
      </c>
      <c r="R231" s="22" t="str">
        <f aca="false">IF($B231="","",O231-Q231-L231)</f>
        <v/>
      </c>
      <c r="S231" s="21" t="str">
        <f aca="false">IF(OR($B231="",N(O231)=0),"",R231/O231)</f>
        <v/>
      </c>
      <c r="T231" s="14"/>
      <c r="U231" s="19" t="n">
        <f aca="false">IF(OR($B231="",$A231=""),0,IF(COUNTIFS($A$5:$A231,$A231,$B$5:$B231,$B231)=1,1,0))</f>
        <v>0</v>
      </c>
    </row>
    <row r="232" customFormat="false" ht="15" hidden="false" customHeight="false" outlineLevel="0" collapsed="false">
      <c r="A232" s="17"/>
      <c r="B232" s="13"/>
      <c r="C232" s="20" t="str">
        <f aca="false">IF($B232="","",IFERROR(INDEX(고객사!$B$5:$B$104,MATCH($B232,고객사!$A$5:$A$104,0)),"코드 확인"))</f>
        <v/>
      </c>
      <c r="D232" s="15"/>
      <c r="E232" s="15"/>
      <c r="F232" s="16"/>
      <c r="G232" s="16"/>
      <c r="H232" s="21" t="str">
        <f aca="false">IF(OR($B232="",F232=0),"",G232/F232)</f>
        <v/>
      </c>
      <c r="I232" s="22" t="str">
        <f aca="false">IF($B232="","",MAX(F232-G232,0))</f>
        <v/>
      </c>
      <c r="J232" s="23" t="str">
        <f aca="false">IF($B232="","",IFERROR(INDEX(고객사!$G$5:$G$104,MATCH($B232,고객사!$A$5:$A$104,0)),""))</f>
        <v/>
      </c>
      <c r="K232" s="16"/>
      <c r="L232" s="22" t="str">
        <f aca="false">IF($B232="","",K232*IFERROR(INDEX(고객사!$L$5:$L$104,MATCH($B232,고객사!$A$5:$A$104,0)),0))</f>
        <v/>
      </c>
      <c r="M232" s="23" t="str">
        <f aca="false">IF($B232="","",IF(AND(J232="N",G232&gt;0,K232=0,IFERROR(INDEX(고객사!$H$5:$H$104,MATCH($B232,고객사!$A$5:$A$104,0)),"")="자사 차량 운행"),"차량 미배정",""))</f>
        <v/>
      </c>
      <c r="N232" s="22" t="str">
        <f aca="false">IF($B232="","",IFERROR(INDEX(고객사!$J$5:$J$104,MATCH($B232,고객사!$A$5:$A$104,0)),0))</f>
        <v/>
      </c>
      <c r="O232" s="22" t="str">
        <f aca="false">IF($B232="","",G232*N232)</f>
        <v/>
      </c>
      <c r="P232" s="22" t="str">
        <f aca="false">IF($B232="","",IFERROR(INDEX(고객사!$K$5:$K$104,MATCH($B232,고객사!$A$5:$A$104,0)),0))</f>
        <v/>
      </c>
      <c r="Q232" s="22" t="str">
        <f aca="false">IF($B232="","",G232*P232)</f>
        <v/>
      </c>
      <c r="R232" s="22" t="str">
        <f aca="false">IF($B232="","",O232-Q232-L232)</f>
        <v/>
      </c>
      <c r="S232" s="21" t="str">
        <f aca="false">IF(OR($B232="",N(O232)=0),"",R232/O232)</f>
        <v/>
      </c>
      <c r="T232" s="14"/>
      <c r="U232" s="19" t="n">
        <f aca="false">IF(OR($B232="",$A232=""),0,IF(COUNTIFS($A$5:$A232,$A232,$B$5:$B232,$B232)=1,1,0))</f>
        <v>0</v>
      </c>
    </row>
    <row r="233" customFormat="false" ht="15" hidden="false" customHeight="false" outlineLevel="0" collapsed="false">
      <c r="A233" s="17"/>
      <c r="B233" s="13"/>
      <c r="C233" s="20" t="str">
        <f aca="false">IF($B233="","",IFERROR(INDEX(고객사!$B$5:$B$104,MATCH($B233,고객사!$A$5:$A$104,0)),"코드 확인"))</f>
        <v/>
      </c>
      <c r="D233" s="15"/>
      <c r="E233" s="15"/>
      <c r="F233" s="16"/>
      <c r="G233" s="16"/>
      <c r="H233" s="21" t="str">
        <f aca="false">IF(OR($B233="",F233=0),"",G233/F233)</f>
        <v/>
      </c>
      <c r="I233" s="22" t="str">
        <f aca="false">IF($B233="","",MAX(F233-G233,0))</f>
        <v/>
      </c>
      <c r="J233" s="23" t="str">
        <f aca="false">IF($B233="","",IFERROR(INDEX(고객사!$G$5:$G$104,MATCH($B233,고객사!$A$5:$A$104,0)),""))</f>
        <v/>
      </c>
      <c r="K233" s="16"/>
      <c r="L233" s="22" t="str">
        <f aca="false">IF($B233="","",K233*IFERROR(INDEX(고객사!$L$5:$L$104,MATCH($B233,고객사!$A$5:$A$104,0)),0))</f>
        <v/>
      </c>
      <c r="M233" s="23" t="str">
        <f aca="false">IF($B233="","",IF(AND(J233="N",G233&gt;0,K233=0,IFERROR(INDEX(고객사!$H$5:$H$104,MATCH($B233,고객사!$A$5:$A$104,0)),"")="자사 차량 운행"),"차량 미배정",""))</f>
        <v/>
      </c>
      <c r="N233" s="22" t="str">
        <f aca="false">IF($B233="","",IFERROR(INDEX(고객사!$J$5:$J$104,MATCH($B233,고객사!$A$5:$A$104,0)),0))</f>
        <v/>
      </c>
      <c r="O233" s="22" t="str">
        <f aca="false">IF($B233="","",G233*N233)</f>
        <v/>
      </c>
      <c r="P233" s="22" t="str">
        <f aca="false">IF($B233="","",IFERROR(INDEX(고객사!$K$5:$K$104,MATCH($B233,고객사!$A$5:$A$104,0)),0))</f>
        <v/>
      </c>
      <c r="Q233" s="22" t="str">
        <f aca="false">IF($B233="","",G233*P233)</f>
        <v/>
      </c>
      <c r="R233" s="22" t="str">
        <f aca="false">IF($B233="","",O233-Q233-L233)</f>
        <v/>
      </c>
      <c r="S233" s="21" t="str">
        <f aca="false">IF(OR($B233="",N(O233)=0),"",R233/O233)</f>
        <v/>
      </c>
      <c r="T233" s="14"/>
      <c r="U233" s="19" t="n">
        <f aca="false">IF(OR($B233="",$A233=""),0,IF(COUNTIFS($A$5:$A233,$A233,$B$5:$B233,$B233)=1,1,0))</f>
        <v>0</v>
      </c>
    </row>
    <row r="234" customFormat="false" ht="15" hidden="false" customHeight="false" outlineLevel="0" collapsed="false">
      <c r="A234" s="17"/>
      <c r="B234" s="13"/>
      <c r="C234" s="20" t="str">
        <f aca="false">IF($B234="","",IFERROR(INDEX(고객사!$B$5:$B$104,MATCH($B234,고객사!$A$5:$A$104,0)),"코드 확인"))</f>
        <v/>
      </c>
      <c r="D234" s="15"/>
      <c r="E234" s="15"/>
      <c r="F234" s="16"/>
      <c r="G234" s="16"/>
      <c r="H234" s="21" t="str">
        <f aca="false">IF(OR($B234="",F234=0),"",G234/F234)</f>
        <v/>
      </c>
      <c r="I234" s="22" t="str">
        <f aca="false">IF($B234="","",MAX(F234-G234,0))</f>
        <v/>
      </c>
      <c r="J234" s="23" t="str">
        <f aca="false">IF($B234="","",IFERROR(INDEX(고객사!$G$5:$G$104,MATCH($B234,고객사!$A$5:$A$104,0)),""))</f>
        <v/>
      </c>
      <c r="K234" s="16"/>
      <c r="L234" s="22" t="str">
        <f aca="false">IF($B234="","",K234*IFERROR(INDEX(고객사!$L$5:$L$104,MATCH($B234,고객사!$A$5:$A$104,0)),0))</f>
        <v/>
      </c>
      <c r="M234" s="23" t="str">
        <f aca="false">IF($B234="","",IF(AND(J234="N",G234&gt;0,K234=0,IFERROR(INDEX(고객사!$H$5:$H$104,MATCH($B234,고객사!$A$5:$A$104,0)),"")="자사 차량 운행"),"차량 미배정",""))</f>
        <v/>
      </c>
      <c r="N234" s="22" t="str">
        <f aca="false">IF($B234="","",IFERROR(INDEX(고객사!$J$5:$J$104,MATCH($B234,고객사!$A$5:$A$104,0)),0))</f>
        <v/>
      </c>
      <c r="O234" s="22" t="str">
        <f aca="false">IF($B234="","",G234*N234)</f>
        <v/>
      </c>
      <c r="P234" s="22" t="str">
        <f aca="false">IF($B234="","",IFERROR(INDEX(고객사!$K$5:$K$104,MATCH($B234,고객사!$A$5:$A$104,0)),0))</f>
        <v/>
      </c>
      <c r="Q234" s="22" t="str">
        <f aca="false">IF($B234="","",G234*P234)</f>
        <v/>
      </c>
      <c r="R234" s="22" t="str">
        <f aca="false">IF($B234="","",O234-Q234-L234)</f>
        <v/>
      </c>
      <c r="S234" s="21" t="str">
        <f aca="false">IF(OR($B234="",N(O234)=0),"",R234/O234)</f>
        <v/>
      </c>
      <c r="T234" s="14"/>
      <c r="U234" s="19" t="n">
        <f aca="false">IF(OR($B234="",$A234=""),0,IF(COUNTIFS($A$5:$A234,$A234,$B$5:$B234,$B234)=1,1,0))</f>
        <v>0</v>
      </c>
    </row>
    <row r="235" customFormat="false" ht="15" hidden="false" customHeight="false" outlineLevel="0" collapsed="false">
      <c r="A235" s="17"/>
      <c r="B235" s="13"/>
      <c r="C235" s="20" t="str">
        <f aca="false">IF($B235="","",IFERROR(INDEX(고객사!$B$5:$B$104,MATCH($B235,고객사!$A$5:$A$104,0)),"코드 확인"))</f>
        <v/>
      </c>
      <c r="D235" s="15"/>
      <c r="E235" s="15"/>
      <c r="F235" s="16"/>
      <c r="G235" s="16"/>
      <c r="H235" s="21" t="str">
        <f aca="false">IF(OR($B235="",F235=0),"",G235/F235)</f>
        <v/>
      </c>
      <c r="I235" s="22" t="str">
        <f aca="false">IF($B235="","",MAX(F235-G235,0))</f>
        <v/>
      </c>
      <c r="J235" s="23" t="str">
        <f aca="false">IF($B235="","",IFERROR(INDEX(고객사!$G$5:$G$104,MATCH($B235,고객사!$A$5:$A$104,0)),""))</f>
        <v/>
      </c>
      <c r="K235" s="16"/>
      <c r="L235" s="22" t="str">
        <f aca="false">IF($B235="","",K235*IFERROR(INDEX(고객사!$L$5:$L$104,MATCH($B235,고객사!$A$5:$A$104,0)),0))</f>
        <v/>
      </c>
      <c r="M235" s="23" t="str">
        <f aca="false">IF($B235="","",IF(AND(J235="N",G235&gt;0,K235=0,IFERROR(INDEX(고객사!$H$5:$H$104,MATCH($B235,고객사!$A$5:$A$104,0)),"")="자사 차량 운행"),"차량 미배정",""))</f>
        <v/>
      </c>
      <c r="N235" s="22" t="str">
        <f aca="false">IF($B235="","",IFERROR(INDEX(고객사!$J$5:$J$104,MATCH($B235,고객사!$A$5:$A$104,0)),0))</f>
        <v/>
      </c>
      <c r="O235" s="22" t="str">
        <f aca="false">IF($B235="","",G235*N235)</f>
        <v/>
      </c>
      <c r="P235" s="22" t="str">
        <f aca="false">IF($B235="","",IFERROR(INDEX(고객사!$K$5:$K$104,MATCH($B235,고객사!$A$5:$A$104,0)),0))</f>
        <v/>
      </c>
      <c r="Q235" s="22" t="str">
        <f aca="false">IF($B235="","",G235*P235)</f>
        <v/>
      </c>
      <c r="R235" s="22" t="str">
        <f aca="false">IF($B235="","",O235-Q235-L235)</f>
        <v/>
      </c>
      <c r="S235" s="21" t="str">
        <f aca="false">IF(OR($B235="",N(O235)=0),"",R235/O235)</f>
        <v/>
      </c>
      <c r="T235" s="14"/>
      <c r="U235" s="19" t="n">
        <f aca="false">IF(OR($B235="",$A235=""),0,IF(COUNTIFS($A$5:$A235,$A235,$B$5:$B235,$B235)=1,1,0))</f>
        <v>0</v>
      </c>
    </row>
    <row r="236" customFormat="false" ht="15" hidden="false" customHeight="false" outlineLevel="0" collapsed="false">
      <c r="A236" s="17"/>
      <c r="B236" s="13"/>
      <c r="C236" s="20" t="str">
        <f aca="false">IF($B236="","",IFERROR(INDEX(고객사!$B$5:$B$104,MATCH($B236,고객사!$A$5:$A$104,0)),"코드 확인"))</f>
        <v/>
      </c>
      <c r="D236" s="15"/>
      <c r="E236" s="15"/>
      <c r="F236" s="16"/>
      <c r="G236" s="16"/>
      <c r="H236" s="21" t="str">
        <f aca="false">IF(OR($B236="",F236=0),"",G236/F236)</f>
        <v/>
      </c>
      <c r="I236" s="22" t="str">
        <f aca="false">IF($B236="","",MAX(F236-G236,0))</f>
        <v/>
      </c>
      <c r="J236" s="23" t="str">
        <f aca="false">IF($B236="","",IFERROR(INDEX(고객사!$G$5:$G$104,MATCH($B236,고객사!$A$5:$A$104,0)),""))</f>
        <v/>
      </c>
      <c r="K236" s="16"/>
      <c r="L236" s="22" t="str">
        <f aca="false">IF($B236="","",K236*IFERROR(INDEX(고객사!$L$5:$L$104,MATCH($B236,고객사!$A$5:$A$104,0)),0))</f>
        <v/>
      </c>
      <c r="M236" s="23" t="str">
        <f aca="false">IF($B236="","",IF(AND(J236="N",G236&gt;0,K236=0,IFERROR(INDEX(고객사!$H$5:$H$104,MATCH($B236,고객사!$A$5:$A$104,0)),"")="자사 차량 운행"),"차량 미배정",""))</f>
        <v/>
      </c>
      <c r="N236" s="22" t="str">
        <f aca="false">IF($B236="","",IFERROR(INDEX(고객사!$J$5:$J$104,MATCH($B236,고객사!$A$5:$A$104,0)),0))</f>
        <v/>
      </c>
      <c r="O236" s="22" t="str">
        <f aca="false">IF($B236="","",G236*N236)</f>
        <v/>
      </c>
      <c r="P236" s="22" t="str">
        <f aca="false">IF($B236="","",IFERROR(INDEX(고객사!$K$5:$K$104,MATCH($B236,고객사!$A$5:$A$104,0)),0))</f>
        <v/>
      </c>
      <c r="Q236" s="22" t="str">
        <f aca="false">IF($B236="","",G236*P236)</f>
        <v/>
      </c>
      <c r="R236" s="22" t="str">
        <f aca="false">IF($B236="","",O236-Q236-L236)</f>
        <v/>
      </c>
      <c r="S236" s="21" t="str">
        <f aca="false">IF(OR($B236="",N(O236)=0),"",R236/O236)</f>
        <v/>
      </c>
      <c r="T236" s="14"/>
      <c r="U236" s="19" t="n">
        <f aca="false">IF(OR($B236="",$A236=""),0,IF(COUNTIFS($A$5:$A236,$A236,$B$5:$B236,$B236)=1,1,0))</f>
        <v>0</v>
      </c>
    </row>
    <row r="237" customFormat="false" ht="15" hidden="false" customHeight="false" outlineLevel="0" collapsed="false">
      <c r="A237" s="17"/>
      <c r="B237" s="13"/>
      <c r="C237" s="20" t="str">
        <f aca="false">IF($B237="","",IFERROR(INDEX(고객사!$B$5:$B$104,MATCH($B237,고객사!$A$5:$A$104,0)),"코드 확인"))</f>
        <v/>
      </c>
      <c r="D237" s="15"/>
      <c r="E237" s="15"/>
      <c r="F237" s="16"/>
      <c r="G237" s="16"/>
      <c r="H237" s="21" t="str">
        <f aca="false">IF(OR($B237="",F237=0),"",G237/F237)</f>
        <v/>
      </c>
      <c r="I237" s="22" t="str">
        <f aca="false">IF($B237="","",MAX(F237-G237,0))</f>
        <v/>
      </c>
      <c r="J237" s="23" t="str">
        <f aca="false">IF($B237="","",IFERROR(INDEX(고객사!$G$5:$G$104,MATCH($B237,고객사!$A$5:$A$104,0)),""))</f>
        <v/>
      </c>
      <c r="K237" s="16"/>
      <c r="L237" s="22" t="str">
        <f aca="false">IF($B237="","",K237*IFERROR(INDEX(고객사!$L$5:$L$104,MATCH($B237,고객사!$A$5:$A$104,0)),0))</f>
        <v/>
      </c>
      <c r="M237" s="23" t="str">
        <f aca="false">IF($B237="","",IF(AND(J237="N",G237&gt;0,K237=0,IFERROR(INDEX(고객사!$H$5:$H$104,MATCH($B237,고객사!$A$5:$A$104,0)),"")="자사 차량 운행"),"차량 미배정",""))</f>
        <v/>
      </c>
      <c r="N237" s="22" t="str">
        <f aca="false">IF($B237="","",IFERROR(INDEX(고객사!$J$5:$J$104,MATCH($B237,고객사!$A$5:$A$104,0)),0))</f>
        <v/>
      </c>
      <c r="O237" s="22" t="str">
        <f aca="false">IF($B237="","",G237*N237)</f>
        <v/>
      </c>
      <c r="P237" s="22" t="str">
        <f aca="false">IF($B237="","",IFERROR(INDEX(고객사!$K$5:$K$104,MATCH($B237,고객사!$A$5:$A$104,0)),0))</f>
        <v/>
      </c>
      <c r="Q237" s="22" t="str">
        <f aca="false">IF($B237="","",G237*P237)</f>
        <v/>
      </c>
      <c r="R237" s="22" t="str">
        <f aca="false">IF($B237="","",O237-Q237-L237)</f>
        <v/>
      </c>
      <c r="S237" s="21" t="str">
        <f aca="false">IF(OR($B237="",N(O237)=0),"",R237/O237)</f>
        <v/>
      </c>
      <c r="T237" s="14"/>
      <c r="U237" s="19" t="n">
        <f aca="false">IF(OR($B237="",$A237=""),0,IF(COUNTIFS($A$5:$A237,$A237,$B$5:$B237,$B237)=1,1,0))</f>
        <v>0</v>
      </c>
    </row>
    <row r="238" customFormat="false" ht="15" hidden="false" customHeight="false" outlineLevel="0" collapsed="false">
      <c r="A238" s="17"/>
      <c r="B238" s="13"/>
      <c r="C238" s="20" t="str">
        <f aca="false">IF($B238="","",IFERROR(INDEX(고객사!$B$5:$B$104,MATCH($B238,고객사!$A$5:$A$104,0)),"코드 확인"))</f>
        <v/>
      </c>
      <c r="D238" s="15"/>
      <c r="E238" s="15"/>
      <c r="F238" s="16"/>
      <c r="G238" s="16"/>
      <c r="H238" s="21" t="str">
        <f aca="false">IF(OR($B238="",F238=0),"",G238/F238)</f>
        <v/>
      </c>
      <c r="I238" s="22" t="str">
        <f aca="false">IF($B238="","",MAX(F238-G238,0))</f>
        <v/>
      </c>
      <c r="J238" s="23" t="str">
        <f aca="false">IF($B238="","",IFERROR(INDEX(고객사!$G$5:$G$104,MATCH($B238,고객사!$A$5:$A$104,0)),""))</f>
        <v/>
      </c>
      <c r="K238" s="16"/>
      <c r="L238" s="22" t="str">
        <f aca="false">IF($B238="","",K238*IFERROR(INDEX(고객사!$L$5:$L$104,MATCH($B238,고객사!$A$5:$A$104,0)),0))</f>
        <v/>
      </c>
      <c r="M238" s="23" t="str">
        <f aca="false">IF($B238="","",IF(AND(J238="N",G238&gt;0,K238=0,IFERROR(INDEX(고객사!$H$5:$H$104,MATCH($B238,고객사!$A$5:$A$104,0)),"")="자사 차량 운행"),"차량 미배정",""))</f>
        <v/>
      </c>
      <c r="N238" s="22" t="str">
        <f aca="false">IF($B238="","",IFERROR(INDEX(고객사!$J$5:$J$104,MATCH($B238,고객사!$A$5:$A$104,0)),0))</f>
        <v/>
      </c>
      <c r="O238" s="22" t="str">
        <f aca="false">IF($B238="","",G238*N238)</f>
        <v/>
      </c>
      <c r="P238" s="22" t="str">
        <f aca="false">IF($B238="","",IFERROR(INDEX(고객사!$K$5:$K$104,MATCH($B238,고객사!$A$5:$A$104,0)),0))</f>
        <v/>
      </c>
      <c r="Q238" s="22" t="str">
        <f aca="false">IF($B238="","",G238*P238)</f>
        <v/>
      </c>
      <c r="R238" s="22" t="str">
        <f aca="false">IF($B238="","",O238-Q238-L238)</f>
        <v/>
      </c>
      <c r="S238" s="21" t="str">
        <f aca="false">IF(OR($B238="",N(O238)=0),"",R238/O238)</f>
        <v/>
      </c>
      <c r="T238" s="14"/>
      <c r="U238" s="19" t="n">
        <f aca="false">IF(OR($B238="",$A238=""),0,IF(COUNTIFS($A$5:$A238,$A238,$B$5:$B238,$B238)=1,1,0))</f>
        <v>0</v>
      </c>
    </row>
    <row r="239" customFormat="false" ht="15" hidden="false" customHeight="false" outlineLevel="0" collapsed="false">
      <c r="A239" s="17"/>
      <c r="B239" s="13"/>
      <c r="C239" s="20" t="str">
        <f aca="false">IF($B239="","",IFERROR(INDEX(고객사!$B$5:$B$104,MATCH($B239,고객사!$A$5:$A$104,0)),"코드 확인"))</f>
        <v/>
      </c>
      <c r="D239" s="15"/>
      <c r="E239" s="15"/>
      <c r="F239" s="16"/>
      <c r="G239" s="16"/>
      <c r="H239" s="21" t="str">
        <f aca="false">IF(OR($B239="",F239=0),"",G239/F239)</f>
        <v/>
      </c>
      <c r="I239" s="22" t="str">
        <f aca="false">IF($B239="","",MAX(F239-G239,0))</f>
        <v/>
      </c>
      <c r="J239" s="23" t="str">
        <f aca="false">IF($B239="","",IFERROR(INDEX(고객사!$G$5:$G$104,MATCH($B239,고객사!$A$5:$A$104,0)),""))</f>
        <v/>
      </c>
      <c r="K239" s="16"/>
      <c r="L239" s="22" t="str">
        <f aca="false">IF($B239="","",K239*IFERROR(INDEX(고객사!$L$5:$L$104,MATCH($B239,고객사!$A$5:$A$104,0)),0))</f>
        <v/>
      </c>
      <c r="M239" s="23" t="str">
        <f aca="false">IF($B239="","",IF(AND(J239="N",G239&gt;0,K239=0,IFERROR(INDEX(고객사!$H$5:$H$104,MATCH($B239,고객사!$A$5:$A$104,0)),"")="자사 차량 운행"),"차량 미배정",""))</f>
        <v/>
      </c>
      <c r="N239" s="22" t="str">
        <f aca="false">IF($B239="","",IFERROR(INDEX(고객사!$J$5:$J$104,MATCH($B239,고객사!$A$5:$A$104,0)),0))</f>
        <v/>
      </c>
      <c r="O239" s="22" t="str">
        <f aca="false">IF($B239="","",G239*N239)</f>
        <v/>
      </c>
      <c r="P239" s="22" t="str">
        <f aca="false">IF($B239="","",IFERROR(INDEX(고객사!$K$5:$K$104,MATCH($B239,고객사!$A$5:$A$104,0)),0))</f>
        <v/>
      </c>
      <c r="Q239" s="22" t="str">
        <f aca="false">IF($B239="","",G239*P239)</f>
        <v/>
      </c>
      <c r="R239" s="22" t="str">
        <f aca="false">IF($B239="","",O239-Q239-L239)</f>
        <v/>
      </c>
      <c r="S239" s="21" t="str">
        <f aca="false">IF(OR($B239="",N(O239)=0),"",R239/O239)</f>
        <v/>
      </c>
      <c r="T239" s="14"/>
      <c r="U239" s="19" t="n">
        <f aca="false">IF(OR($B239="",$A239=""),0,IF(COUNTIFS($A$5:$A239,$A239,$B$5:$B239,$B239)=1,1,0))</f>
        <v>0</v>
      </c>
    </row>
    <row r="240" customFormat="false" ht="15" hidden="false" customHeight="false" outlineLevel="0" collapsed="false">
      <c r="A240" s="17"/>
      <c r="B240" s="13"/>
      <c r="C240" s="20" t="str">
        <f aca="false">IF($B240="","",IFERROR(INDEX(고객사!$B$5:$B$104,MATCH($B240,고객사!$A$5:$A$104,0)),"코드 확인"))</f>
        <v/>
      </c>
      <c r="D240" s="15"/>
      <c r="E240" s="15"/>
      <c r="F240" s="16"/>
      <c r="G240" s="16"/>
      <c r="H240" s="21" t="str">
        <f aca="false">IF(OR($B240="",F240=0),"",G240/F240)</f>
        <v/>
      </c>
      <c r="I240" s="22" t="str">
        <f aca="false">IF($B240="","",MAX(F240-G240,0))</f>
        <v/>
      </c>
      <c r="J240" s="23" t="str">
        <f aca="false">IF($B240="","",IFERROR(INDEX(고객사!$G$5:$G$104,MATCH($B240,고객사!$A$5:$A$104,0)),""))</f>
        <v/>
      </c>
      <c r="K240" s="16"/>
      <c r="L240" s="22" t="str">
        <f aca="false">IF($B240="","",K240*IFERROR(INDEX(고객사!$L$5:$L$104,MATCH($B240,고객사!$A$5:$A$104,0)),0))</f>
        <v/>
      </c>
      <c r="M240" s="23" t="str">
        <f aca="false">IF($B240="","",IF(AND(J240="N",G240&gt;0,K240=0,IFERROR(INDEX(고객사!$H$5:$H$104,MATCH($B240,고객사!$A$5:$A$104,0)),"")="자사 차량 운행"),"차량 미배정",""))</f>
        <v/>
      </c>
      <c r="N240" s="22" t="str">
        <f aca="false">IF($B240="","",IFERROR(INDEX(고객사!$J$5:$J$104,MATCH($B240,고객사!$A$5:$A$104,0)),0))</f>
        <v/>
      </c>
      <c r="O240" s="22" t="str">
        <f aca="false">IF($B240="","",G240*N240)</f>
        <v/>
      </c>
      <c r="P240" s="22" t="str">
        <f aca="false">IF($B240="","",IFERROR(INDEX(고객사!$K$5:$K$104,MATCH($B240,고객사!$A$5:$A$104,0)),0))</f>
        <v/>
      </c>
      <c r="Q240" s="22" t="str">
        <f aca="false">IF($B240="","",G240*P240)</f>
        <v/>
      </c>
      <c r="R240" s="22" t="str">
        <f aca="false">IF($B240="","",O240-Q240-L240)</f>
        <v/>
      </c>
      <c r="S240" s="21" t="str">
        <f aca="false">IF(OR($B240="",N(O240)=0),"",R240/O240)</f>
        <v/>
      </c>
      <c r="T240" s="14"/>
      <c r="U240" s="19" t="n">
        <f aca="false">IF(OR($B240="",$A240=""),0,IF(COUNTIFS($A$5:$A240,$A240,$B$5:$B240,$B240)=1,1,0))</f>
        <v>0</v>
      </c>
    </row>
    <row r="241" customFormat="false" ht="15" hidden="false" customHeight="false" outlineLevel="0" collapsed="false">
      <c r="A241" s="17"/>
      <c r="B241" s="13"/>
      <c r="C241" s="20" t="str">
        <f aca="false">IF($B241="","",IFERROR(INDEX(고객사!$B$5:$B$104,MATCH($B241,고객사!$A$5:$A$104,0)),"코드 확인"))</f>
        <v/>
      </c>
      <c r="D241" s="15"/>
      <c r="E241" s="15"/>
      <c r="F241" s="16"/>
      <c r="G241" s="16"/>
      <c r="H241" s="21" t="str">
        <f aca="false">IF(OR($B241="",F241=0),"",G241/F241)</f>
        <v/>
      </c>
      <c r="I241" s="22" t="str">
        <f aca="false">IF($B241="","",MAX(F241-G241,0))</f>
        <v/>
      </c>
      <c r="J241" s="23" t="str">
        <f aca="false">IF($B241="","",IFERROR(INDEX(고객사!$G$5:$G$104,MATCH($B241,고객사!$A$5:$A$104,0)),""))</f>
        <v/>
      </c>
      <c r="K241" s="16"/>
      <c r="L241" s="22" t="str">
        <f aca="false">IF($B241="","",K241*IFERROR(INDEX(고객사!$L$5:$L$104,MATCH($B241,고객사!$A$5:$A$104,0)),0))</f>
        <v/>
      </c>
      <c r="M241" s="23" t="str">
        <f aca="false">IF($B241="","",IF(AND(J241="N",G241&gt;0,K241=0,IFERROR(INDEX(고객사!$H$5:$H$104,MATCH($B241,고객사!$A$5:$A$104,0)),"")="자사 차량 운행"),"차량 미배정",""))</f>
        <v/>
      </c>
      <c r="N241" s="22" t="str">
        <f aca="false">IF($B241="","",IFERROR(INDEX(고객사!$J$5:$J$104,MATCH($B241,고객사!$A$5:$A$104,0)),0))</f>
        <v/>
      </c>
      <c r="O241" s="22" t="str">
        <f aca="false">IF($B241="","",G241*N241)</f>
        <v/>
      </c>
      <c r="P241" s="22" t="str">
        <f aca="false">IF($B241="","",IFERROR(INDEX(고객사!$K$5:$K$104,MATCH($B241,고객사!$A$5:$A$104,0)),0))</f>
        <v/>
      </c>
      <c r="Q241" s="22" t="str">
        <f aca="false">IF($B241="","",G241*P241)</f>
        <v/>
      </c>
      <c r="R241" s="22" t="str">
        <f aca="false">IF($B241="","",O241-Q241-L241)</f>
        <v/>
      </c>
      <c r="S241" s="21" t="str">
        <f aca="false">IF(OR($B241="",N(O241)=0),"",R241/O241)</f>
        <v/>
      </c>
      <c r="T241" s="14"/>
      <c r="U241" s="19" t="n">
        <f aca="false">IF(OR($B241="",$A241=""),0,IF(COUNTIFS($A$5:$A241,$A241,$B$5:$B241,$B241)=1,1,0))</f>
        <v>0</v>
      </c>
    </row>
    <row r="242" customFormat="false" ht="15" hidden="false" customHeight="false" outlineLevel="0" collapsed="false">
      <c r="A242" s="17"/>
      <c r="B242" s="13"/>
      <c r="C242" s="20" t="str">
        <f aca="false">IF($B242="","",IFERROR(INDEX(고객사!$B$5:$B$104,MATCH($B242,고객사!$A$5:$A$104,0)),"코드 확인"))</f>
        <v/>
      </c>
      <c r="D242" s="15"/>
      <c r="E242" s="15"/>
      <c r="F242" s="16"/>
      <c r="G242" s="16"/>
      <c r="H242" s="21" t="str">
        <f aca="false">IF(OR($B242="",F242=0),"",G242/F242)</f>
        <v/>
      </c>
      <c r="I242" s="22" t="str">
        <f aca="false">IF($B242="","",MAX(F242-G242,0))</f>
        <v/>
      </c>
      <c r="J242" s="23" t="str">
        <f aca="false">IF($B242="","",IFERROR(INDEX(고객사!$G$5:$G$104,MATCH($B242,고객사!$A$5:$A$104,0)),""))</f>
        <v/>
      </c>
      <c r="K242" s="16"/>
      <c r="L242" s="22" t="str">
        <f aca="false">IF($B242="","",K242*IFERROR(INDEX(고객사!$L$5:$L$104,MATCH($B242,고객사!$A$5:$A$104,0)),0))</f>
        <v/>
      </c>
      <c r="M242" s="23" t="str">
        <f aca="false">IF($B242="","",IF(AND(J242="N",G242&gt;0,K242=0,IFERROR(INDEX(고객사!$H$5:$H$104,MATCH($B242,고객사!$A$5:$A$104,0)),"")="자사 차량 운행"),"차량 미배정",""))</f>
        <v/>
      </c>
      <c r="N242" s="22" t="str">
        <f aca="false">IF($B242="","",IFERROR(INDEX(고객사!$J$5:$J$104,MATCH($B242,고객사!$A$5:$A$104,0)),0))</f>
        <v/>
      </c>
      <c r="O242" s="22" t="str">
        <f aca="false">IF($B242="","",G242*N242)</f>
        <v/>
      </c>
      <c r="P242" s="22" t="str">
        <f aca="false">IF($B242="","",IFERROR(INDEX(고객사!$K$5:$K$104,MATCH($B242,고객사!$A$5:$A$104,0)),0))</f>
        <v/>
      </c>
      <c r="Q242" s="22" t="str">
        <f aca="false">IF($B242="","",G242*P242)</f>
        <v/>
      </c>
      <c r="R242" s="22" t="str">
        <f aca="false">IF($B242="","",O242-Q242-L242)</f>
        <v/>
      </c>
      <c r="S242" s="21" t="str">
        <f aca="false">IF(OR($B242="",N(O242)=0),"",R242/O242)</f>
        <v/>
      </c>
      <c r="T242" s="14"/>
      <c r="U242" s="19" t="n">
        <f aca="false">IF(OR($B242="",$A242=""),0,IF(COUNTIFS($A$5:$A242,$A242,$B$5:$B242,$B242)=1,1,0))</f>
        <v>0</v>
      </c>
    </row>
    <row r="243" customFormat="false" ht="15" hidden="false" customHeight="false" outlineLevel="0" collapsed="false">
      <c r="A243" s="17"/>
      <c r="B243" s="13"/>
      <c r="C243" s="20" t="str">
        <f aca="false">IF($B243="","",IFERROR(INDEX(고객사!$B$5:$B$104,MATCH($B243,고객사!$A$5:$A$104,0)),"코드 확인"))</f>
        <v/>
      </c>
      <c r="D243" s="15"/>
      <c r="E243" s="15"/>
      <c r="F243" s="16"/>
      <c r="G243" s="16"/>
      <c r="H243" s="21" t="str">
        <f aca="false">IF(OR($B243="",F243=0),"",G243/F243)</f>
        <v/>
      </c>
      <c r="I243" s="22" t="str">
        <f aca="false">IF($B243="","",MAX(F243-G243,0))</f>
        <v/>
      </c>
      <c r="J243" s="23" t="str">
        <f aca="false">IF($B243="","",IFERROR(INDEX(고객사!$G$5:$G$104,MATCH($B243,고객사!$A$5:$A$104,0)),""))</f>
        <v/>
      </c>
      <c r="K243" s="16"/>
      <c r="L243" s="22" t="str">
        <f aca="false">IF($B243="","",K243*IFERROR(INDEX(고객사!$L$5:$L$104,MATCH($B243,고객사!$A$5:$A$104,0)),0))</f>
        <v/>
      </c>
      <c r="M243" s="23" t="str">
        <f aca="false">IF($B243="","",IF(AND(J243="N",G243&gt;0,K243=0,IFERROR(INDEX(고객사!$H$5:$H$104,MATCH($B243,고객사!$A$5:$A$104,0)),"")="자사 차량 운행"),"차량 미배정",""))</f>
        <v/>
      </c>
      <c r="N243" s="22" t="str">
        <f aca="false">IF($B243="","",IFERROR(INDEX(고객사!$J$5:$J$104,MATCH($B243,고객사!$A$5:$A$104,0)),0))</f>
        <v/>
      </c>
      <c r="O243" s="22" t="str">
        <f aca="false">IF($B243="","",G243*N243)</f>
        <v/>
      </c>
      <c r="P243" s="22" t="str">
        <f aca="false">IF($B243="","",IFERROR(INDEX(고객사!$K$5:$K$104,MATCH($B243,고객사!$A$5:$A$104,0)),0))</f>
        <v/>
      </c>
      <c r="Q243" s="22" t="str">
        <f aca="false">IF($B243="","",G243*P243)</f>
        <v/>
      </c>
      <c r="R243" s="22" t="str">
        <f aca="false">IF($B243="","",O243-Q243-L243)</f>
        <v/>
      </c>
      <c r="S243" s="21" t="str">
        <f aca="false">IF(OR($B243="",N(O243)=0),"",R243/O243)</f>
        <v/>
      </c>
      <c r="T243" s="14"/>
      <c r="U243" s="19" t="n">
        <f aca="false">IF(OR($B243="",$A243=""),0,IF(COUNTIFS($A$5:$A243,$A243,$B$5:$B243,$B243)=1,1,0))</f>
        <v>0</v>
      </c>
    </row>
    <row r="244" customFormat="false" ht="15" hidden="false" customHeight="false" outlineLevel="0" collapsed="false">
      <c r="A244" s="17"/>
      <c r="B244" s="13"/>
      <c r="C244" s="20" t="str">
        <f aca="false">IF($B244="","",IFERROR(INDEX(고객사!$B$5:$B$104,MATCH($B244,고객사!$A$5:$A$104,0)),"코드 확인"))</f>
        <v/>
      </c>
      <c r="D244" s="15"/>
      <c r="E244" s="15"/>
      <c r="F244" s="16"/>
      <c r="G244" s="16"/>
      <c r="H244" s="21" t="str">
        <f aca="false">IF(OR($B244="",F244=0),"",G244/F244)</f>
        <v/>
      </c>
      <c r="I244" s="22" t="str">
        <f aca="false">IF($B244="","",MAX(F244-G244,0))</f>
        <v/>
      </c>
      <c r="J244" s="23" t="str">
        <f aca="false">IF($B244="","",IFERROR(INDEX(고객사!$G$5:$G$104,MATCH($B244,고객사!$A$5:$A$104,0)),""))</f>
        <v/>
      </c>
      <c r="K244" s="16"/>
      <c r="L244" s="22" t="str">
        <f aca="false">IF($B244="","",K244*IFERROR(INDEX(고객사!$L$5:$L$104,MATCH($B244,고객사!$A$5:$A$104,0)),0))</f>
        <v/>
      </c>
      <c r="M244" s="23" t="str">
        <f aca="false">IF($B244="","",IF(AND(J244="N",G244&gt;0,K244=0,IFERROR(INDEX(고객사!$H$5:$H$104,MATCH($B244,고객사!$A$5:$A$104,0)),"")="자사 차량 운행"),"차량 미배정",""))</f>
        <v/>
      </c>
      <c r="N244" s="22" t="str">
        <f aca="false">IF($B244="","",IFERROR(INDEX(고객사!$J$5:$J$104,MATCH($B244,고객사!$A$5:$A$104,0)),0))</f>
        <v/>
      </c>
      <c r="O244" s="22" t="str">
        <f aca="false">IF($B244="","",G244*N244)</f>
        <v/>
      </c>
      <c r="P244" s="22" t="str">
        <f aca="false">IF($B244="","",IFERROR(INDEX(고객사!$K$5:$K$104,MATCH($B244,고객사!$A$5:$A$104,0)),0))</f>
        <v/>
      </c>
      <c r="Q244" s="22" t="str">
        <f aca="false">IF($B244="","",G244*P244)</f>
        <v/>
      </c>
      <c r="R244" s="22" t="str">
        <f aca="false">IF($B244="","",O244-Q244-L244)</f>
        <v/>
      </c>
      <c r="S244" s="21" t="str">
        <f aca="false">IF(OR($B244="",N(O244)=0),"",R244/O244)</f>
        <v/>
      </c>
      <c r="T244" s="14"/>
      <c r="U244" s="19" t="n">
        <f aca="false">IF(OR($B244="",$A244=""),0,IF(COUNTIFS($A$5:$A244,$A244,$B$5:$B244,$B244)=1,1,0))</f>
        <v>0</v>
      </c>
    </row>
    <row r="245" customFormat="false" ht="15" hidden="false" customHeight="false" outlineLevel="0" collapsed="false">
      <c r="A245" s="17"/>
      <c r="B245" s="13"/>
      <c r="C245" s="20" t="str">
        <f aca="false">IF($B245="","",IFERROR(INDEX(고객사!$B$5:$B$104,MATCH($B245,고객사!$A$5:$A$104,0)),"코드 확인"))</f>
        <v/>
      </c>
      <c r="D245" s="15"/>
      <c r="E245" s="15"/>
      <c r="F245" s="16"/>
      <c r="G245" s="16"/>
      <c r="H245" s="21" t="str">
        <f aca="false">IF(OR($B245="",F245=0),"",G245/F245)</f>
        <v/>
      </c>
      <c r="I245" s="22" t="str">
        <f aca="false">IF($B245="","",MAX(F245-G245,0))</f>
        <v/>
      </c>
      <c r="J245" s="23" t="str">
        <f aca="false">IF($B245="","",IFERROR(INDEX(고객사!$G$5:$G$104,MATCH($B245,고객사!$A$5:$A$104,0)),""))</f>
        <v/>
      </c>
      <c r="K245" s="16"/>
      <c r="L245" s="22" t="str">
        <f aca="false">IF($B245="","",K245*IFERROR(INDEX(고객사!$L$5:$L$104,MATCH($B245,고객사!$A$5:$A$104,0)),0))</f>
        <v/>
      </c>
      <c r="M245" s="23" t="str">
        <f aca="false">IF($B245="","",IF(AND(J245="N",G245&gt;0,K245=0,IFERROR(INDEX(고객사!$H$5:$H$104,MATCH($B245,고객사!$A$5:$A$104,0)),"")="자사 차량 운행"),"차량 미배정",""))</f>
        <v/>
      </c>
      <c r="N245" s="22" t="str">
        <f aca="false">IF($B245="","",IFERROR(INDEX(고객사!$J$5:$J$104,MATCH($B245,고객사!$A$5:$A$104,0)),0))</f>
        <v/>
      </c>
      <c r="O245" s="22" t="str">
        <f aca="false">IF($B245="","",G245*N245)</f>
        <v/>
      </c>
      <c r="P245" s="22" t="str">
        <f aca="false">IF($B245="","",IFERROR(INDEX(고객사!$K$5:$K$104,MATCH($B245,고객사!$A$5:$A$104,0)),0))</f>
        <v/>
      </c>
      <c r="Q245" s="22" t="str">
        <f aca="false">IF($B245="","",G245*P245)</f>
        <v/>
      </c>
      <c r="R245" s="22" t="str">
        <f aca="false">IF($B245="","",O245-Q245-L245)</f>
        <v/>
      </c>
      <c r="S245" s="21" t="str">
        <f aca="false">IF(OR($B245="",N(O245)=0),"",R245/O245)</f>
        <v/>
      </c>
      <c r="T245" s="14"/>
      <c r="U245" s="19" t="n">
        <f aca="false">IF(OR($B245="",$A245=""),0,IF(COUNTIFS($A$5:$A245,$A245,$B$5:$B245,$B245)=1,1,0))</f>
        <v>0</v>
      </c>
    </row>
    <row r="246" customFormat="false" ht="15" hidden="false" customHeight="false" outlineLevel="0" collapsed="false">
      <c r="A246" s="17"/>
      <c r="B246" s="13"/>
      <c r="C246" s="20" t="str">
        <f aca="false">IF($B246="","",IFERROR(INDEX(고객사!$B$5:$B$104,MATCH($B246,고객사!$A$5:$A$104,0)),"코드 확인"))</f>
        <v/>
      </c>
      <c r="D246" s="15"/>
      <c r="E246" s="15"/>
      <c r="F246" s="16"/>
      <c r="G246" s="16"/>
      <c r="H246" s="21" t="str">
        <f aca="false">IF(OR($B246="",F246=0),"",G246/F246)</f>
        <v/>
      </c>
      <c r="I246" s="22" t="str">
        <f aca="false">IF($B246="","",MAX(F246-G246,0))</f>
        <v/>
      </c>
      <c r="J246" s="23" t="str">
        <f aca="false">IF($B246="","",IFERROR(INDEX(고객사!$G$5:$G$104,MATCH($B246,고객사!$A$5:$A$104,0)),""))</f>
        <v/>
      </c>
      <c r="K246" s="16"/>
      <c r="L246" s="22" t="str">
        <f aca="false">IF($B246="","",K246*IFERROR(INDEX(고객사!$L$5:$L$104,MATCH($B246,고객사!$A$5:$A$104,0)),0))</f>
        <v/>
      </c>
      <c r="M246" s="23" t="str">
        <f aca="false">IF($B246="","",IF(AND(J246="N",G246&gt;0,K246=0,IFERROR(INDEX(고객사!$H$5:$H$104,MATCH($B246,고객사!$A$5:$A$104,0)),"")="자사 차량 운행"),"차량 미배정",""))</f>
        <v/>
      </c>
      <c r="N246" s="22" t="str">
        <f aca="false">IF($B246="","",IFERROR(INDEX(고객사!$J$5:$J$104,MATCH($B246,고객사!$A$5:$A$104,0)),0))</f>
        <v/>
      </c>
      <c r="O246" s="22" t="str">
        <f aca="false">IF($B246="","",G246*N246)</f>
        <v/>
      </c>
      <c r="P246" s="22" t="str">
        <f aca="false">IF($B246="","",IFERROR(INDEX(고객사!$K$5:$K$104,MATCH($B246,고객사!$A$5:$A$104,0)),0))</f>
        <v/>
      </c>
      <c r="Q246" s="22" t="str">
        <f aca="false">IF($B246="","",G246*P246)</f>
        <v/>
      </c>
      <c r="R246" s="22" t="str">
        <f aca="false">IF($B246="","",O246-Q246-L246)</f>
        <v/>
      </c>
      <c r="S246" s="21" t="str">
        <f aca="false">IF(OR($B246="",N(O246)=0),"",R246/O246)</f>
        <v/>
      </c>
      <c r="T246" s="14"/>
      <c r="U246" s="19" t="n">
        <f aca="false">IF(OR($B246="",$A246=""),0,IF(COUNTIFS($A$5:$A246,$A246,$B$5:$B246,$B246)=1,1,0))</f>
        <v>0</v>
      </c>
    </row>
    <row r="247" customFormat="false" ht="15" hidden="false" customHeight="false" outlineLevel="0" collapsed="false">
      <c r="A247" s="17"/>
      <c r="B247" s="13"/>
      <c r="C247" s="20" t="str">
        <f aca="false">IF($B247="","",IFERROR(INDEX(고객사!$B$5:$B$104,MATCH($B247,고객사!$A$5:$A$104,0)),"코드 확인"))</f>
        <v/>
      </c>
      <c r="D247" s="15"/>
      <c r="E247" s="15"/>
      <c r="F247" s="16"/>
      <c r="G247" s="16"/>
      <c r="H247" s="21" t="str">
        <f aca="false">IF(OR($B247="",F247=0),"",G247/F247)</f>
        <v/>
      </c>
      <c r="I247" s="22" t="str">
        <f aca="false">IF($B247="","",MAX(F247-G247,0))</f>
        <v/>
      </c>
      <c r="J247" s="23" t="str">
        <f aca="false">IF($B247="","",IFERROR(INDEX(고객사!$G$5:$G$104,MATCH($B247,고객사!$A$5:$A$104,0)),""))</f>
        <v/>
      </c>
      <c r="K247" s="16"/>
      <c r="L247" s="22" t="str">
        <f aca="false">IF($B247="","",K247*IFERROR(INDEX(고객사!$L$5:$L$104,MATCH($B247,고객사!$A$5:$A$104,0)),0))</f>
        <v/>
      </c>
      <c r="M247" s="23" t="str">
        <f aca="false">IF($B247="","",IF(AND(J247="N",G247&gt;0,K247=0,IFERROR(INDEX(고객사!$H$5:$H$104,MATCH($B247,고객사!$A$5:$A$104,0)),"")="자사 차량 운행"),"차량 미배정",""))</f>
        <v/>
      </c>
      <c r="N247" s="22" t="str">
        <f aca="false">IF($B247="","",IFERROR(INDEX(고객사!$J$5:$J$104,MATCH($B247,고객사!$A$5:$A$104,0)),0))</f>
        <v/>
      </c>
      <c r="O247" s="22" t="str">
        <f aca="false">IF($B247="","",G247*N247)</f>
        <v/>
      </c>
      <c r="P247" s="22" t="str">
        <f aca="false">IF($B247="","",IFERROR(INDEX(고객사!$K$5:$K$104,MATCH($B247,고객사!$A$5:$A$104,0)),0))</f>
        <v/>
      </c>
      <c r="Q247" s="22" t="str">
        <f aca="false">IF($B247="","",G247*P247)</f>
        <v/>
      </c>
      <c r="R247" s="22" t="str">
        <f aca="false">IF($B247="","",O247-Q247-L247)</f>
        <v/>
      </c>
      <c r="S247" s="21" t="str">
        <f aca="false">IF(OR($B247="",N(O247)=0),"",R247/O247)</f>
        <v/>
      </c>
      <c r="T247" s="14"/>
      <c r="U247" s="19" t="n">
        <f aca="false">IF(OR($B247="",$A247=""),0,IF(COUNTIFS($A$5:$A247,$A247,$B$5:$B247,$B247)=1,1,0))</f>
        <v>0</v>
      </c>
    </row>
    <row r="248" customFormat="false" ht="15" hidden="false" customHeight="false" outlineLevel="0" collapsed="false">
      <c r="A248" s="17"/>
      <c r="B248" s="13"/>
      <c r="C248" s="20" t="str">
        <f aca="false">IF($B248="","",IFERROR(INDEX(고객사!$B$5:$B$104,MATCH($B248,고객사!$A$5:$A$104,0)),"코드 확인"))</f>
        <v/>
      </c>
      <c r="D248" s="15"/>
      <c r="E248" s="15"/>
      <c r="F248" s="16"/>
      <c r="G248" s="16"/>
      <c r="H248" s="21" t="str">
        <f aca="false">IF(OR($B248="",F248=0),"",G248/F248)</f>
        <v/>
      </c>
      <c r="I248" s="22" t="str">
        <f aca="false">IF($B248="","",MAX(F248-G248,0))</f>
        <v/>
      </c>
      <c r="J248" s="23" t="str">
        <f aca="false">IF($B248="","",IFERROR(INDEX(고객사!$G$5:$G$104,MATCH($B248,고객사!$A$5:$A$104,0)),""))</f>
        <v/>
      </c>
      <c r="K248" s="16"/>
      <c r="L248" s="22" t="str">
        <f aca="false">IF($B248="","",K248*IFERROR(INDEX(고객사!$L$5:$L$104,MATCH($B248,고객사!$A$5:$A$104,0)),0))</f>
        <v/>
      </c>
      <c r="M248" s="23" t="str">
        <f aca="false">IF($B248="","",IF(AND(J248="N",G248&gt;0,K248=0,IFERROR(INDEX(고객사!$H$5:$H$104,MATCH($B248,고객사!$A$5:$A$104,0)),"")="자사 차량 운행"),"차량 미배정",""))</f>
        <v/>
      </c>
      <c r="N248" s="22" t="str">
        <f aca="false">IF($B248="","",IFERROR(INDEX(고객사!$J$5:$J$104,MATCH($B248,고객사!$A$5:$A$104,0)),0))</f>
        <v/>
      </c>
      <c r="O248" s="22" t="str">
        <f aca="false">IF($B248="","",G248*N248)</f>
        <v/>
      </c>
      <c r="P248" s="22" t="str">
        <f aca="false">IF($B248="","",IFERROR(INDEX(고객사!$K$5:$K$104,MATCH($B248,고객사!$A$5:$A$104,0)),0))</f>
        <v/>
      </c>
      <c r="Q248" s="22" t="str">
        <f aca="false">IF($B248="","",G248*P248)</f>
        <v/>
      </c>
      <c r="R248" s="22" t="str">
        <f aca="false">IF($B248="","",O248-Q248-L248)</f>
        <v/>
      </c>
      <c r="S248" s="21" t="str">
        <f aca="false">IF(OR($B248="",N(O248)=0),"",R248/O248)</f>
        <v/>
      </c>
      <c r="T248" s="14"/>
      <c r="U248" s="19" t="n">
        <f aca="false">IF(OR($B248="",$A248=""),0,IF(COUNTIFS($A$5:$A248,$A248,$B$5:$B248,$B248)=1,1,0))</f>
        <v>0</v>
      </c>
    </row>
    <row r="249" customFormat="false" ht="15" hidden="false" customHeight="false" outlineLevel="0" collapsed="false">
      <c r="A249" s="17"/>
      <c r="B249" s="13"/>
      <c r="C249" s="20" t="str">
        <f aca="false">IF($B249="","",IFERROR(INDEX(고객사!$B$5:$B$104,MATCH($B249,고객사!$A$5:$A$104,0)),"코드 확인"))</f>
        <v/>
      </c>
      <c r="D249" s="15"/>
      <c r="E249" s="15"/>
      <c r="F249" s="16"/>
      <c r="G249" s="16"/>
      <c r="H249" s="21" t="str">
        <f aca="false">IF(OR($B249="",F249=0),"",G249/F249)</f>
        <v/>
      </c>
      <c r="I249" s="22" t="str">
        <f aca="false">IF($B249="","",MAX(F249-G249,0))</f>
        <v/>
      </c>
      <c r="J249" s="23" t="str">
        <f aca="false">IF($B249="","",IFERROR(INDEX(고객사!$G$5:$G$104,MATCH($B249,고객사!$A$5:$A$104,0)),""))</f>
        <v/>
      </c>
      <c r="K249" s="16"/>
      <c r="L249" s="22" t="str">
        <f aca="false">IF($B249="","",K249*IFERROR(INDEX(고객사!$L$5:$L$104,MATCH($B249,고객사!$A$5:$A$104,0)),0))</f>
        <v/>
      </c>
      <c r="M249" s="23" t="str">
        <f aca="false">IF($B249="","",IF(AND(J249="N",G249&gt;0,K249=0,IFERROR(INDEX(고객사!$H$5:$H$104,MATCH($B249,고객사!$A$5:$A$104,0)),"")="자사 차량 운행"),"차량 미배정",""))</f>
        <v/>
      </c>
      <c r="N249" s="22" t="str">
        <f aca="false">IF($B249="","",IFERROR(INDEX(고객사!$J$5:$J$104,MATCH($B249,고객사!$A$5:$A$104,0)),0))</f>
        <v/>
      </c>
      <c r="O249" s="22" t="str">
        <f aca="false">IF($B249="","",G249*N249)</f>
        <v/>
      </c>
      <c r="P249" s="22" t="str">
        <f aca="false">IF($B249="","",IFERROR(INDEX(고객사!$K$5:$K$104,MATCH($B249,고객사!$A$5:$A$104,0)),0))</f>
        <v/>
      </c>
      <c r="Q249" s="22" t="str">
        <f aca="false">IF($B249="","",G249*P249)</f>
        <v/>
      </c>
      <c r="R249" s="22" t="str">
        <f aca="false">IF($B249="","",O249-Q249-L249)</f>
        <v/>
      </c>
      <c r="S249" s="21" t="str">
        <f aca="false">IF(OR($B249="",N(O249)=0),"",R249/O249)</f>
        <v/>
      </c>
      <c r="T249" s="14"/>
      <c r="U249" s="19" t="n">
        <f aca="false">IF(OR($B249="",$A249=""),0,IF(COUNTIFS($A$5:$A249,$A249,$B$5:$B249,$B249)=1,1,0))</f>
        <v>0</v>
      </c>
    </row>
    <row r="250" customFormat="false" ht="15" hidden="false" customHeight="false" outlineLevel="0" collapsed="false">
      <c r="A250" s="17"/>
      <c r="B250" s="13"/>
      <c r="C250" s="20" t="str">
        <f aca="false">IF($B250="","",IFERROR(INDEX(고객사!$B$5:$B$104,MATCH($B250,고객사!$A$5:$A$104,0)),"코드 확인"))</f>
        <v/>
      </c>
      <c r="D250" s="15"/>
      <c r="E250" s="15"/>
      <c r="F250" s="16"/>
      <c r="G250" s="16"/>
      <c r="H250" s="21" t="str">
        <f aca="false">IF(OR($B250="",F250=0),"",G250/F250)</f>
        <v/>
      </c>
      <c r="I250" s="22" t="str">
        <f aca="false">IF($B250="","",MAX(F250-G250,0))</f>
        <v/>
      </c>
      <c r="J250" s="23" t="str">
        <f aca="false">IF($B250="","",IFERROR(INDEX(고객사!$G$5:$G$104,MATCH($B250,고객사!$A$5:$A$104,0)),""))</f>
        <v/>
      </c>
      <c r="K250" s="16"/>
      <c r="L250" s="22" t="str">
        <f aca="false">IF($B250="","",K250*IFERROR(INDEX(고객사!$L$5:$L$104,MATCH($B250,고객사!$A$5:$A$104,0)),0))</f>
        <v/>
      </c>
      <c r="M250" s="23" t="str">
        <f aca="false">IF($B250="","",IF(AND(J250="N",G250&gt;0,K250=0,IFERROR(INDEX(고객사!$H$5:$H$104,MATCH($B250,고객사!$A$5:$A$104,0)),"")="자사 차량 운행"),"차량 미배정",""))</f>
        <v/>
      </c>
      <c r="N250" s="22" t="str">
        <f aca="false">IF($B250="","",IFERROR(INDEX(고객사!$J$5:$J$104,MATCH($B250,고객사!$A$5:$A$104,0)),0))</f>
        <v/>
      </c>
      <c r="O250" s="22" t="str">
        <f aca="false">IF($B250="","",G250*N250)</f>
        <v/>
      </c>
      <c r="P250" s="22" t="str">
        <f aca="false">IF($B250="","",IFERROR(INDEX(고객사!$K$5:$K$104,MATCH($B250,고객사!$A$5:$A$104,0)),0))</f>
        <v/>
      </c>
      <c r="Q250" s="22" t="str">
        <f aca="false">IF($B250="","",G250*P250)</f>
        <v/>
      </c>
      <c r="R250" s="22" t="str">
        <f aca="false">IF($B250="","",O250-Q250-L250)</f>
        <v/>
      </c>
      <c r="S250" s="21" t="str">
        <f aca="false">IF(OR($B250="",N(O250)=0),"",R250/O250)</f>
        <v/>
      </c>
      <c r="T250" s="14"/>
      <c r="U250" s="19" t="n">
        <f aca="false">IF(OR($B250="",$A250=""),0,IF(COUNTIFS($A$5:$A250,$A250,$B$5:$B250,$B250)=1,1,0))</f>
        <v>0</v>
      </c>
    </row>
    <row r="251" customFormat="false" ht="15" hidden="false" customHeight="false" outlineLevel="0" collapsed="false">
      <c r="A251" s="17"/>
      <c r="B251" s="13"/>
      <c r="C251" s="20" t="str">
        <f aca="false">IF($B251="","",IFERROR(INDEX(고객사!$B$5:$B$104,MATCH($B251,고객사!$A$5:$A$104,0)),"코드 확인"))</f>
        <v/>
      </c>
      <c r="D251" s="15"/>
      <c r="E251" s="15"/>
      <c r="F251" s="16"/>
      <c r="G251" s="16"/>
      <c r="H251" s="21" t="str">
        <f aca="false">IF(OR($B251="",F251=0),"",G251/F251)</f>
        <v/>
      </c>
      <c r="I251" s="22" t="str">
        <f aca="false">IF($B251="","",MAX(F251-G251,0))</f>
        <v/>
      </c>
      <c r="J251" s="23" t="str">
        <f aca="false">IF($B251="","",IFERROR(INDEX(고객사!$G$5:$G$104,MATCH($B251,고객사!$A$5:$A$104,0)),""))</f>
        <v/>
      </c>
      <c r="K251" s="16"/>
      <c r="L251" s="22" t="str">
        <f aca="false">IF($B251="","",K251*IFERROR(INDEX(고객사!$L$5:$L$104,MATCH($B251,고객사!$A$5:$A$104,0)),0))</f>
        <v/>
      </c>
      <c r="M251" s="23" t="str">
        <f aca="false">IF($B251="","",IF(AND(J251="N",G251&gt;0,K251=0,IFERROR(INDEX(고객사!$H$5:$H$104,MATCH($B251,고객사!$A$5:$A$104,0)),"")="자사 차량 운행"),"차량 미배정",""))</f>
        <v/>
      </c>
      <c r="N251" s="22" t="str">
        <f aca="false">IF($B251="","",IFERROR(INDEX(고객사!$J$5:$J$104,MATCH($B251,고객사!$A$5:$A$104,0)),0))</f>
        <v/>
      </c>
      <c r="O251" s="22" t="str">
        <f aca="false">IF($B251="","",G251*N251)</f>
        <v/>
      </c>
      <c r="P251" s="22" t="str">
        <f aca="false">IF($B251="","",IFERROR(INDEX(고객사!$K$5:$K$104,MATCH($B251,고객사!$A$5:$A$104,0)),0))</f>
        <v/>
      </c>
      <c r="Q251" s="22" t="str">
        <f aca="false">IF($B251="","",G251*P251)</f>
        <v/>
      </c>
      <c r="R251" s="22" t="str">
        <f aca="false">IF($B251="","",O251-Q251-L251)</f>
        <v/>
      </c>
      <c r="S251" s="21" t="str">
        <f aca="false">IF(OR($B251="",N(O251)=0),"",R251/O251)</f>
        <v/>
      </c>
      <c r="T251" s="14"/>
      <c r="U251" s="19" t="n">
        <f aca="false">IF(OR($B251="",$A251=""),0,IF(COUNTIFS($A$5:$A251,$A251,$B$5:$B251,$B251)=1,1,0))</f>
        <v>0</v>
      </c>
    </row>
    <row r="252" customFormat="false" ht="15" hidden="false" customHeight="false" outlineLevel="0" collapsed="false">
      <c r="A252" s="17"/>
      <c r="B252" s="13"/>
      <c r="C252" s="20" t="str">
        <f aca="false">IF($B252="","",IFERROR(INDEX(고객사!$B$5:$B$104,MATCH($B252,고객사!$A$5:$A$104,0)),"코드 확인"))</f>
        <v/>
      </c>
      <c r="D252" s="15"/>
      <c r="E252" s="15"/>
      <c r="F252" s="16"/>
      <c r="G252" s="16"/>
      <c r="H252" s="21" t="str">
        <f aca="false">IF(OR($B252="",F252=0),"",G252/F252)</f>
        <v/>
      </c>
      <c r="I252" s="22" t="str">
        <f aca="false">IF($B252="","",MAX(F252-G252,0))</f>
        <v/>
      </c>
      <c r="J252" s="23" t="str">
        <f aca="false">IF($B252="","",IFERROR(INDEX(고객사!$G$5:$G$104,MATCH($B252,고객사!$A$5:$A$104,0)),""))</f>
        <v/>
      </c>
      <c r="K252" s="16"/>
      <c r="L252" s="22" t="str">
        <f aca="false">IF($B252="","",K252*IFERROR(INDEX(고객사!$L$5:$L$104,MATCH($B252,고객사!$A$5:$A$104,0)),0))</f>
        <v/>
      </c>
      <c r="M252" s="23" t="str">
        <f aca="false">IF($B252="","",IF(AND(J252="N",G252&gt;0,K252=0,IFERROR(INDEX(고객사!$H$5:$H$104,MATCH($B252,고객사!$A$5:$A$104,0)),"")="자사 차량 운행"),"차량 미배정",""))</f>
        <v/>
      </c>
      <c r="N252" s="22" t="str">
        <f aca="false">IF($B252="","",IFERROR(INDEX(고객사!$J$5:$J$104,MATCH($B252,고객사!$A$5:$A$104,0)),0))</f>
        <v/>
      </c>
      <c r="O252" s="22" t="str">
        <f aca="false">IF($B252="","",G252*N252)</f>
        <v/>
      </c>
      <c r="P252" s="22" t="str">
        <f aca="false">IF($B252="","",IFERROR(INDEX(고객사!$K$5:$K$104,MATCH($B252,고객사!$A$5:$A$104,0)),0))</f>
        <v/>
      </c>
      <c r="Q252" s="22" t="str">
        <f aca="false">IF($B252="","",G252*P252)</f>
        <v/>
      </c>
      <c r="R252" s="22" t="str">
        <f aca="false">IF($B252="","",O252-Q252-L252)</f>
        <v/>
      </c>
      <c r="S252" s="21" t="str">
        <f aca="false">IF(OR($B252="",N(O252)=0),"",R252/O252)</f>
        <v/>
      </c>
      <c r="T252" s="14"/>
      <c r="U252" s="19" t="n">
        <f aca="false">IF(OR($B252="",$A252=""),0,IF(COUNTIFS($A$5:$A252,$A252,$B$5:$B252,$B252)=1,1,0))</f>
        <v>0</v>
      </c>
    </row>
    <row r="253" customFormat="false" ht="15" hidden="false" customHeight="false" outlineLevel="0" collapsed="false">
      <c r="A253" s="17"/>
      <c r="B253" s="13"/>
      <c r="C253" s="20" t="str">
        <f aca="false">IF($B253="","",IFERROR(INDEX(고객사!$B$5:$B$104,MATCH($B253,고객사!$A$5:$A$104,0)),"코드 확인"))</f>
        <v/>
      </c>
      <c r="D253" s="15"/>
      <c r="E253" s="15"/>
      <c r="F253" s="16"/>
      <c r="G253" s="16"/>
      <c r="H253" s="21" t="str">
        <f aca="false">IF(OR($B253="",F253=0),"",G253/F253)</f>
        <v/>
      </c>
      <c r="I253" s="22" t="str">
        <f aca="false">IF($B253="","",MAX(F253-G253,0))</f>
        <v/>
      </c>
      <c r="J253" s="23" t="str">
        <f aca="false">IF($B253="","",IFERROR(INDEX(고객사!$G$5:$G$104,MATCH($B253,고객사!$A$5:$A$104,0)),""))</f>
        <v/>
      </c>
      <c r="K253" s="16"/>
      <c r="L253" s="22" t="str">
        <f aca="false">IF($B253="","",K253*IFERROR(INDEX(고객사!$L$5:$L$104,MATCH($B253,고객사!$A$5:$A$104,0)),0))</f>
        <v/>
      </c>
      <c r="M253" s="23" t="str">
        <f aca="false">IF($B253="","",IF(AND(J253="N",G253&gt;0,K253=0,IFERROR(INDEX(고객사!$H$5:$H$104,MATCH($B253,고객사!$A$5:$A$104,0)),"")="자사 차량 운행"),"차량 미배정",""))</f>
        <v/>
      </c>
      <c r="N253" s="22" t="str">
        <f aca="false">IF($B253="","",IFERROR(INDEX(고객사!$J$5:$J$104,MATCH($B253,고객사!$A$5:$A$104,0)),0))</f>
        <v/>
      </c>
      <c r="O253" s="22" t="str">
        <f aca="false">IF($B253="","",G253*N253)</f>
        <v/>
      </c>
      <c r="P253" s="22" t="str">
        <f aca="false">IF($B253="","",IFERROR(INDEX(고객사!$K$5:$K$104,MATCH($B253,고객사!$A$5:$A$104,0)),0))</f>
        <v/>
      </c>
      <c r="Q253" s="22" t="str">
        <f aca="false">IF($B253="","",G253*P253)</f>
        <v/>
      </c>
      <c r="R253" s="22" t="str">
        <f aca="false">IF($B253="","",O253-Q253-L253)</f>
        <v/>
      </c>
      <c r="S253" s="21" t="str">
        <f aca="false">IF(OR($B253="",N(O253)=0),"",R253/O253)</f>
        <v/>
      </c>
      <c r="T253" s="14"/>
      <c r="U253" s="19" t="n">
        <f aca="false">IF(OR($B253="",$A253=""),0,IF(COUNTIFS($A$5:$A253,$A253,$B$5:$B253,$B253)=1,1,0))</f>
        <v>0</v>
      </c>
    </row>
    <row r="254" customFormat="false" ht="15" hidden="false" customHeight="false" outlineLevel="0" collapsed="false">
      <c r="A254" s="17"/>
      <c r="B254" s="13"/>
      <c r="C254" s="20" t="str">
        <f aca="false">IF($B254="","",IFERROR(INDEX(고객사!$B$5:$B$104,MATCH($B254,고객사!$A$5:$A$104,0)),"코드 확인"))</f>
        <v/>
      </c>
      <c r="D254" s="15"/>
      <c r="E254" s="15"/>
      <c r="F254" s="16"/>
      <c r="G254" s="16"/>
      <c r="H254" s="21" t="str">
        <f aca="false">IF(OR($B254="",F254=0),"",G254/F254)</f>
        <v/>
      </c>
      <c r="I254" s="22" t="str">
        <f aca="false">IF($B254="","",MAX(F254-G254,0))</f>
        <v/>
      </c>
      <c r="J254" s="23" t="str">
        <f aca="false">IF($B254="","",IFERROR(INDEX(고객사!$G$5:$G$104,MATCH($B254,고객사!$A$5:$A$104,0)),""))</f>
        <v/>
      </c>
      <c r="K254" s="16"/>
      <c r="L254" s="22" t="str">
        <f aca="false">IF($B254="","",K254*IFERROR(INDEX(고객사!$L$5:$L$104,MATCH($B254,고객사!$A$5:$A$104,0)),0))</f>
        <v/>
      </c>
      <c r="M254" s="23" t="str">
        <f aca="false">IF($B254="","",IF(AND(J254="N",G254&gt;0,K254=0,IFERROR(INDEX(고객사!$H$5:$H$104,MATCH($B254,고객사!$A$5:$A$104,0)),"")="자사 차량 운행"),"차량 미배정",""))</f>
        <v/>
      </c>
      <c r="N254" s="22" t="str">
        <f aca="false">IF($B254="","",IFERROR(INDEX(고객사!$J$5:$J$104,MATCH($B254,고객사!$A$5:$A$104,0)),0))</f>
        <v/>
      </c>
      <c r="O254" s="22" t="str">
        <f aca="false">IF($B254="","",G254*N254)</f>
        <v/>
      </c>
      <c r="P254" s="22" t="str">
        <f aca="false">IF($B254="","",IFERROR(INDEX(고객사!$K$5:$K$104,MATCH($B254,고객사!$A$5:$A$104,0)),0))</f>
        <v/>
      </c>
      <c r="Q254" s="22" t="str">
        <f aca="false">IF($B254="","",G254*P254)</f>
        <v/>
      </c>
      <c r="R254" s="22" t="str">
        <f aca="false">IF($B254="","",O254-Q254-L254)</f>
        <v/>
      </c>
      <c r="S254" s="21" t="str">
        <f aca="false">IF(OR($B254="",N(O254)=0),"",R254/O254)</f>
        <v/>
      </c>
      <c r="T254" s="14"/>
      <c r="U254" s="19" t="n">
        <f aca="false">IF(OR($B254="",$A254=""),0,IF(COUNTIFS($A$5:$A254,$A254,$B$5:$B254,$B254)=1,1,0))</f>
        <v>0</v>
      </c>
    </row>
    <row r="255" customFormat="false" ht="15" hidden="false" customHeight="false" outlineLevel="0" collapsed="false">
      <c r="A255" s="17"/>
      <c r="B255" s="13"/>
      <c r="C255" s="20" t="str">
        <f aca="false">IF($B255="","",IFERROR(INDEX(고객사!$B$5:$B$104,MATCH($B255,고객사!$A$5:$A$104,0)),"코드 확인"))</f>
        <v/>
      </c>
      <c r="D255" s="15"/>
      <c r="E255" s="15"/>
      <c r="F255" s="16"/>
      <c r="G255" s="16"/>
      <c r="H255" s="21" t="str">
        <f aca="false">IF(OR($B255="",F255=0),"",G255/F255)</f>
        <v/>
      </c>
      <c r="I255" s="22" t="str">
        <f aca="false">IF($B255="","",MAX(F255-G255,0))</f>
        <v/>
      </c>
      <c r="J255" s="23" t="str">
        <f aca="false">IF($B255="","",IFERROR(INDEX(고객사!$G$5:$G$104,MATCH($B255,고객사!$A$5:$A$104,0)),""))</f>
        <v/>
      </c>
      <c r="K255" s="16"/>
      <c r="L255" s="22" t="str">
        <f aca="false">IF($B255="","",K255*IFERROR(INDEX(고객사!$L$5:$L$104,MATCH($B255,고객사!$A$5:$A$104,0)),0))</f>
        <v/>
      </c>
      <c r="M255" s="23" t="str">
        <f aca="false">IF($B255="","",IF(AND(J255="N",G255&gt;0,K255=0,IFERROR(INDEX(고객사!$H$5:$H$104,MATCH($B255,고객사!$A$5:$A$104,0)),"")="자사 차량 운행"),"차량 미배정",""))</f>
        <v/>
      </c>
      <c r="N255" s="22" t="str">
        <f aca="false">IF($B255="","",IFERROR(INDEX(고객사!$J$5:$J$104,MATCH($B255,고객사!$A$5:$A$104,0)),0))</f>
        <v/>
      </c>
      <c r="O255" s="22" t="str">
        <f aca="false">IF($B255="","",G255*N255)</f>
        <v/>
      </c>
      <c r="P255" s="22" t="str">
        <f aca="false">IF($B255="","",IFERROR(INDEX(고객사!$K$5:$K$104,MATCH($B255,고객사!$A$5:$A$104,0)),0))</f>
        <v/>
      </c>
      <c r="Q255" s="22" t="str">
        <f aca="false">IF($B255="","",G255*P255)</f>
        <v/>
      </c>
      <c r="R255" s="22" t="str">
        <f aca="false">IF($B255="","",O255-Q255-L255)</f>
        <v/>
      </c>
      <c r="S255" s="21" t="str">
        <f aca="false">IF(OR($B255="",N(O255)=0),"",R255/O255)</f>
        <v/>
      </c>
      <c r="T255" s="14"/>
      <c r="U255" s="19" t="n">
        <f aca="false">IF(OR($B255="",$A255=""),0,IF(COUNTIFS($A$5:$A255,$A255,$B$5:$B255,$B255)=1,1,0))</f>
        <v>0</v>
      </c>
    </row>
    <row r="256" customFormat="false" ht="15" hidden="false" customHeight="false" outlineLevel="0" collapsed="false">
      <c r="A256" s="17"/>
      <c r="B256" s="13"/>
      <c r="C256" s="20" t="str">
        <f aca="false">IF($B256="","",IFERROR(INDEX(고객사!$B$5:$B$104,MATCH($B256,고객사!$A$5:$A$104,0)),"코드 확인"))</f>
        <v/>
      </c>
      <c r="D256" s="15"/>
      <c r="E256" s="15"/>
      <c r="F256" s="16"/>
      <c r="G256" s="16"/>
      <c r="H256" s="21" t="str">
        <f aca="false">IF(OR($B256="",F256=0),"",G256/F256)</f>
        <v/>
      </c>
      <c r="I256" s="22" t="str">
        <f aca="false">IF($B256="","",MAX(F256-G256,0))</f>
        <v/>
      </c>
      <c r="J256" s="23" t="str">
        <f aca="false">IF($B256="","",IFERROR(INDEX(고객사!$G$5:$G$104,MATCH($B256,고객사!$A$5:$A$104,0)),""))</f>
        <v/>
      </c>
      <c r="K256" s="16"/>
      <c r="L256" s="22" t="str">
        <f aca="false">IF($B256="","",K256*IFERROR(INDEX(고객사!$L$5:$L$104,MATCH($B256,고객사!$A$5:$A$104,0)),0))</f>
        <v/>
      </c>
      <c r="M256" s="23" t="str">
        <f aca="false">IF($B256="","",IF(AND(J256="N",G256&gt;0,K256=0,IFERROR(INDEX(고객사!$H$5:$H$104,MATCH($B256,고객사!$A$5:$A$104,0)),"")="자사 차량 운행"),"차량 미배정",""))</f>
        <v/>
      </c>
      <c r="N256" s="22" t="str">
        <f aca="false">IF($B256="","",IFERROR(INDEX(고객사!$J$5:$J$104,MATCH($B256,고객사!$A$5:$A$104,0)),0))</f>
        <v/>
      </c>
      <c r="O256" s="22" t="str">
        <f aca="false">IF($B256="","",G256*N256)</f>
        <v/>
      </c>
      <c r="P256" s="22" t="str">
        <f aca="false">IF($B256="","",IFERROR(INDEX(고객사!$K$5:$K$104,MATCH($B256,고객사!$A$5:$A$104,0)),0))</f>
        <v/>
      </c>
      <c r="Q256" s="22" t="str">
        <f aca="false">IF($B256="","",G256*P256)</f>
        <v/>
      </c>
      <c r="R256" s="22" t="str">
        <f aca="false">IF($B256="","",O256-Q256-L256)</f>
        <v/>
      </c>
      <c r="S256" s="21" t="str">
        <f aca="false">IF(OR($B256="",N(O256)=0),"",R256/O256)</f>
        <v/>
      </c>
      <c r="T256" s="14"/>
      <c r="U256" s="19" t="n">
        <f aca="false">IF(OR($B256="",$A256=""),0,IF(COUNTIFS($A$5:$A256,$A256,$B$5:$B256,$B256)=1,1,0))</f>
        <v>0</v>
      </c>
    </row>
    <row r="257" customFormat="false" ht="15" hidden="false" customHeight="false" outlineLevel="0" collapsed="false">
      <c r="A257" s="17"/>
      <c r="B257" s="13"/>
      <c r="C257" s="20" t="str">
        <f aca="false">IF($B257="","",IFERROR(INDEX(고객사!$B$5:$B$104,MATCH($B257,고객사!$A$5:$A$104,0)),"코드 확인"))</f>
        <v/>
      </c>
      <c r="D257" s="15"/>
      <c r="E257" s="15"/>
      <c r="F257" s="16"/>
      <c r="G257" s="16"/>
      <c r="H257" s="21" t="str">
        <f aca="false">IF(OR($B257="",F257=0),"",G257/F257)</f>
        <v/>
      </c>
      <c r="I257" s="22" t="str">
        <f aca="false">IF($B257="","",MAX(F257-G257,0))</f>
        <v/>
      </c>
      <c r="J257" s="23" t="str">
        <f aca="false">IF($B257="","",IFERROR(INDEX(고객사!$G$5:$G$104,MATCH($B257,고객사!$A$5:$A$104,0)),""))</f>
        <v/>
      </c>
      <c r="K257" s="16"/>
      <c r="L257" s="22" t="str">
        <f aca="false">IF($B257="","",K257*IFERROR(INDEX(고객사!$L$5:$L$104,MATCH($B257,고객사!$A$5:$A$104,0)),0))</f>
        <v/>
      </c>
      <c r="M257" s="23" t="str">
        <f aca="false">IF($B257="","",IF(AND(J257="N",G257&gt;0,K257=0,IFERROR(INDEX(고객사!$H$5:$H$104,MATCH($B257,고객사!$A$5:$A$104,0)),"")="자사 차량 운행"),"차량 미배정",""))</f>
        <v/>
      </c>
      <c r="N257" s="22" t="str">
        <f aca="false">IF($B257="","",IFERROR(INDEX(고객사!$J$5:$J$104,MATCH($B257,고객사!$A$5:$A$104,0)),0))</f>
        <v/>
      </c>
      <c r="O257" s="22" t="str">
        <f aca="false">IF($B257="","",G257*N257)</f>
        <v/>
      </c>
      <c r="P257" s="22" t="str">
        <f aca="false">IF($B257="","",IFERROR(INDEX(고객사!$K$5:$K$104,MATCH($B257,고객사!$A$5:$A$104,0)),0))</f>
        <v/>
      </c>
      <c r="Q257" s="22" t="str">
        <f aca="false">IF($B257="","",G257*P257)</f>
        <v/>
      </c>
      <c r="R257" s="22" t="str">
        <f aca="false">IF($B257="","",O257-Q257-L257)</f>
        <v/>
      </c>
      <c r="S257" s="21" t="str">
        <f aca="false">IF(OR($B257="",N(O257)=0),"",R257/O257)</f>
        <v/>
      </c>
      <c r="T257" s="14"/>
      <c r="U257" s="19" t="n">
        <f aca="false">IF(OR($B257="",$A257=""),0,IF(COUNTIFS($A$5:$A257,$A257,$B$5:$B257,$B257)=1,1,0))</f>
        <v>0</v>
      </c>
    </row>
    <row r="258" customFormat="false" ht="15" hidden="false" customHeight="false" outlineLevel="0" collapsed="false">
      <c r="A258" s="17"/>
      <c r="B258" s="13"/>
      <c r="C258" s="20" t="str">
        <f aca="false">IF($B258="","",IFERROR(INDEX(고객사!$B$5:$B$104,MATCH($B258,고객사!$A$5:$A$104,0)),"코드 확인"))</f>
        <v/>
      </c>
      <c r="D258" s="15"/>
      <c r="E258" s="15"/>
      <c r="F258" s="16"/>
      <c r="G258" s="16"/>
      <c r="H258" s="21" t="str">
        <f aca="false">IF(OR($B258="",F258=0),"",G258/F258)</f>
        <v/>
      </c>
      <c r="I258" s="22" t="str">
        <f aca="false">IF($B258="","",MAX(F258-G258,0))</f>
        <v/>
      </c>
      <c r="J258" s="23" t="str">
        <f aca="false">IF($B258="","",IFERROR(INDEX(고객사!$G$5:$G$104,MATCH($B258,고객사!$A$5:$A$104,0)),""))</f>
        <v/>
      </c>
      <c r="K258" s="16"/>
      <c r="L258" s="22" t="str">
        <f aca="false">IF($B258="","",K258*IFERROR(INDEX(고객사!$L$5:$L$104,MATCH($B258,고객사!$A$5:$A$104,0)),0))</f>
        <v/>
      </c>
      <c r="M258" s="23" t="str">
        <f aca="false">IF($B258="","",IF(AND(J258="N",G258&gt;0,K258=0,IFERROR(INDEX(고객사!$H$5:$H$104,MATCH($B258,고객사!$A$5:$A$104,0)),"")="자사 차량 운행"),"차량 미배정",""))</f>
        <v/>
      </c>
      <c r="N258" s="22" t="str">
        <f aca="false">IF($B258="","",IFERROR(INDEX(고객사!$J$5:$J$104,MATCH($B258,고객사!$A$5:$A$104,0)),0))</f>
        <v/>
      </c>
      <c r="O258" s="22" t="str">
        <f aca="false">IF($B258="","",G258*N258)</f>
        <v/>
      </c>
      <c r="P258" s="22" t="str">
        <f aca="false">IF($B258="","",IFERROR(INDEX(고객사!$K$5:$K$104,MATCH($B258,고객사!$A$5:$A$104,0)),0))</f>
        <v/>
      </c>
      <c r="Q258" s="22" t="str">
        <f aca="false">IF($B258="","",G258*P258)</f>
        <v/>
      </c>
      <c r="R258" s="22" t="str">
        <f aca="false">IF($B258="","",O258-Q258-L258)</f>
        <v/>
      </c>
      <c r="S258" s="21" t="str">
        <f aca="false">IF(OR($B258="",N(O258)=0),"",R258/O258)</f>
        <v/>
      </c>
      <c r="T258" s="14"/>
      <c r="U258" s="19" t="n">
        <f aca="false">IF(OR($B258="",$A258=""),0,IF(COUNTIFS($A$5:$A258,$A258,$B$5:$B258,$B258)=1,1,0))</f>
        <v>0</v>
      </c>
    </row>
    <row r="259" customFormat="false" ht="15" hidden="false" customHeight="false" outlineLevel="0" collapsed="false">
      <c r="A259" s="17"/>
      <c r="B259" s="13"/>
      <c r="C259" s="20" t="str">
        <f aca="false">IF($B259="","",IFERROR(INDEX(고객사!$B$5:$B$104,MATCH($B259,고객사!$A$5:$A$104,0)),"코드 확인"))</f>
        <v/>
      </c>
      <c r="D259" s="15"/>
      <c r="E259" s="15"/>
      <c r="F259" s="16"/>
      <c r="G259" s="16"/>
      <c r="H259" s="21" t="str">
        <f aca="false">IF(OR($B259="",F259=0),"",G259/F259)</f>
        <v/>
      </c>
      <c r="I259" s="22" t="str">
        <f aca="false">IF($B259="","",MAX(F259-G259,0))</f>
        <v/>
      </c>
      <c r="J259" s="23" t="str">
        <f aca="false">IF($B259="","",IFERROR(INDEX(고객사!$G$5:$G$104,MATCH($B259,고객사!$A$5:$A$104,0)),""))</f>
        <v/>
      </c>
      <c r="K259" s="16"/>
      <c r="L259" s="22" t="str">
        <f aca="false">IF($B259="","",K259*IFERROR(INDEX(고객사!$L$5:$L$104,MATCH($B259,고객사!$A$5:$A$104,0)),0))</f>
        <v/>
      </c>
      <c r="M259" s="23" t="str">
        <f aca="false">IF($B259="","",IF(AND(J259="N",G259&gt;0,K259=0,IFERROR(INDEX(고객사!$H$5:$H$104,MATCH($B259,고객사!$A$5:$A$104,0)),"")="자사 차량 운행"),"차량 미배정",""))</f>
        <v/>
      </c>
      <c r="N259" s="22" t="str">
        <f aca="false">IF($B259="","",IFERROR(INDEX(고객사!$J$5:$J$104,MATCH($B259,고객사!$A$5:$A$104,0)),0))</f>
        <v/>
      </c>
      <c r="O259" s="22" t="str">
        <f aca="false">IF($B259="","",G259*N259)</f>
        <v/>
      </c>
      <c r="P259" s="22" t="str">
        <f aca="false">IF($B259="","",IFERROR(INDEX(고객사!$K$5:$K$104,MATCH($B259,고객사!$A$5:$A$104,0)),0))</f>
        <v/>
      </c>
      <c r="Q259" s="22" t="str">
        <f aca="false">IF($B259="","",G259*P259)</f>
        <v/>
      </c>
      <c r="R259" s="22" t="str">
        <f aca="false">IF($B259="","",O259-Q259-L259)</f>
        <v/>
      </c>
      <c r="S259" s="21" t="str">
        <f aca="false">IF(OR($B259="",N(O259)=0),"",R259/O259)</f>
        <v/>
      </c>
      <c r="T259" s="14"/>
      <c r="U259" s="19" t="n">
        <f aca="false">IF(OR($B259="",$A259=""),0,IF(COUNTIFS($A$5:$A259,$A259,$B$5:$B259,$B259)=1,1,0))</f>
        <v>0</v>
      </c>
    </row>
    <row r="260" customFormat="false" ht="15" hidden="false" customHeight="false" outlineLevel="0" collapsed="false">
      <c r="A260" s="17"/>
      <c r="B260" s="13"/>
      <c r="C260" s="20" t="str">
        <f aca="false">IF($B260="","",IFERROR(INDEX(고객사!$B$5:$B$104,MATCH($B260,고객사!$A$5:$A$104,0)),"코드 확인"))</f>
        <v/>
      </c>
      <c r="D260" s="15"/>
      <c r="E260" s="15"/>
      <c r="F260" s="16"/>
      <c r="G260" s="16"/>
      <c r="H260" s="21" t="str">
        <f aca="false">IF(OR($B260="",F260=0),"",G260/F260)</f>
        <v/>
      </c>
      <c r="I260" s="22" t="str">
        <f aca="false">IF($B260="","",MAX(F260-G260,0))</f>
        <v/>
      </c>
      <c r="J260" s="23" t="str">
        <f aca="false">IF($B260="","",IFERROR(INDEX(고객사!$G$5:$G$104,MATCH($B260,고객사!$A$5:$A$104,0)),""))</f>
        <v/>
      </c>
      <c r="K260" s="16"/>
      <c r="L260" s="22" t="str">
        <f aca="false">IF($B260="","",K260*IFERROR(INDEX(고객사!$L$5:$L$104,MATCH($B260,고객사!$A$5:$A$104,0)),0))</f>
        <v/>
      </c>
      <c r="M260" s="23" t="str">
        <f aca="false">IF($B260="","",IF(AND(J260="N",G260&gt;0,K260=0,IFERROR(INDEX(고객사!$H$5:$H$104,MATCH($B260,고객사!$A$5:$A$104,0)),"")="자사 차량 운행"),"차량 미배정",""))</f>
        <v/>
      </c>
      <c r="N260" s="22" t="str">
        <f aca="false">IF($B260="","",IFERROR(INDEX(고객사!$J$5:$J$104,MATCH($B260,고객사!$A$5:$A$104,0)),0))</f>
        <v/>
      </c>
      <c r="O260" s="22" t="str">
        <f aca="false">IF($B260="","",G260*N260)</f>
        <v/>
      </c>
      <c r="P260" s="22" t="str">
        <f aca="false">IF($B260="","",IFERROR(INDEX(고객사!$K$5:$K$104,MATCH($B260,고객사!$A$5:$A$104,0)),0))</f>
        <v/>
      </c>
      <c r="Q260" s="22" t="str">
        <f aca="false">IF($B260="","",G260*P260)</f>
        <v/>
      </c>
      <c r="R260" s="22" t="str">
        <f aca="false">IF($B260="","",O260-Q260-L260)</f>
        <v/>
      </c>
      <c r="S260" s="21" t="str">
        <f aca="false">IF(OR($B260="",N(O260)=0),"",R260/O260)</f>
        <v/>
      </c>
      <c r="T260" s="14"/>
      <c r="U260" s="19" t="n">
        <f aca="false">IF(OR($B260="",$A260=""),0,IF(COUNTIFS($A$5:$A260,$A260,$B$5:$B260,$B260)=1,1,0))</f>
        <v>0</v>
      </c>
    </row>
    <row r="261" customFormat="false" ht="15" hidden="false" customHeight="false" outlineLevel="0" collapsed="false">
      <c r="A261" s="17"/>
      <c r="B261" s="13"/>
      <c r="C261" s="20" t="str">
        <f aca="false">IF($B261="","",IFERROR(INDEX(고객사!$B$5:$B$104,MATCH($B261,고객사!$A$5:$A$104,0)),"코드 확인"))</f>
        <v/>
      </c>
      <c r="D261" s="15"/>
      <c r="E261" s="15"/>
      <c r="F261" s="16"/>
      <c r="G261" s="16"/>
      <c r="H261" s="21" t="str">
        <f aca="false">IF(OR($B261="",F261=0),"",G261/F261)</f>
        <v/>
      </c>
      <c r="I261" s="22" t="str">
        <f aca="false">IF($B261="","",MAX(F261-G261,0))</f>
        <v/>
      </c>
      <c r="J261" s="23" t="str">
        <f aca="false">IF($B261="","",IFERROR(INDEX(고객사!$G$5:$G$104,MATCH($B261,고객사!$A$5:$A$104,0)),""))</f>
        <v/>
      </c>
      <c r="K261" s="16"/>
      <c r="L261" s="22" t="str">
        <f aca="false">IF($B261="","",K261*IFERROR(INDEX(고객사!$L$5:$L$104,MATCH($B261,고객사!$A$5:$A$104,0)),0))</f>
        <v/>
      </c>
      <c r="M261" s="23" t="str">
        <f aca="false">IF($B261="","",IF(AND(J261="N",G261&gt;0,K261=0,IFERROR(INDEX(고객사!$H$5:$H$104,MATCH($B261,고객사!$A$5:$A$104,0)),"")="자사 차량 운행"),"차량 미배정",""))</f>
        <v/>
      </c>
      <c r="N261" s="22" t="str">
        <f aca="false">IF($B261="","",IFERROR(INDEX(고객사!$J$5:$J$104,MATCH($B261,고객사!$A$5:$A$104,0)),0))</f>
        <v/>
      </c>
      <c r="O261" s="22" t="str">
        <f aca="false">IF($B261="","",G261*N261)</f>
        <v/>
      </c>
      <c r="P261" s="22" t="str">
        <f aca="false">IF($B261="","",IFERROR(INDEX(고객사!$K$5:$K$104,MATCH($B261,고객사!$A$5:$A$104,0)),0))</f>
        <v/>
      </c>
      <c r="Q261" s="22" t="str">
        <f aca="false">IF($B261="","",G261*P261)</f>
        <v/>
      </c>
      <c r="R261" s="22" t="str">
        <f aca="false">IF($B261="","",O261-Q261-L261)</f>
        <v/>
      </c>
      <c r="S261" s="21" t="str">
        <f aca="false">IF(OR($B261="",N(O261)=0),"",R261/O261)</f>
        <v/>
      </c>
      <c r="T261" s="14"/>
      <c r="U261" s="19" t="n">
        <f aca="false">IF(OR($B261="",$A261=""),0,IF(COUNTIFS($A$5:$A261,$A261,$B$5:$B261,$B261)=1,1,0))</f>
        <v>0</v>
      </c>
    </row>
    <row r="262" customFormat="false" ht="15" hidden="false" customHeight="false" outlineLevel="0" collapsed="false">
      <c r="A262" s="17"/>
      <c r="B262" s="13"/>
      <c r="C262" s="20" t="str">
        <f aca="false">IF($B262="","",IFERROR(INDEX(고객사!$B$5:$B$104,MATCH($B262,고객사!$A$5:$A$104,0)),"코드 확인"))</f>
        <v/>
      </c>
      <c r="D262" s="15"/>
      <c r="E262" s="15"/>
      <c r="F262" s="16"/>
      <c r="G262" s="16"/>
      <c r="H262" s="21" t="str">
        <f aca="false">IF(OR($B262="",F262=0),"",G262/F262)</f>
        <v/>
      </c>
      <c r="I262" s="22" t="str">
        <f aca="false">IF($B262="","",MAX(F262-G262,0))</f>
        <v/>
      </c>
      <c r="J262" s="23" t="str">
        <f aca="false">IF($B262="","",IFERROR(INDEX(고객사!$G$5:$G$104,MATCH($B262,고객사!$A$5:$A$104,0)),""))</f>
        <v/>
      </c>
      <c r="K262" s="16"/>
      <c r="L262" s="22" t="str">
        <f aca="false">IF($B262="","",K262*IFERROR(INDEX(고객사!$L$5:$L$104,MATCH($B262,고객사!$A$5:$A$104,0)),0))</f>
        <v/>
      </c>
      <c r="M262" s="23" t="str">
        <f aca="false">IF($B262="","",IF(AND(J262="N",G262&gt;0,K262=0,IFERROR(INDEX(고객사!$H$5:$H$104,MATCH($B262,고객사!$A$5:$A$104,0)),"")="자사 차량 운행"),"차량 미배정",""))</f>
        <v/>
      </c>
      <c r="N262" s="22" t="str">
        <f aca="false">IF($B262="","",IFERROR(INDEX(고객사!$J$5:$J$104,MATCH($B262,고객사!$A$5:$A$104,0)),0))</f>
        <v/>
      </c>
      <c r="O262" s="22" t="str">
        <f aca="false">IF($B262="","",G262*N262)</f>
        <v/>
      </c>
      <c r="P262" s="22" t="str">
        <f aca="false">IF($B262="","",IFERROR(INDEX(고객사!$K$5:$K$104,MATCH($B262,고객사!$A$5:$A$104,0)),0))</f>
        <v/>
      </c>
      <c r="Q262" s="22" t="str">
        <f aca="false">IF($B262="","",G262*P262)</f>
        <v/>
      </c>
      <c r="R262" s="22" t="str">
        <f aca="false">IF($B262="","",O262-Q262-L262)</f>
        <v/>
      </c>
      <c r="S262" s="21" t="str">
        <f aca="false">IF(OR($B262="",N(O262)=0),"",R262/O262)</f>
        <v/>
      </c>
      <c r="T262" s="14"/>
      <c r="U262" s="19" t="n">
        <f aca="false">IF(OR($B262="",$A262=""),0,IF(COUNTIFS($A$5:$A262,$A262,$B$5:$B262,$B262)=1,1,0))</f>
        <v>0</v>
      </c>
    </row>
    <row r="263" customFormat="false" ht="15" hidden="false" customHeight="false" outlineLevel="0" collapsed="false">
      <c r="A263" s="17"/>
      <c r="B263" s="13"/>
      <c r="C263" s="20" t="str">
        <f aca="false">IF($B263="","",IFERROR(INDEX(고객사!$B$5:$B$104,MATCH($B263,고객사!$A$5:$A$104,0)),"코드 확인"))</f>
        <v/>
      </c>
      <c r="D263" s="15"/>
      <c r="E263" s="15"/>
      <c r="F263" s="16"/>
      <c r="G263" s="16"/>
      <c r="H263" s="21" t="str">
        <f aca="false">IF(OR($B263="",F263=0),"",G263/F263)</f>
        <v/>
      </c>
      <c r="I263" s="22" t="str">
        <f aca="false">IF($B263="","",MAX(F263-G263,0))</f>
        <v/>
      </c>
      <c r="J263" s="23" t="str">
        <f aca="false">IF($B263="","",IFERROR(INDEX(고객사!$G$5:$G$104,MATCH($B263,고객사!$A$5:$A$104,0)),""))</f>
        <v/>
      </c>
      <c r="K263" s="16"/>
      <c r="L263" s="22" t="str">
        <f aca="false">IF($B263="","",K263*IFERROR(INDEX(고객사!$L$5:$L$104,MATCH($B263,고객사!$A$5:$A$104,0)),0))</f>
        <v/>
      </c>
      <c r="M263" s="23" t="str">
        <f aca="false">IF($B263="","",IF(AND(J263="N",G263&gt;0,K263=0,IFERROR(INDEX(고객사!$H$5:$H$104,MATCH($B263,고객사!$A$5:$A$104,0)),"")="자사 차량 운행"),"차량 미배정",""))</f>
        <v/>
      </c>
      <c r="N263" s="22" t="str">
        <f aca="false">IF($B263="","",IFERROR(INDEX(고객사!$J$5:$J$104,MATCH($B263,고객사!$A$5:$A$104,0)),0))</f>
        <v/>
      </c>
      <c r="O263" s="22" t="str">
        <f aca="false">IF($B263="","",G263*N263)</f>
        <v/>
      </c>
      <c r="P263" s="22" t="str">
        <f aca="false">IF($B263="","",IFERROR(INDEX(고객사!$K$5:$K$104,MATCH($B263,고객사!$A$5:$A$104,0)),0))</f>
        <v/>
      </c>
      <c r="Q263" s="22" t="str">
        <f aca="false">IF($B263="","",G263*P263)</f>
        <v/>
      </c>
      <c r="R263" s="22" t="str">
        <f aca="false">IF($B263="","",O263-Q263-L263)</f>
        <v/>
      </c>
      <c r="S263" s="21" t="str">
        <f aca="false">IF(OR($B263="",N(O263)=0),"",R263/O263)</f>
        <v/>
      </c>
      <c r="T263" s="14"/>
      <c r="U263" s="19" t="n">
        <f aca="false">IF(OR($B263="",$A263=""),0,IF(COUNTIFS($A$5:$A263,$A263,$B$5:$B263,$B263)=1,1,0))</f>
        <v>0</v>
      </c>
    </row>
    <row r="264" customFormat="false" ht="15" hidden="false" customHeight="false" outlineLevel="0" collapsed="false">
      <c r="A264" s="17"/>
      <c r="B264" s="13"/>
      <c r="C264" s="20" t="str">
        <f aca="false">IF($B264="","",IFERROR(INDEX(고객사!$B$5:$B$104,MATCH($B264,고객사!$A$5:$A$104,0)),"코드 확인"))</f>
        <v/>
      </c>
      <c r="D264" s="15"/>
      <c r="E264" s="15"/>
      <c r="F264" s="16"/>
      <c r="G264" s="16"/>
      <c r="H264" s="21" t="str">
        <f aca="false">IF(OR($B264="",F264=0),"",G264/F264)</f>
        <v/>
      </c>
      <c r="I264" s="22" t="str">
        <f aca="false">IF($B264="","",MAX(F264-G264,0))</f>
        <v/>
      </c>
      <c r="J264" s="23" t="str">
        <f aca="false">IF($B264="","",IFERROR(INDEX(고객사!$G$5:$G$104,MATCH($B264,고객사!$A$5:$A$104,0)),""))</f>
        <v/>
      </c>
      <c r="K264" s="16"/>
      <c r="L264" s="22" t="str">
        <f aca="false">IF($B264="","",K264*IFERROR(INDEX(고객사!$L$5:$L$104,MATCH($B264,고객사!$A$5:$A$104,0)),0))</f>
        <v/>
      </c>
      <c r="M264" s="23" t="str">
        <f aca="false">IF($B264="","",IF(AND(J264="N",G264&gt;0,K264=0,IFERROR(INDEX(고객사!$H$5:$H$104,MATCH($B264,고객사!$A$5:$A$104,0)),"")="자사 차량 운행"),"차량 미배정",""))</f>
        <v/>
      </c>
      <c r="N264" s="22" t="str">
        <f aca="false">IF($B264="","",IFERROR(INDEX(고객사!$J$5:$J$104,MATCH($B264,고객사!$A$5:$A$104,0)),0))</f>
        <v/>
      </c>
      <c r="O264" s="22" t="str">
        <f aca="false">IF($B264="","",G264*N264)</f>
        <v/>
      </c>
      <c r="P264" s="22" t="str">
        <f aca="false">IF($B264="","",IFERROR(INDEX(고객사!$K$5:$K$104,MATCH($B264,고객사!$A$5:$A$104,0)),0))</f>
        <v/>
      </c>
      <c r="Q264" s="22" t="str">
        <f aca="false">IF($B264="","",G264*P264)</f>
        <v/>
      </c>
      <c r="R264" s="22" t="str">
        <f aca="false">IF($B264="","",O264-Q264-L264)</f>
        <v/>
      </c>
      <c r="S264" s="21" t="str">
        <f aca="false">IF(OR($B264="",N(O264)=0),"",R264/O264)</f>
        <v/>
      </c>
      <c r="T264" s="14"/>
      <c r="U264" s="19" t="n">
        <f aca="false">IF(OR($B264="",$A264=""),0,IF(COUNTIFS($A$5:$A264,$A264,$B$5:$B264,$B264)=1,1,0))</f>
        <v>0</v>
      </c>
    </row>
    <row r="265" customFormat="false" ht="15" hidden="false" customHeight="false" outlineLevel="0" collapsed="false">
      <c r="A265" s="17"/>
      <c r="B265" s="13"/>
      <c r="C265" s="20" t="str">
        <f aca="false">IF($B265="","",IFERROR(INDEX(고객사!$B$5:$B$104,MATCH($B265,고객사!$A$5:$A$104,0)),"코드 확인"))</f>
        <v/>
      </c>
      <c r="D265" s="15"/>
      <c r="E265" s="15"/>
      <c r="F265" s="16"/>
      <c r="G265" s="16"/>
      <c r="H265" s="21" t="str">
        <f aca="false">IF(OR($B265="",F265=0),"",G265/F265)</f>
        <v/>
      </c>
      <c r="I265" s="22" t="str">
        <f aca="false">IF($B265="","",MAX(F265-G265,0))</f>
        <v/>
      </c>
      <c r="J265" s="23" t="str">
        <f aca="false">IF($B265="","",IFERROR(INDEX(고객사!$G$5:$G$104,MATCH($B265,고객사!$A$5:$A$104,0)),""))</f>
        <v/>
      </c>
      <c r="K265" s="16"/>
      <c r="L265" s="22" t="str">
        <f aca="false">IF($B265="","",K265*IFERROR(INDEX(고객사!$L$5:$L$104,MATCH($B265,고객사!$A$5:$A$104,0)),0))</f>
        <v/>
      </c>
      <c r="M265" s="23" t="str">
        <f aca="false">IF($B265="","",IF(AND(J265="N",G265&gt;0,K265=0,IFERROR(INDEX(고객사!$H$5:$H$104,MATCH($B265,고객사!$A$5:$A$104,0)),"")="자사 차량 운행"),"차량 미배정",""))</f>
        <v/>
      </c>
      <c r="N265" s="22" t="str">
        <f aca="false">IF($B265="","",IFERROR(INDEX(고객사!$J$5:$J$104,MATCH($B265,고객사!$A$5:$A$104,0)),0))</f>
        <v/>
      </c>
      <c r="O265" s="22" t="str">
        <f aca="false">IF($B265="","",G265*N265)</f>
        <v/>
      </c>
      <c r="P265" s="22" t="str">
        <f aca="false">IF($B265="","",IFERROR(INDEX(고객사!$K$5:$K$104,MATCH($B265,고객사!$A$5:$A$104,0)),0))</f>
        <v/>
      </c>
      <c r="Q265" s="22" t="str">
        <f aca="false">IF($B265="","",G265*P265)</f>
        <v/>
      </c>
      <c r="R265" s="22" t="str">
        <f aca="false">IF($B265="","",O265-Q265-L265)</f>
        <v/>
      </c>
      <c r="S265" s="21" t="str">
        <f aca="false">IF(OR($B265="",N(O265)=0),"",R265/O265)</f>
        <v/>
      </c>
      <c r="T265" s="14"/>
      <c r="U265" s="19" t="n">
        <f aca="false">IF(OR($B265="",$A265=""),0,IF(COUNTIFS($A$5:$A265,$A265,$B$5:$B265,$B265)=1,1,0))</f>
        <v>0</v>
      </c>
    </row>
    <row r="266" customFormat="false" ht="15" hidden="false" customHeight="false" outlineLevel="0" collapsed="false">
      <c r="A266" s="17"/>
      <c r="B266" s="13"/>
      <c r="C266" s="20" t="str">
        <f aca="false">IF($B266="","",IFERROR(INDEX(고객사!$B$5:$B$104,MATCH($B266,고객사!$A$5:$A$104,0)),"코드 확인"))</f>
        <v/>
      </c>
      <c r="D266" s="15"/>
      <c r="E266" s="15"/>
      <c r="F266" s="16"/>
      <c r="G266" s="16"/>
      <c r="H266" s="21" t="str">
        <f aca="false">IF(OR($B266="",F266=0),"",G266/F266)</f>
        <v/>
      </c>
      <c r="I266" s="22" t="str">
        <f aca="false">IF($B266="","",MAX(F266-G266,0))</f>
        <v/>
      </c>
      <c r="J266" s="23" t="str">
        <f aca="false">IF($B266="","",IFERROR(INDEX(고객사!$G$5:$G$104,MATCH($B266,고객사!$A$5:$A$104,0)),""))</f>
        <v/>
      </c>
      <c r="K266" s="16"/>
      <c r="L266" s="22" t="str">
        <f aca="false">IF($B266="","",K266*IFERROR(INDEX(고객사!$L$5:$L$104,MATCH($B266,고객사!$A$5:$A$104,0)),0))</f>
        <v/>
      </c>
      <c r="M266" s="23" t="str">
        <f aca="false">IF($B266="","",IF(AND(J266="N",G266&gt;0,K266=0,IFERROR(INDEX(고객사!$H$5:$H$104,MATCH($B266,고객사!$A$5:$A$104,0)),"")="자사 차량 운행"),"차량 미배정",""))</f>
        <v/>
      </c>
      <c r="N266" s="22" t="str">
        <f aca="false">IF($B266="","",IFERROR(INDEX(고객사!$J$5:$J$104,MATCH($B266,고객사!$A$5:$A$104,0)),0))</f>
        <v/>
      </c>
      <c r="O266" s="22" t="str">
        <f aca="false">IF($B266="","",G266*N266)</f>
        <v/>
      </c>
      <c r="P266" s="22" t="str">
        <f aca="false">IF($B266="","",IFERROR(INDEX(고객사!$K$5:$K$104,MATCH($B266,고객사!$A$5:$A$104,0)),0))</f>
        <v/>
      </c>
      <c r="Q266" s="22" t="str">
        <f aca="false">IF($B266="","",G266*P266)</f>
        <v/>
      </c>
      <c r="R266" s="22" t="str">
        <f aca="false">IF($B266="","",O266-Q266-L266)</f>
        <v/>
      </c>
      <c r="S266" s="21" t="str">
        <f aca="false">IF(OR($B266="",N(O266)=0),"",R266/O266)</f>
        <v/>
      </c>
      <c r="T266" s="14"/>
      <c r="U266" s="19" t="n">
        <f aca="false">IF(OR($B266="",$A266=""),0,IF(COUNTIFS($A$5:$A266,$A266,$B$5:$B266,$B266)=1,1,0))</f>
        <v>0</v>
      </c>
    </row>
    <row r="267" customFormat="false" ht="15" hidden="false" customHeight="false" outlineLevel="0" collapsed="false">
      <c r="A267" s="17"/>
      <c r="B267" s="13"/>
      <c r="C267" s="20" t="str">
        <f aca="false">IF($B267="","",IFERROR(INDEX(고객사!$B$5:$B$104,MATCH($B267,고객사!$A$5:$A$104,0)),"코드 확인"))</f>
        <v/>
      </c>
      <c r="D267" s="15"/>
      <c r="E267" s="15"/>
      <c r="F267" s="16"/>
      <c r="G267" s="16"/>
      <c r="H267" s="21" t="str">
        <f aca="false">IF(OR($B267="",F267=0),"",G267/F267)</f>
        <v/>
      </c>
      <c r="I267" s="22" t="str">
        <f aca="false">IF($B267="","",MAX(F267-G267,0))</f>
        <v/>
      </c>
      <c r="J267" s="23" t="str">
        <f aca="false">IF($B267="","",IFERROR(INDEX(고객사!$G$5:$G$104,MATCH($B267,고객사!$A$5:$A$104,0)),""))</f>
        <v/>
      </c>
      <c r="K267" s="16"/>
      <c r="L267" s="22" t="str">
        <f aca="false">IF($B267="","",K267*IFERROR(INDEX(고객사!$L$5:$L$104,MATCH($B267,고객사!$A$5:$A$104,0)),0))</f>
        <v/>
      </c>
      <c r="M267" s="23" t="str">
        <f aca="false">IF($B267="","",IF(AND(J267="N",G267&gt;0,K267=0,IFERROR(INDEX(고객사!$H$5:$H$104,MATCH($B267,고객사!$A$5:$A$104,0)),"")="자사 차량 운행"),"차량 미배정",""))</f>
        <v/>
      </c>
      <c r="N267" s="22" t="str">
        <f aca="false">IF($B267="","",IFERROR(INDEX(고객사!$J$5:$J$104,MATCH($B267,고객사!$A$5:$A$104,0)),0))</f>
        <v/>
      </c>
      <c r="O267" s="22" t="str">
        <f aca="false">IF($B267="","",G267*N267)</f>
        <v/>
      </c>
      <c r="P267" s="22" t="str">
        <f aca="false">IF($B267="","",IFERROR(INDEX(고객사!$K$5:$K$104,MATCH($B267,고객사!$A$5:$A$104,0)),0))</f>
        <v/>
      </c>
      <c r="Q267" s="22" t="str">
        <f aca="false">IF($B267="","",G267*P267)</f>
        <v/>
      </c>
      <c r="R267" s="22" t="str">
        <f aca="false">IF($B267="","",O267-Q267-L267)</f>
        <v/>
      </c>
      <c r="S267" s="21" t="str">
        <f aca="false">IF(OR($B267="",N(O267)=0),"",R267/O267)</f>
        <v/>
      </c>
      <c r="T267" s="14"/>
      <c r="U267" s="19" t="n">
        <f aca="false">IF(OR($B267="",$A267=""),0,IF(COUNTIFS($A$5:$A267,$A267,$B$5:$B267,$B267)=1,1,0))</f>
        <v>0</v>
      </c>
    </row>
    <row r="268" customFormat="false" ht="15" hidden="false" customHeight="false" outlineLevel="0" collapsed="false">
      <c r="A268" s="17"/>
      <c r="B268" s="13"/>
      <c r="C268" s="20" t="str">
        <f aca="false">IF($B268="","",IFERROR(INDEX(고객사!$B$5:$B$104,MATCH($B268,고객사!$A$5:$A$104,0)),"코드 확인"))</f>
        <v/>
      </c>
      <c r="D268" s="15"/>
      <c r="E268" s="15"/>
      <c r="F268" s="16"/>
      <c r="G268" s="16"/>
      <c r="H268" s="21" t="str">
        <f aca="false">IF(OR($B268="",F268=0),"",G268/F268)</f>
        <v/>
      </c>
      <c r="I268" s="22" t="str">
        <f aca="false">IF($B268="","",MAX(F268-G268,0))</f>
        <v/>
      </c>
      <c r="J268" s="23" t="str">
        <f aca="false">IF($B268="","",IFERROR(INDEX(고객사!$G$5:$G$104,MATCH($B268,고객사!$A$5:$A$104,0)),""))</f>
        <v/>
      </c>
      <c r="K268" s="16"/>
      <c r="L268" s="22" t="str">
        <f aca="false">IF($B268="","",K268*IFERROR(INDEX(고객사!$L$5:$L$104,MATCH($B268,고객사!$A$5:$A$104,0)),0))</f>
        <v/>
      </c>
      <c r="M268" s="23" t="str">
        <f aca="false">IF($B268="","",IF(AND(J268="N",G268&gt;0,K268=0,IFERROR(INDEX(고객사!$H$5:$H$104,MATCH($B268,고객사!$A$5:$A$104,0)),"")="자사 차량 운행"),"차량 미배정",""))</f>
        <v/>
      </c>
      <c r="N268" s="22" t="str">
        <f aca="false">IF($B268="","",IFERROR(INDEX(고객사!$J$5:$J$104,MATCH($B268,고객사!$A$5:$A$104,0)),0))</f>
        <v/>
      </c>
      <c r="O268" s="22" t="str">
        <f aca="false">IF($B268="","",G268*N268)</f>
        <v/>
      </c>
      <c r="P268" s="22" t="str">
        <f aca="false">IF($B268="","",IFERROR(INDEX(고객사!$K$5:$K$104,MATCH($B268,고객사!$A$5:$A$104,0)),0))</f>
        <v/>
      </c>
      <c r="Q268" s="22" t="str">
        <f aca="false">IF($B268="","",G268*P268)</f>
        <v/>
      </c>
      <c r="R268" s="22" t="str">
        <f aca="false">IF($B268="","",O268-Q268-L268)</f>
        <v/>
      </c>
      <c r="S268" s="21" t="str">
        <f aca="false">IF(OR($B268="",N(O268)=0),"",R268/O268)</f>
        <v/>
      </c>
      <c r="T268" s="14"/>
      <c r="U268" s="19" t="n">
        <f aca="false">IF(OR($B268="",$A268=""),0,IF(COUNTIFS($A$5:$A268,$A268,$B$5:$B268,$B268)=1,1,0))</f>
        <v>0</v>
      </c>
    </row>
    <row r="269" customFormat="false" ht="15" hidden="false" customHeight="false" outlineLevel="0" collapsed="false">
      <c r="A269" s="17"/>
      <c r="B269" s="13"/>
      <c r="C269" s="20" t="str">
        <f aca="false">IF($B269="","",IFERROR(INDEX(고객사!$B$5:$B$104,MATCH($B269,고객사!$A$5:$A$104,0)),"코드 확인"))</f>
        <v/>
      </c>
      <c r="D269" s="15"/>
      <c r="E269" s="15"/>
      <c r="F269" s="16"/>
      <c r="G269" s="16"/>
      <c r="H269" s="21" t="str">
        <f aca="false">IF(OR($B269="",F269=0),"",G269/F269)</f>
        <v/>
      </c>
      <c r="I269" s="22" t="str">
        <f aca="false">IF($B269="","",MAX(F269-G269,0))</f>
        <v/>
      </c>
      <c r="J269" s="23" t="str">
        <f aca="false">IF($B269="","",IFERROR(INDEX(고객사!$G$5:$G$104,MATCH($B269,고객사!$A$5:$A$104,0)),""))</f>
        <v/>
      </c>
      <c r="K269" s="16"/>
      <c r="L269" s="22" t="str">
        <f aca="false">IF($B269="","",K269*IFERROR(INDEX(고객사!$L$5:$L$104,MATCH($B269,고객사!$A$5:$A$104,0)),0))</f>
        <v/>
      </c>
      <c r="M269" s="23" t="str">
        <f aca="false">IF($B269="","",IF(AND(J269="N",G269&gt;0,K269=0,IFERROR(INDEX(고객사!$H$5:$H$104,MATCH($B269,고객사!$A$5:$A$104,0)),"")="자사 차량 운행"),"차량 미배정",""))</f>
        <v/>
      </c>
      <c r="N269" s="22" t="str">
        <f aca="false">IF($B269="","",IFERROR(INDEX(고객사!$J$5:$J$104,MATCH($B269,고객사!$A$5:$A$104,0)),0))</f>
        <v/>
      </c>
      <c r="O269" s="22" t="str">
        <f aca="false">IF($B269="","",G269*N269)</f>
        <v/>
      </c>
      <c r="P269" s="22" t="str">
        <f aca="false">IF($B269="","",IFERROR(INDEX(고객사!$K$5:$K$104,MATCH($B269,고객사!$A$5:$A$104,0)),0))</f>
        <v/>
      </c>
      <c r="Q269" s="22" t="str">
        <f aca="false">IF($B269="","",G269*P269)</f>
        <v/>
      </c>
      <c r="R269" s="22" t="str">
        <f aca="false">IF($B269="","",O269-Q269-L269)</f>
        <v/>
      </c>
      <c r="S269" s="21" t="str">
        <f aca="false">IF(OR($B269="",N(O269)=0),"",R269/O269)</f>
        <v/>
      </c>
      <c r="T269" s="14"/>
      <c r="U269" s="19" t="n">
        <f aca="false">IF(OR($B269="",$A269=""),0,IF(COUNTIFS($A$5:$A269,$A269,$B$5:$B269,$B269)=1,1,0))</f>
        <v>0</v>
      </c>
    </row>
    <row r="270" customFormat="false" ht="15" hidden="false" customHeight="false" outlineLevel="0" collapsed="false">
      <c r="A270" s="17"/>
      <c r="B270" s="13"/>
      <c r="C270" s="20" t="str">
        <f aca="false">IF($B270="","",IFERROR(INDEX(고객사!$B$5:$B$104,MATCH($B270,고객사!$A$5:$A$104,0)),"코드 확인"))</f>
        <v/>
      </c>
      <c r="D270" s="15"/>
      <c r="E270" s="15"/>
      <c r="F270" s="16"/>
      <c r="G270" s="16"/>
      <c r="H270" s="21" t="str">
        <f aca="false">IF(OR($B270="",F270=0),"",G270/F270)</f>
        <v/>
      </c>
      <c r="I270" s="22" t="str">
        <f aca="false">IF($B270="","",MAX(F270-G270,0))</f>
        <v/>
      </c>
      <c r="J270" s="23" t="str">
        <f aca="false">IF($B270="","",IFERROR(INDEX(고객사!$G$5:$G$104,MATCH($B270,고객사!$A$5:$A$104,0)),""))</f>
        <v/>
      </c>
      <c r="K270" s="16"/>
      <c r="L270" s="22" t="str">
        <f aca="false">IF($B270="","",K270*IFERROR(INDEX(고객사!$L$5:$L$104,MATCH($B270,고객사!$A$5:$A$104,0)),0))</f>
        <v/>
      </c>
      <c r="M270" s="23" t="str">
        <f aca="false">IF($B270="","",IF(AND(J270="N",G270&gt;0,K270=0,IFERROR(INDEX(고객사!$H$5:$H$104,MATCH($B270,고객사!$A$5:$A$104,0)),"")="자사 차량 운행"),"차량 미배정",""))</f>
        <v/>
      </c>
      <c r="N270" s="22" t="str">
        <f aca="false">IF($B270="","",IFERROR(INDEX(고객사!$J$5:$J$104,MATCH($B270,고객사!$A$5:$A$104,0)),0))</f>
        <v/>
      </c>
      <c r="O270" s="22" t="str">
        <f aca="false">IF($B270="","",G270*N270)</f>
        <v/>
      </c>
      <c r="P270" s="22" t="str">
        <f aca="false">IF($B270="","",IFERROR(INDEX(고객사!$K$5:$K$104,MATCH($B270,고객사!$A$5:$A$104,0)),0))</f>
        <v/>
      </c>
      <c r="Q270" s="22" t="str">
        <f aca="false">IF($B270="","",G270*P270)</f>
        <v/>
      </c>
      <c r="R270" s="22" t="str">
        <f aca="false">IF($B270="","",O270-Q270-L270)</f>
        <v/>
      </c>
      <c r="S270" s="21" t="str">
        <f aca="false">IF(OR($B270="",N(O270)=0),"",R270/O270)</f>
        <v/>
      </c>
      <c r="T270" s="14"/>
      <c r="U270" s="19" t="n">
        <f aca="false">IF(OR($B270="",$A270=""),0,IF(COUNTIFS($A$5:$A270,$A270,$B$5:$B270,$B270)=1,1,0))</f>
        <v>0</v>
      </c>
    </row>
    <row r="271" customFormat="false" ht="15" hidden="false" customHeight="false" outlineLevel="0" collapsed="false">
      <c r="A271" s="17"/>
      <c r="B271" s="13"/>
      <c r="C271" s="20" t="str">
        <f aca="false">IF($B271="","",IFERROR(INDEX(고객사!$B$5:$B$104,MATCH($B271,고객사!$A$5:$A$104,0)),"코드 확인"))</f>
        <v/>
      </c>
      <c r="D271" s="15"/>
      <c r="E271" s="15"/>
      <c r="F271" s="16"/>
      <c r="G271" s="16"/>
      <c r="H271" s="21" t="str">
        <f aca="false">IF(OR($B271="",F271=0),"",G271/F271)</f>
        <v/>
      </c>
      <c r="I271" s="22" t="str">
        <f aca="false">IF($B271="","",MAX(F271-G271,0))</f>
        <v/>
      </c>
      <c r="J271" s="23" t="str">
        <f aca="false">IF($B271="","",IFERROR(INDEX(고객사!$G$5:$G$104,MATCH($B271,고객사!$A$5:$A$104,0)),""))</f>
        <v/>
      </c>
      <c r="K271" s="16"/>
      <c r="L271" s="22" t="str">
        <f aca="false">IF($B271="","",K271*IFERROR(INDEX(고객사!$L$5:$L$104,MATCH($B271,고객사!$A$5:$A$104,0)),0))</f>
        <v/>
      </c>
      <c r="M271" s="23" t="str">
        <f aca="false">IF($B271="","",IF(AND(J271="N",G271&gt;0,K271=0,IFERROR(INDEX(고객사!$H$5:$H$104,MATCH($B271,고객사!$A$5:$A$104,0)),"")="자사 차량 운행"),"차량 미배정",""))</f>
        <v/>
      </c>
      <c r="N271" s="22" t="str">
        <f aca="false">IF($B271="","",IFERROR(INDEX(고객사!$J$5:$J$104,MATCH($B271,고객사!$A$5:$A$104,0)),0))</f>
        <v/>
      </c>
      <c r="O271" s="22" t="str">
        <f aca="false">IF($B271="","",G271*N271)</f>
        <v/>
      </c>
      <c r="P271" s="22" t="str">
        <f aca="false">IF($B271="","",IFERROR(INDEX(고객사!$K$5:$K$104,MATCH($B271,고객사!$A$5:$A$104,0)),0))</f>
        <v/>
      </c>
      <c r="Q271" s="22" t="str">
        <f aca="false">IF($B271="","",G271*P271)</f>
        <v/>
      </c>
      <c r="R271" s="22" t="str">
        <f aca="false">IF($B271="","",O271-Q271-L271)</f>
        <v/>
      </c>
      <c r="S271" s="21" t="str">
        <f aca="false">IF(OR($B271="",N(O271)=0),"",R271/O271)</f>
        <v/>
      </c>
      <c r="T271" s="14"/>
      <c r="U271" s="19" t="n">
        <f aca="false">IF(OR($B271="",$A271=""),0,IF(COUNTIFS($A$5:$A271,$A271,$B$5:$B271,$B271)=1,1,0))</f>
        <v>0</v>
      </c>
    </row>
    <row r="272" customFormat="false" ht="15" hidden="false" customHeight="false" outlineLevel="0" collapsed="false">
      <c r="A272" s="17"/>
      <c r="B272" s="13"/>
      <c r="C272" s="20" t="str">
        <f aca="false">IF($B272="","",IFERROR(INDEX(고객사!$B$5:$B$104,MATCH($B272,고객사!$A$5:$A$104,0)),"코드 확인"))</f>
        <v/>
      </c>
      <c r="D272" s="15"/>
      <c r="E272" s="15"/>
      <c r="F272" s="16"/>
      <c r="G272" s="16"/>
      <c r="H272" s="21" t="str">
        <f aca="false">IF(OR($B272="",F272=0),"",G272/F272)</f>
        <v/>
      </c>
      <c r="I272" s="22" t="str">
        <f aca="false">IF($B272="","",MAX(F272-G272,0))</f>
        <v/>
      </c>
      <c r="J272" s="23" t="str">
        <f aca="false">IF($B272="","",IFERROR(INDEX(고객사!$G$5:$G$104,MATCH($B272,고객사!$A$5:$A$104,0)),""))</f>
        <v/>
      </c>
      <c r="K272" s="16"/>
      <c r="L272" s="22" t="str">
        <f aca="false">IF($B272="","",K272*IFERROR(INDEX(고객사!$L$5:$L$104,MATCH($B272,고객사!$A$5:$A$104,0)),0))</f>
        <v/>
      </c>
      <c r="M272" s="23" t="str">
        <f aca="false">IF($B272="","",IF(AND(J272="N",G272&gt;0,K272=0,IFERROR(INDEX(고객사!$H$5:$H$104,MATCH($B272,고객사!$A$5:$A$104,0)),"")="자사 차량 운행"),"차량 미배정",""))</f>
        <v/>
      </c>
      <c r="N272" s="22" t="str">
        <f aca="false">IF($B272="","",IFERROR(INDEX(고객사!$J$5:$J$104,MATCH($B272,고객사!$A$5:$A$104,0)),0))</f>
        <v/>
      </c>
      <c r="O272" s="22" t="str">
        <f aca="false">IF($B272="","",G272*N272)</f>
        <v/>
      </c>
      <c r="P272" s="22" t="str">
        <f aca="false">IF($B272="","",IFERROR(INDEX(고객사!$K$5:$K$104,MATCH($B272,고객사!$A$5:$A$104,0)),0))</f>
        <v/>
      </c>
      <c r="Q272" s="22" t="str">
        <f aca="false">IF($B272="","",G272*P272)</f>
        <v/>
      </c>
      <c r="R272" s="22" t="str">
        <f aca="false">IF($B272="","",O272-Q272-L272)</f>
        <v/>
      </c>
      <c r="S272" s="21" t="str">
        <f aca="false">IF(OR($B272="",N(O272)=0),"",R272/O272)</f>
        <v/>
      </c>
      <c r="T272" s="14"/>
      <c r="U272" s="19" t="n">
        <f aca="false">IF(OR($B272="",$A272=""),0,IF(COUNTIFS($A$5:$A272,$A272,$B$5:$B272,$B272)=1,1,0))</f>
        <v>0</v>
      </c>
    </row>
    <row r="273" customFormat="false" ht="15" hidden="false" customHeight="false" outlineLevel="0" collapsed="false">
      <c r="A273" s="17"/>
      <c r="B273" s="13"/>
      <c r="C273" s="20" t="str">
        <f aca="false">IF($B273="","",IFERROR(INDEX(고객사!$B$5:$B$104,MATCH($B273,고객사!$A$5:$A$104,0)),"코드 확인"))</f>
        <v/>
      </c>
      <c r="D273" s="15"/>
      <c r="E273" s="15"/>
      <c r="F273" s="16"/>
      <c r="G273" s="16"/>
      <c r="H273" s="21" t="str">
        <f aca="false">IF(OR($B273="",F273=0),"",G273/F273)</f>
        <v/>
      </c>
      <c r="I273" s="22" t="str">
        <f aca="false">IF($B273="","",MAX(F273-G273,0))</f>
        <v/>
      </c>
      <c r="J273" s="23" t="str">
        <f aca="false">IF($B273="","",IFERROR(INDEX(고객사!$G$5:$G$104,MATCH($B273,고객사!$A$5:$A$104,0)),""))</f>
        <v/>
      </c>
      <c r="K273" s="16"/>
      <c r="L273" s="22" t="str">
        <f aca="false">IF($B273="","",K273*IFERROR(INDEX(고객사!$L$5:$L$104,MATCH($B273,고객사!$A$5:$A$104,0)),0))</f>
        <v/>
      </c>
      <c r="M273" s="23" t="str">
        <f aca="false">IF($B273="","",IF(AND(J273="N",G273&gt;0,K273=0,IFERROR(INDEX(고객사!$H$5:$H$104,MATCH($B273,고객사!$A$5:$A$104,0)),"")="자사 차량 운행"),"차량 미배정",""))</f>
        <v/>
      </c>
      <c r="N273" s="22" t="str">
        <f aca="false">IF($B273="","",IFERROR(INDEX(고객사!$J$5:$J$104,MATCH($B273,고객사!$A$5:$A$104,0)),0))</f>
        <v/>
      </c>
      <c r="O273" s="22" t="str">
        <f aca="false">IF($B273="","",G273*N273)</f>
        <v/>
      </c>
      <c r="P273" s="22" t="str">
        <f aca="false">IF($B273="","",IFERROR(INDEX(고객사!$K$5:$K$104,MATCH($B273,고객사!$A$5:$A$104,0)),0))</f>
        <v/>
      </c>
      <c r="Q273" s="22" t="str">
        <f aca="false">IF($B273="","",G273*P273)</f>
        <v/>
      </c>
      <c r="R273" s="22" t="str">
        <f aca="false">IF($B273="","",O273-Q273-L273)</f>
        <v/>
      </c>
      <c r="S273" s="21" t="str">
        <f aca="false">IF(OR($B273="",N(O273)=0),"",R273/O273)</f>
        <v/>
      </c>
      <c r="T273" s="14"/>
      <c r="U273" s="19" t="n">
        <f aca="false">IF(OR($B273="",$A273=""),0,IF(COUNTIFS($A$5:$A273,$A273,$B$5:$B273,$B273)=1,1,0))</f>
        <v>0</v>
      </c>
    </row>
    <row r="274" customFormat="false" ht="15" hidden="false" customHeight="false" outlineLevel="0" collapsed="false">
      <c r="A274" s="17"/>
      <c r="B274" s="13"/>
      <c r="C274" s="20" t="str">
        <f aca="false">IF($B274="","",IFERROR(INDEX(고객사!$B$5:$B$104,MATCH($B274,고객사!$A$5:$A$104,0)),"코드 확인"))</f>
        <v/>
      </c>
      <c r="D274" s="15"/>
      <c r="E274" s="15"/>
      <c r="F274" s="16"/>
      <c r="G274" s="16"/>
      <c r="H274" s="21" t="str">
        <f aca="false">IF(OR($B274="",F274=0),"",G274/F274)</f>
        <v/>
      </c>
      <c r="I274" s="22" t="str">
        <f aca="false">IF($B274="","",MAX(F274-G274,0))</f>
        <v/>
      </c>
      <c r="J274" s="23" t="str">
        <f aca="false">IF($B274="","",IFERROR(INDEX(고객사!$G$5:$G$104,MATCH($B274,고객사!$A$5:$A$104,0)),""))</f>
        <v/>
      </c>
      <c r="K274" s="16"/>
      <c r="L274" s="22" t="str">
        <f aca="false">IF($B274="","",K274*IFERROR(INDEX(고객사!$L$5:$L$104,MATCH($B274,고객사!$A$5:$A$104,0)),0))</f>
        <v/>
      </c>
      <c r="M274" s="23" t="str">
        <f aca="false">IF($B274="","",IF(AND(J274="N",G274&gt;0,K274=0,IFERROR(INDEX(고객사!$H$5:$H$104,MATCH($B274,고객사!$A$5:$A$104,0)),"")="자사 차량 운행"),"차량 미배정",""))</f>
        <v/>
      </c>
      <c r="N274" s="22" t="str">
        <f aca="false">IF($B274="","",IFERROR(INDEX(고객사!$J$5:$J$104,MATCH($B274,고객사!$A$5:$A$104,0)),0))</f>
        <v/>
      </c>
      <c r="O274" s="22" t="str">
        <f aca="false">IF($B274="","",G274*N274)</f>
        <v/>
      </c>
      <c r="P274" s="22" t="str">
        <f aca="false">IF($B274="","",IFERROR(INDEX(고객사!$K$5:$K$104,MATCH($B274,고객사!$A$5:$A$104,0)),0))</f>
        <v/>
      </c>
      <c r="Q274" s="22" t="str">
        <f aca="false">IF($B274="","",G274*P274)</f>
        <v/>
      </c>
      <c r="R274" s="22" t="str">
        <f aca="false">IF($B274="","",O274-Q274-L274)</f>
        <v/>
      </c>
      <c r="S274" s="21" t="str">
        <f aca="false">IF(OR($B274="",N(O274)=0),"",R274/O274)</f>
        <v/>
      </c>
      <c r="T274" s="14"/>
      <c r="U274" s="19" t="n">
        <f aca="false">IF(OR($B274="",$A274=""),0,IF(COUNTIFS($A$5:$A274,$A274,$B$5:$B274,$B274)=1,1,0))</f>
        <v>0</v>
      </c>
    </row>
    <row r="275" customFormat="false" ht="15" hidden="false" customHeight="false" outlineLevel="0" collapsed="false">
      <c r="A275" s="17"/>
      <c r="B275" s="13"/>
      <c r="C275" s="20" t="str">
        <f aca="false">IF($B275="","",IFERROR(INDEX(고객사!$B$5:$B$104,MATCH($B275,고객사!$A$5:$A$104,0)),"코드 확인"))</f>
        <v/>
      </c>
      <c r="D275" s="15"/>
      <c r="E275" s="15"/>
      <c r="F275" s="16"/>
      <c r="G275" s="16"/>
      <c r="H275" s="21" t="str">
        <f aca="false">IF(OR($B275="",F275=0),"",G275/F275)</f>
        <v/>
      </c>
      <c r="I275" s="22" t="str">
        <f aca="false">IF($B275="","",MAX(F275-G275,0))</f>
        <v/>
      </c>
      <c r="J275" s="23" t="str">
        <f aca="false">IF($B275="","",IFERROR(INDEX(고객사!$G$5:$G$104,MATCH($B275,고객사!$A$5:$A$104,0)),""))</f>
        <v/>
      </c>
      <c r="K275" s="16"/>
      <c r="L275" s="22" t="str">
        <f aca="false">IF($B275="","",K275*IFERROR(INDEX(고객사!$L$5:$L$104,MATCH($B275,고객사!$A$5:$A$104,0)),0))</f>
        <v/>
      </c>
      <c r="M275" s="23" t="str">
        <f aca="false">IF($B275="","",IF(AND(J275="N",G275&gt;0,K275=0,IFERROR(INDEX(고객사!$H$5:$H$104,MATCH($B275,고객사!$A$5:$A$104,0)),"")="자사 차량 운행"),"차량 미배정",""))</f>
        <v/>
      </c>
      <c r="N275" s="22" t="str">
        <f aca="false">IF($B275="","",IFERROR(INDEX(고객사!$J$5:$J$104,MATCH($B275,고객사!$A$5:$A$104,0)),0))</f>
        <v/>
      </c>
      <c r="O275" s="22" t="str">
        <f aca="false">IF($B275="","",G275*N275)</f>
        <v/>
      </c>
      <c r="P275" s="22" t="str">
        <f aca="false">IF($B275="","",IFERROR(INDEX(고객사!$K$5:$K$104,MATCH($B275,고객사!$A$5:$A$104,0)),0))</f>
        <v/>
      </c>
      <c r="Q275" s="22" t="str">
        <f aca="false">IF($B275="","",G275*P275)</f>
        <v/>
      </c>
      <c r="R275" s="22" t="str">
        <f aca="false">IF($B275="","",O275-Q275-L275)</f>
        <v/>
      </c>
      <c r="S275" s="21" t="str">
        <f aca="false">IF(OR($B275="",N(O275)=0),"",R275/O275)</f>
        <v/>
      </c>
      <c r="T275" s="14"/>
      <c r="U275" s="19" t="n">
        <f aca="false">IF(OR($B275="",$A275=""),0,IF(COUNTIFS($A$5:$A275,$A275,$B$5:$B275,$B275)=1,1,0))</f>
        <v>0</v>
      </c>
    </row>
    <row r="276" customFormat="false" ht="15" hidden="false" customHeight="false" outlineLevel="0" collapsed="false">
      <c r="A276" s="17"/>
      <c r="B276" s="13"/>
      <c r="C276" s="20" t="str">
        <f aca="false">IF($B276="","",IFERROR(INDEX(고객사!$B$5:$B$104,MATCH($B276,고객사!$A$5:$A$104,0)),"코드 확인"))</f>
        <v/>
      </c>
      <c r="D276" s="15"/>
      <c r="E276" s="15"/>
      <c r="F276" s="16"/>
      <c r="G276" s="16"/>
      <c r="H276" s="21" t="str">
        <f aca="false">IF(OR($B276="",F276=0),"",G276/F276)</f>
        <v/>
      </c>
      <c r="I276" s="22" t="str">
        <f aca="false">IF($B276="","",MAX(F276-G276,0))</f>
        <v/>
      </c>
      <c r="J276" s="23" t="str">
        <f aca="false">IF($B276="","",IFERROR(INDEX(고객사!$G$5:$G$104,MATCH($B276,고객사!$A$5:$A$104,0)),""))</f>
        <v/>
      </c>
      <c r="K276" s="16"/>
      <c r="L276" s="22" t="str">
        <f aca="false">IF($B276="","",K276*IFERROR(INDEX(고객사!$L$5:$L$104,MATCH($B276,고객사!$A$5:$A$104,0)),0))</f>
        <v/>
      </c>
      <c r="M276" s="23" t="str">
        <f aca="false">IF($B276="","",IF(AND(J276="N",G276&gt;0,K276=0,IFERROR(INDEX(고객사!$H$5:$H$104,MATCH($B276,고객사!$A$5:$A$104,0)),"")="자사 차량 운행"),"차량 미배정",""))</f>
        <v/>
      </c>
      <c r="N276" s="22" t="str">
        <f aca="false">IF($B276="","",IFERROR(INDEX(고객사!$J$5:$J$104,MATCH($B276,고객사!$A$5:$A$104,0)),0))</f>
        <v/>
      </c>
      <c r="O276" s="22" t="str">
        <f aca="false">IF($B276="","",G276*N276)</f>
        <v/>
      </c>
      <c r="P276" s="22" t="str">
        <f aca="false">IF($B276="","",IFERROR(INDEX(고객사!$K$5:$K$104,MATCH($B276,고객사!$A$5:$A$104,0)),0))</f>
        <v/>
      </c>
      <c r="Q276" s="22" t="str">
        <f aca="false">IF($B276="","",G276*P276)</f>
        <v/>
      </c>
      <c r="R276" s="22" t="str">
        <f aca="false">IF($B276="","",O276-Q276-L276)</f>
        <v/>
      </c>
      <c r="S276" s="21" t="str">
        <f aca="false">IF(OR($B276="",N(O276)=0),"",R276/O276)</f>
        <v/>
      </c>
      <c r="T276" s="14"/>
      <c r="U276" s="19" t="n">
        <f aca="false">IF(OR($B276="",$A276=""),0,IF(COUNTIFS($A$5:$A276,$A276,$B$5:$B276,$B276)=1,1,0))</f>
        <v>0</v>
      </c>
    </row>
    <row r="277" customFormat="false" ht="15" hidden="false" customHeight="false" outlineLevel="0" collapsed="false">
      <c r="A277" s="17"/>
      <c r="B277" s="13"/>
      <c r="C277" s="20" t="str">
        <f aca="false">IF($B277="","",IFERROR(INDEX(고객사!$B$5:$B$104,MATCH($B277,고객사!$A$5:$A$104,0)),"코드 확인"))</f>
        <v/>
      </c>
      <c r="D277" s="15"/>
      <c r="E277" s="15"/>
      <c r="F277" s="16"/>
      <c r="G277" s="16"/>
      <c r="H277" s="21" t="str">
        <f aca="false">IF(OR($B277="",F277=0),"",G277/F277)</f>
        <v/>
      </c>
      <c r="I277" s="22" t="str">
        <f aca="false">IF($B277="","",MAX(F277-G277,0))</f>
        <v/>
      </c>
      <c r="J277" s="23" t="str">
        <f aca="false">IF($B277="","",IFERROR(INDEX(고객사!$G$5:$G$104,MATCH($B277,고객사!$A$5:$A$104,0)),""))</f>
        <v/>
      </c>
      <c r="K277" s="16"/>
      <c r="L277" s="22" t="str">
        <f aca="false">IF($B277="","",K277*IFERROR(INDEX(고객사!$L$5:$L$104,MATCH($B277,고객사!$A$5:$A$104,0)),0))</f>
        <v/>
      </c>
      <c r="M277" s="23" t="str">
        <f aca="false">IF($B277="","",IF(AND(J277="N",G277&gt;0,K277=0,IFERROR(INDEX(고객사!$H$5:$H$104,MATCH($B277,고객사!$A$5:$A$104,0)),"")="자사 차량 운행"),"차량 미배정",""))</f>
        <v/>
      </c>
      <c r="N277" s="22" t="str">
        <f aca="false">IF($B277="","",IFERROR(INDEX(고객사!$J$5:$J$104,MATCH($B277,고객사!$A$5:$A$104,0)),0))</f>
        <v/>
      </c>
      <c r="O277" s="22" t="str">
        <f aca="false">IF($B277="","",G277*N277)</f>
        <v/>
      </c>
      <c r="P277" s="22" t="str">
        <f aca="false">IF($B277="","",IFERROR(INDEX(고객사!$K$5:$K$104,MATCH($B277,고객사!$A$5:$A$104,0)),0))</f>
        <v/>
      </c>
      <c r="Q277" s="22" t="str">
        <f aca="false">IF($B277="","",G277*P277)</f>
        <v/>
      </c>
      <c r="R277" s="22" t="str">
        <f aca="false">IF($B277="","",O277-Q277-L277)</f>
        <v/>
      </c>
      <c r="S277" s="21" t="str">
        <f aca="false">IF(OR($B277="",N(O277)=0),"",R277/O277)</f>
        <v/>
      </c>
      <c r="T277" s="14"/>
      <c r="U277" s="19" t="n">
        <f aca="false">IF(OR($B277="",$A277=""),0,IF(COUNTIFS($A$5:$A277,$A277,$B$5:$B277,$B277)=1,1,0))</f>
        <v>0</v>
      </c>
    </row>
    <row r="278" customFormat="false" ht="15" hidden="false" customHeight="false" outlineLevel="0" collapsed="false">
      <c r="A278" s="17"/>
      <c r="B278" s="13"/>
      <c r="C278" s="20" t="str">
        <f aca="false">IF($B278="","",IFERROR(INDEX(고객사!$B$5:$B$104,MATCH($B278,고객사!$A$5:$A$104,0)),"코드 확인"))</f>
        <v/>
      </c>
      <c r="D278" s="15"/>
      <c r="E278" s="15"/>
      <c r="F278" s="16"/>
      <c r="G278" s="16"/>
      <c r="H278" s="21" t="str">
        <f aca="false">IF(OR($B278="",F278=0),"",G278/F278)</f>
        <v/>
      </c>
      <c r="I278" s="22" t="str">
        <f aca="false">IF($B278="","",MAX(F278-G278,0))</f>
        <v/>
      </c>
      <c r="J278" s="23" t="str">
        <f aca="false">IF($B278="","",IFERROR(INDEX(고객사!$G$5:$G$104,MATCH($B278,고객사!$A$5:$A$104,0)),""))</f>
        <v/>
      </c>
      <c r="K278" s="16"/>
      <c r="L278" s="22" t="str">
        <f aca="false">IF($B278="","",K278*IFERROR(INDEX(고객사!$L$5:$L$104,MATCH($B278,고객사!$A$5:$A$104,0)),0))</f>
        <v/>
      </c>
      <c r="M278" s="23" t="str">
        <f aca="false">IF($B278="","",IF(AND(J278="N",G278&gt;0,K278=0,IFERROR(INDEX(고객사!$H$5:$H$104,MATCH($B278,고객사!$A$5:$A$104,0)),"")="자사 차량 운행"),"차량 미배정",""))</f>
        <v/>
      </c>
      <c r="N278" s="22" t="str">
        <f aca="false">IF($B278="","",IFERROR(INDEX(고객사!$J$5:$J$104,MATCH($B278,고객사!$A$5:$A$104,0)),0))</f>
        <v/>
      </c>
      <c r="O278" s="22" t="str">
        <f aca="false">IF($B278="","",G278*N278)</f>
        <v/>
      </c>
      <c r="P278" s="22" t="str">
        <f aca="false">IF($B278="","",IFERROR(INDEX(고객사!$K$5:$K$104,MATCH($B278,고객사!$A$5:$A$104,0)),0))</f>
        <v/>
      </c>
      <c r="Q278" s="22" t="str">
        <f aca="false">IF($B278="","",G278*P278)</f>
        <v/>
      </c>
      <c r="R278" s="22" t="str">
        <f aca="false">IF($B278="","",O278-Q278-L278)</f>
        <v/>
      </c>
      <c r="S278" s="21" t="str">
        <f aca="false">IF(OR($B278="",N(O278)=0),"",R278/O278)</f>
        <v/>
      </c>
      <c r="T278" s="14"/>
      <c r="U278" s="19" t="n">
        <f aca="false">IF(OR($B278="",$A278=""),0,IF(COUNTIFS($A$5:$A278,$A278,$B$5:$B278,$B278)=1,1,0))</f>
        <v>0</v>
      </c>
    </row>
    <row r="279" customFormat="false" ht="15" hidden="false" customHeight="false" outlineLevel="0" collapsed="false">
      <c r="A279" s="17"/>
      <c r="B279" s="13"/>
      <c r="C279" s="20" t="str">
        <f aca="false">IF($B279="","",IFERROR(INDEX(고객사!$B$5:$B$104,MATCH($B279,고객사!$A$5:$A$104,0)),"코드 확인"))</f>
        <v/>
      </c>
      <c r="D279" s="15"/>
      <c r="E279" s="15"/>
      <c r="F279" s="16"/>
      <c r="G279" s="16"/>
      <c r="H279" s="21" t="str">
        <f aca="false">IF(OR($B279="",F279=0),"",G279/F279)</f>
        <v/>
      </c>
      <c r="I279" s="22" t="str">
        <f aca="false">IF($B279="","",MAX(F279-G279,0))</f>
        <v/>
      </c>
      <c r="J279" s="23" t="str">
        <f aca="false">IF($B279="","",IFERROR(INDEX(고객사!$G$5:$G$104,MATCH($B279,고객사!$A$5:$A$104,0)),""))</f>
        <v/>
      </c>
      <c r="K279" s="16"/>
      <c r="L279" s="22" t="str">
        <f aca="false">IF($B279="","",K279*IFERROR(INDEX(고객사!$L$5:$L$104,MATCH($B279,고객사!$A$5:$A$104,0)),0))</f>
        <v/>
      </c>
      <c r="M279" s="23" t="str">
        <f aca="false">IF($B279="","",IF(AND(J279="N",G279&gt;0,K279=0,IFERROR(INDEX(고객사!$H$5:$H$104,MATCH($B279,고객사!$A$5:$A$104,0)),"")="자사 차량 운행"),"차량 미배정",""))</f>
        <v/>
      </c>
      <c r="N279" s="22" t="str">
        <f aca="false">IF($B279="","",IFERROR(INDEX(고객사!$J$5:$J$104,MATCH($B279,고객사!$A$5:$A$104,0)),0))</f>
        <v/>
      </c>
      <c r="O279" s="22" t="str">
        <f aca="false">IF($B279="","",G279*N279)</f>
        <v/>
      </c>
      <c r="P279" s="22" t="str">
        <f aca="false">IF($B279="","",IFERROR(INDEX(고객사!$K$5:$K$104,MATCH($B279,고객사!$A$5:$A$104,0)),0))</f>
        <v/>
      </c>
      <c r="Q279" s="22" t="str">
        <f aca="false">IF($B279="","",G279*P279)</f>
        <v/>
      </c>
      <c r="R279" s="22" t="str">
        <f aca="false">IF($B279="","",O279-Q279-L279)</f>
        <v/>
      </c>
      <c r="S279" s="21" t="str">
        <f aca="false">IF(OR($B279="",N(O279)=0),"",R279/O279)</f>
        <v/>
      </c>
      <c r="T279" s="14"/>
      <c r="U279" s="19" t="n">
        <f aca="false">IF(OR($B279="",$A279=""),0,IF(COUNTIFS($A$5:$A279,$A279,$B$5:$B279,$B279)=1,1,0))</f>
        <v>0</v>
      </c>
    </row>
    <row r="280" customFormat="false" ht="15" hidden="false" customHeight="false" outlineLevel="0" collapsed="false">
      <c r="A280" s="17"/>
      <c r="B280" s="13"/>
      <c r="C280" s="20" t="str">
        <f aca="false">IF($B280="","",IFERROR(INDEX(고객사!$B$5:$B$104,MATCH($B280,고객사!$A$5:$A$104,0)),"코드 확인"))</f>
        <v/>
      </c>
      <c r="D280" s="15"/>
      <c r="E280" s="15"/>
      <c r="F280" s="16"/>
      <c r="G280" s="16"/>
      <c r="H280" s="21" t="str">
        <f aca="false">IF(OR($B280="",F280=0),"",G280/F280)</f>
        <v/>
      </c>
      <c r="I280" s="22" t="str">
        <f aca="false">IF($B280="","",MAX(F280-G280,0))</f>
        <v/>
      </c>
      <c r="J280" s="23" t="str">
        <f aca="false">IF($B280="","",IFERROR(INDEX(고객사!$G$5:$G$104,MATCH($B280,고객사!$A$5:$A$104,0)),""))</f>
        <v/>
      </c>
      <c r="K280" s="16"/>
      <c r="L280" s="22" t="str">
        <f aca="false">IF($B280="","",K280*IFERROR(INDEX(고객사!$L$5:$L$104,MATCH($B280,고객사!$A$5:$A$104,0)),0))</f>
        <v/>
      </c>
      <c r="M280" s="23" t="str">
        <f aca="false">IF($B280="","",IF(AND(J280="N",G280&gt;0,K280=0,IFERROR(INDEX(고객사!$H$5:$H$104,MATCH($B280,고객사!$A$5:$A$104,0)),"")="자사 차량 운행"),"차량 미배정",""))</f>
        <v/>
      </c>
      <c r="N280" s="22" t="str">
        <f aca="false">IF($B280="","",IFERROR(INDEX(고객사!$J$5:$J$104,MATCH($B280,고객사!$A$5:$A$104,0)),0))</f>
        <v/>
      </c>
      <c r="O280" s="22" t="str">
        <f aca="false">IF($B280="","",G280*N280)</f>
        <v/>
      </c>
      <c r="P280" s="22" t="str">
        <f aca="false">IF($B280="","",IFERROR(INDEX(고객사!$K$5:$K$104,MATCH($B280,고객사!$A$5:$A$104,0)),0))</f>
        <v/>
      </c>
      <c r="Q280" s="22" t="str">
        <f aca="false">IF($B280="","",G280*P280)</f>
        <v/>
      </c>
      <c r="R280" s="22" t="str">
        <f aca="false">IF($B280="","",O280-Q280-L280)</f>
        <v/>
      </c>
      <c r="S280" s="21" t="str">
        <f aca="false">IF(OR($B280="",N(O280)=0),"",R280/O280)</f>
        <v/>
      </c>
      <c r="T280" s="14"/>
      <c r="U280" s="19" t="n">
        <f aca="false">IF(OR($B280="",$A280=""),0,IF(COUNTIFS($A$5:$A280,$A280,$B$5:$B280,$B280)=1,1,0))</f>
        <v>0</v>
      </c>
    </row>
    <row r="281" customFormat="false" ht="15" hidden="false" customHeight="false" outlineLevel="0" collapsed="false">
      <c r="A281" s="17"/>
      <c r="B281" s="13"/>
      <c r="C281" s="20" t="str">
        <f aca="false">IF($B281="","",IFERROR(INDEX(고객사!$B$5:$B$104,MATCH($B281,고객사!$A$5:$A$104,0)),"코드 확인"))</f>
        <v/>
      </c>
      <c r="D281" s="15"/>
      <c r="E281" s="15"/>
      <c r="F281" s="16"/>
      <c r="G281" s="16"/>
      <c r="H281" s="21" t="str">
        <f aca="false">IF(OR($B281="",F281=0),"",G281/F281)</f>
        <v/>
      </c>
      <c r="I281" s="22" t="str">
        <f aca="false">IF($B281="","",MAX(F281-G281,0))</f>
        <v/>
      </c>
      <c r="J281" s="23" t="str">
        <f aca="false">IF($B281="","",IFERROR(INDEX(고객사!$G$5:$G$104,MATCH($B281,고객사!$A$5:$A$104,0)),""))</f>
        <v/>
      </c>
      <c r="K281" s="16"/>
      <c r="L281" s="22" t="str">
        <f aca="false">IF($B281="","",K281*IFERROR(INDEX(고객사!$L$5:$L$104,MATCH($B281,고객사!$A$5:$A$104,0)),0))</f>
        <v/>
      </c>
      <c r="M281" s="23" t="str">
        <f aca="false">IF($B281="","",IF(AND(J281="N",G281&gt;0,K281=0,IFERROR(INDEX(고객사!$H$5:$H$104,MATCH($B281,고객사!$A$5:$A$104,0)),"")="자사 차량 운행"),"차량 미배정",""))</f>
        <v/>
      </c>
      <c r="N281" s="22" t="str">
        <f aca="false">IF($B281="","",IFERROR(INDEX(고객사!$J$5:$J$104,MATCH($B281,고객사!$A$5:$A$104,0)),0))</f>
        <v/>
      </c>
      <c r="O281" s="22" t="str">
        <f aca="false">IF($B281="","",G281*N281)</f>
        <v/>
      </c>
      <c r="P281" s="22" t="str">
        <f aca="false">IF($B281="","",IFERROR(INDEX(고객사!$K$5:$K$104,MATCH($B281,고객사!$A$5:$A$104,0)),0))</f>
        <v/>
      </c>
      <c r="Q281" s="22" t="str">
        <f aca="false">IF($B281="","",G281*P281)</f>
        <v/>
      </c>
      <c r="R281" s="22" t="str">
        <f aca="false">IF($B281="","",O281-Q281-L281)</f>
        <v/>
      </c>
      <c r="S281" s="21" t="str">
        <f aca="false">IF(OR($B281="",N(O281)=0),"",R281/O281)</f>
        <v/>
      </c>
      <c r="T281" s="14"/>
      <c r="U281" s="19" t="n">
        <f aca="false">IF(OR($B281="",$A281=""),0,IF(COUNTIFS($A$5:$A281,$A281,$B$5:$B281,$B281)=1,1,0))</f>
        <v>0</v>
      </c>
    </row>
    <row r="282" customFormat="false" ht="15" hidden="false" customHeight="false" outlineLevel="0" collapsed="false">
      <c r="A282" s="17"/>
      <c r="B282" s="13"/>
      <c r="C282" s="20" t="str">
        <f aca="false">IF($B282="","",IFERROR(INDEX(고객사!$B$5:$B$104,MATCH($B282,고객사!$A$5:$A$104,0)),"코드 확인"))</f>
        <v/>
      </c>
      <c r="D282" s="15"/>
      <c r="E282" s="15"/>
      <c r="F282" s="16"/>
      <c r="G282" s="16"/>
      <c r="H282" s="21" t="str">
        <f aca="false">IF(OR($B282="",F282=0),"",G282/F282)</f>
        <v/>
      </c>
      <c r="I282" s="22" t="str">
        <f aca="false">IF($B282="","",MAX(F282-G282,0))</f>
        <v/>
      </c>
      <c r="J282" s="23" t="str">
        <f aca="false">IF($B282="","",IFERROR(INDEX(고객사!$G$5:$G$104,MATCH($B282,고객사!$A$5:$A$104,0)),""))</f>
        <v/>
      </c>
      <c r="K282" s="16"/>
      <c r="L282" s="22" t="str">
        <f aca="false">IF($B282="","",K282*IFERROR(INDEX(고객사!$L$5:$L$104,MATCH($B282,고객사!$A$5:$A$104,0)),0))</f>
        <v/>
      </c>
      <c r="M282" s="23" t="str">
        <f aca="false">IF($B282="","",IF(AND(J282="N",G282&gt;0,K282=0,IFERROR(INDEX(고객사!$H$5:$H$104,MATCH($B282,고객사!$A$5:$A$104,0)),"")="자사 차량 운행"),"차량 미배정",""))</f>
        <v/>
      </c>
      <c r="N282" s="22" t="str">
        <f aca="false">IF($B282="","",IFERROR(INDEX(고객사!$J$5:$J$104,MATCH($B282,고객사!$A$5:$A$104,0)),0))</f>
        <v/>
      </c>
      <c r="O282" s="22" t="str">
        <f aca="false">IF($B282="","",G282*N282)</f>
        <v/>
      </c>
      <c r="P282" s="22" t="str">
        <f aca="false">IF($B282="","",IFERROR(INDEX(고객사!$K$5:$K$104,MATCH($B282,고객사!$A$5:$A$104,0)),0))</f>
        <v/>
      </c>
      <c r="Q282" s="22" t="str">
        <f aca="false">IF($B282="","",G282*P282)</f>
        <v/>
      </c>
      <c r="R282" s="22" t="str">
        <f aca="false">IF($B282="","",O282-Q282-L282)</f>
        <v/>
      </c>
      <c r="S282" s="21" t="str">
        <f aca="false">IF(OR($B282="",N(O282)=0),"",R282/O282)</f>
        <v/>
      </c>
      <c r="T282" s="14"/>
      <c r="U282" s="19" t="n">
        <f aca="false">IF(OR($B282="",$A282=""),0,IF(COUNTIFS($A$5:$A282,$A282,$B$5:$B282,$B282)=1,1,0))</f>
        <v>0</v>
      </c>
    </row>
    <row r="283" customFormat="false" ht="15" hidden="false" customHeight="false" outlineLevel="0" collapsed="false">
      <c r="A283" s="17"/>
      <c r="B283" s="13"/>
      <c r="C283" s="20" t="str">
        <f aca="false">IF($B283="","",IFERROR(INDEX(고객사!$B$5:$B$104,MATCH($B283,고객사!$A$5:$A$104,0)),"코드 확인"))</f>
        <v/>
      </c>
      <c r="D283" s="15"/>
      <c r="E283" s="15"/>
      <c r="F283" s="16"/>
      <c r="G283" s="16"/>
      <c r="H283" s="21" t="str">
        <f aca="false">IF(OR($B283="",F283=0),"",G283/F283)</f>
        <v/>
      </c>
      <c r="I283" s="22" t="str">
        <f aca="false">IF($B283="","",MAX(F283-G283,0))</f>
        <v/>
      </c>
      <c r="J283" s="23" t="str">
        <f aca="false">IF($B283="","",IFERROR(INDEX(고객사!$G$5:$G$104,MATCH($B283,고객사!$A$5:$A$104,0)),""))</f>
        <v/>
      </c>
      <c r="K283" s="16"/>
      <c r="L283" s="22" t="str">
        <f aca="false">IF($B283="","",K283*IFERROR(INDEX(고객사!$L$5:$L$104,MATCH($B283,고객사!$A$5:$A$104,0)),0))</f>
        <v/>
      </c>
      <c r="M283" s="23" t="str">
        <f aca="false">IF($B283="","",IF(AND(J283="N",G283&gt;0,K283=0,IFERROR(INDEX(고객사!$H$5:$H$104,MATCH($B283,고객사!$A$5:$A$104,0)),"")="자사 차량 운행"),"차량 미배정",""))</f>
        <v/>
      </c>
      <c r="N283" s="22" t="str">
        <f aca="false">IF($B283="","",IFERROR(INDEX(고객사!$J$5:$J$104,MATCH($B283,고객사!$A$5:$A$104,0)),0))</f>
        <v/>
      </c>
      <c r="O283" s="22" t="str">
        <f aca="false">IF($B283="","",G283*N283)</f>
        <v/>
      </c>
      <c r="P283" s="22" t="str">
        <f aca="false">IF($B283="","",IFERROR(INDEX(고객사!$K$5:$K$104,MATCH($B283,고객사!$A$5:$A$104,0)),0))</f>
        <v/>
      </c>
      <c r="Q283" s="22" t="str">
        <f aca="false">IF($B283="","",G283*P283)</f>
        <v/>
      </c>
      <c r="R283" s="22" t="str">
        <f aca="false">IF($B283="","",O283-Q283-L283)</f>
        <v/>
      </c>
      <c r="S283" s="21" t="str">
        <f aca="false">IF(OR($B283="",N(O283)=0),"",R283/O283)</f>
        <v/>
      </c>
      <c r="T283" s="14"/>
      <c r="U283" s="19" t="n">
        <f aca="false">IF(OR($B283="",$A283=""),0,IF(COUNTIFS($A$5:$A283,$A283,$B$5:$B283,$B283)=1,1,0))</f>
        <v>0</v>
      </c>
    </row>
    <row r="284" customFormat="false" ht="15" hidden="false" customHeight="false" outlineLevel="0" collapsed="false">
      <c r="A284" s="17"/>
      <c r="B284" s="13"/>
      <c r="C284" s="20" t="str">
        <f aca="false">IF($B284="","",IFERROR(INDEX(고객사!$B$5:$B$104,MATCH($B284,고객사!$A$5:$A$104,0)),"코드 확인"))</f>
        <v/>
      </c>
      <c r="D284" s="15"/>
      <c r="E284" s="15"/>
      <c r="F284" s="16"/>
      <c r="G284" s="16"/>
      <c r="H284" s="21" t="str">
        <f aca="false">IF(OR($B284="",F284=0),"",G284/F284)</f>
        <v/>
      </c>
      <c r="I284" s="22" t="str">
        <f aca="false">IF($B284="","",MAX(F284-G284,0))</f>
        <v/>
      </c>
      <c r="J284" s="23" t="str">
        <f aca="false">IF($B284="","",IFERROR(INDEX(고객사!$G$5:$G$104,MATCH($B284,고객사!$A$5:$A$104,0)),""))</f>
        <v/>
      </c>
      <c r="K284" s="16"/>
      <c r="L284" s="22" t="str">
        <f aca="false">IF($B284="","",K284*IFERROR(INDEX(고객사!$L$5:$L$104,MATCH($B284,고객사!$A$5:$A$104,0)),0))</f>
        <v/>
      </c>
      <c r="M284" s="23" t="str">
        <f aca="false">IF($B284="","",IF(AND(J284="N",G284&gt;0,K284=0,IFERROR(INDEX(고객사!$H$5:$H$104,MATCH($B284,고객사!$A$5:$A$104,0)),"")="자사 차량 운행"),"차량 미배정",""))</f>
        <v/>
      </c>
      <c r="N284" s="22" t="str">
        <f aca="false">IF($B284="","",IFERROR(INDEX(고객사!$J$5:$J$104,MATCH($B284,고객사!$A$5:$A$104,0)),0))</f>
        <v/>
      </c>
      <c r="O284" s="22" t="str">
        <f aca="false">IF($B284="","",G284*N284)</f>
        <v/>
      </c>
      <c r="P284" s="22" t="str">
        <f aca="false">IF($B284="","",IFERROR(INDEX(고객사!$K$5:$K$104,MATCH($B284,고객사!$A$5:$A$104,0)),0))</f>
        <v/>
      </c>
      <c r="Q284" s="22" t="str">
        <f aca="false">IF($B284="","",G284*P284)</f>
        <v/>
      </c>
      <c r="R284" s="22" t="str">
        <f aca="false">IF($B284="","",O284-Q284-L284)</f>
        <v/>
      </c>
      <c r="S284" s="21" t="str">
        <f aca="false">IF(OR($B284="",N(O284)=0),"",R284/O284)</f>
        <v/>
      </c>
      <c r="T284" s="14"/>
      <c r="U284" s="19" t="n">
        <f aca="false">IF(OR($B284="",$A284=""),0,IF(COUNTIFS($A$5:$A284,$A284,$B$5:$B284,$B284)=1,1,0))</f>
        <v>0</v>
      </c>
    </row>
    <row r="285" customFormat="false" ht="15" hidden="false" customHeight="false" outlineLevel="0" collapsed="false">
      <c r="A285" s="17"/>
      <c r="B285" s="13"/>
      <c r="C285" s="20" t="str">
        <f aca="false">IF($B285="","",IFERROR(INDEX(고객사!$B$5:$B$104,MATCH($B285,고객사!$A$5:$A$104,0)),"코드 확인"))</f>
        <v/>
      </c>
      <c r="D285" s="15"/>
      <c r="E285" s="15"/>
      <c r="F285" s="16"/>
      <c r="G285" s="16"/>
      <c r="H285" s="21" t="str">
        <f aca="false">IF(OR($B285="",F285=0),"",G285/F285)</f>
        <v/>
      </c>
      <c r="I285" s="22" t="str">
        <f aca="false">IF($B285="","",MAX(F285-G285,0))</f>
        <v/>
      </c>
      <c r="J285" s="23" t="str">
        <f aca="false">IF($B285="","",IFERROR(INDEX(고객사!$G$5:$G$104,MATCH($B285,고객사!$A$5:$A$104,0)),""))</f>
        <v/>
      </c>
      <c r="K285" s="16"/>
      <c r="L285" s="22" t="str">
        <f aca="false">IF($B285="","",K285*IFERROR(INDEX(고객사!$L$5:$L$104,MATCH($B285,고객사!$A$5:$A$104,0)),0))</f>
        <v/>
      </c>
      <c r="M285" s="23" t="str">
        <f aca="false">IF($B285="","",IF(AND(J285="N",G285&gt;0,K285=0,IFERROR(INDEX(고객사!$H$5:$H$104,MATCH($B285,고객사!$A$5:$A$104,0)),"")="자사 차량 운행"),"차량 미배정",""))</f>
        <v/>
      </c>
      <c r="N285" s="22" t="str">
        <f aca="false">IF($B285="","",IFERROR(INDEX(고객사!$J$5:$J$104,MATCH($B285,고객사!$A$5:$A$104,0)),0))</f>
        <v/>
      </c>
      <c r="O285" s="22" t="str">
        <f aca="false">IF($B285="","",G285*N285)</f>
        <v/>
      </c>
      <c r="P285" s="22" t="str">
        <f aca="false">IF($B285="","",IFERROR(INDEX(고객사!$K$5:$K$104,MATCH($B285,고객사!$A$5:$A$104,0)),0))</f>
        <v/>
      </c>
      <c r="Q285" s="22" t="str">
        <f aca="false">IF($B285="","",G285*P285)</f>
        <v/>
      </c>
      <c r="R285" s="22" t="str">
        <f aca="false">IF($B285="","",O285-Q285-L285)</f>
        <v/>
      </c>
      <c r="S285" s="21" t="str">
        <f aca="false">IF(OR($B285="",N(O285)=0),"",R285/O285)</f>
        <v/>
      </c>
      <c r="T285" s="14"/>
      <c r="U285" s="19" t="n">
        <f aca="false">IF(OR($B285="",$A285=""),0,IF(COUNTIFS($A$5:$A285,$A285,$B$5:$B285,$B285)=1,1,0))</f>
        <v>0</v>
      </c>
    </row>
    <row r="286" customFormat="false" ht="15" hidden="false" customHeight="false" outlineLevel="0" collapsed="false">
      <c r="A286" s="17"/>
      <c r="B286" s="13"/>
      <c r="C286" s="20" t="str">
        <f aca="false">IF($B286="","",IFERROR(INDEX(고객사!$B$5:$B$104,MATCH($B286,고객사!$A$5:$A$104,0)),"코드 확인"))</f>
        <v/>
      </c>
      <c r="D286" s="15"/>
      <c r="E286" s="15"/>
      <c r="F286" s="16"/>
      <c r="G286" s="16"/>
      <c r="H286" s="21" t="str">
        <f aca="false">IF(OR($B286="",F286=0),"",G286/F286)</f>
        <v/>
      </c>
      <c r="I286" s="22" t="str">
        <f aca="false">IF($B286="","",MAX(F286-G286,0))</f>
        <v/>
      </c>
      <c r="J286" s="23" t="str">
        <f aca="false">IF($B286="","",IFERROR(INDEX(고객사!$G$5:$G$104,MATCH($B286,고객사!$A$5:$A$104,0)),""))</f>
        <v/>
      </c>
      <c r="K286" s="16"/>
      <c r="L286" s="22" t="str">
        <f aca="false">IF($B286="","",K286*IFERROR(INDEX(고객사!$L$5:$L$104,MATCH($B286,고객사!$A$5:$A$104,0)),0))</f>
        <v/>
      </c>
      <c r="M286" s="23" t="str">
        <f aca="false">IF($B286="","",IF(AND(J286="N",G286&gt;0,K286=0,IFERROR(INDEX(고객사!$H$5:$H$104,MATCH($B286,고객사!$A$5:$A$104,0)),"")="자사 차량 운행"),"차량 미배정",""))</f>
        <v/>
      </c>
      <c r="N286" s="22" t="str">
        <f aca="false">IF($B286="","",IFERROR(INDEX(고객사!$J$5:$J$104,MATCH($B286,고객사!$A$5:$A$104,0)),0))</f>
        <v/>
      </c>
      <c r="O286" s="22" t="str">
        <f aca="false">IF($B286="","",G286*N286)</f>
        <v/>
      </c>
      <c r="P286" s="22" t="str">
        <f aca="false">IF($B286="","",IFERROR(INDEX(고객사!$K$5:$K$104,MATCH($B286,고객사!$A$5:$A$104,0)),0))</f>
        <v/>
      </c>
      <c r="Q286" s="22" t="str">
        <f aca="false">IF($B286="","",G286*P286)</f>
        <v/>
      </c>
      <c r="R286" s="22" t="str">
        <f aca="false">IF($B286="","",O286-Q286-L286)</f>
        <v/>
      </c>
      <c r="S286" s="21" t="str">
        <f aca="false">IF(OR($B286="",N(O286)=0),"",R286/O286)</f>
        <v/>
      </c>
      <c r="T286" s="14"/>
      <c r="U286" s="19" t="n">
        <f aca="false">IF(OR($B286="",$A286=""),0,IF(COUNTIFS($A$5:$A286,$A286,$B$5:$B286,$B286)=1,1,0))</f>
        <v>0</v>
      </c>
    </row>
    <row r="287" customFormat="false" ht="15" hidden="false" customHeight="false" outlineLevel="0" collapsed="false">
      <c r="A287" s="17"/>
      <c r="B287" s="13"/>
      <c r="C287" s="20" t="str">
        <f aca="false">IF($B287="","",IFERROR(INDEX(고객사!$B$5:$B$104,MATCH($B287,고객사!$A$5:$A$104,0)),"코드 확인"))</f>
        <v/>
      </c>
      <c r="D287" s="15"/>
      <c r="E287" s="15"/>
      <c r="F287" s="16"/>
      <c r="G287" s="16"/>
      <c r="H287" s="21" t="str">
        <f aca="false">IF(OR($B287="",F287=0),"",G287/F287)</f>
        <v/>
      </c>
      <c r="I287" s="22" t="str">
        <f aca="false">IF($B287="","",MAX(F287-G287,0))</f>
        <v/>
      </c>
      <c r="J287" s="23" t="str">
        <f aca="false">IF($B287="","",IFERROR(INDEX(고객사!$G$5:$G$104,MATCH($B287,고객사!$A$5:$A$104,0)),""))</f>
        <v/>
      </c>
      <c r="K287" s="16"/>
      <c r="L287" s="22" t="str">
        <f aca="false">IF($B287="","",K287*IFERROR(INDEX(고객사!$L$5:$L$104,MATCH($B287,고객사!$A$5:$A$104,0)),0))</f>
        <v/>
      </c>
      <c r="M287" s="23" t="str">
        <f aca="false">IF($B287="","",IF(AND(J287="N",G287&gt;0,K287=0,IFERROR(INDEX(고객사!$H$5:$H$104,MATCH($B287,고객사!$A$5:$A$104,0)),"")="자사 차량 운행"),"차량 미배정",""))</f>
        <v/>
      </c>
      <c r="N287" s="22" t="str">
        <f aca="false">IF($B287="","",IFERROR(INDEX(고객사!$J$5:$J$104,MATCH($B287,고객사!$A$5:$A$104,0)),0))</f>
        <v/>
      </c>
      <c r="O287" s="22" t="str">
        <f aca="false">IF($B287="","",G287*N287)</f>
        <v/>
      </c>
      <c r="P287" s="22" t="str">
        <f aca="false">IF($B287="","",IFERROR(INDEX(고객사!$K$5:$K$104,MATCH($B287,고객사!$A$5:$A$104,0)),0))</f>
        <v/>
      </c>
      <c r="Q287" s="22" t="str">
        <f aca="false">IF($B287="","",G287*P287)</f>
        <v/>
      </c>
      <c r="R287" s="22" t="str">
        <f aca="false">IF($B287="","",O287-Q287-L287)</f>
        <v/>
      </c>
      <c r="S287" s="21" t="str">
        <f aca="false">IF(OR($B287="",N(O287)=0),"",R287/O287)</f>
        <v/>
      </c>
      <c r="T287" s="14"/>
      <c r="U287" s="19" t="n">
        <f aca="false">IF(OR($B287="",$A287=""),0,IF(COUNTIFS($A$5:$A287,$A287,$B$5:$B287,$B287)=1,1,0))</f>
        <v>0</v>
      </c>
    </row>
    <row r="288" customFormat="false" ht="15" hidden="false" customHeight="false" outlineLevel="0" collapsed="false">
      <c r="A288" s="17"/>
      <c r="B288" s="13"/>
      <c r="C288" s="20" t="str">
        <f aca="false">IF($B288="","",IFERROR(INDEX(고객사!$B$5:$B$104,MATCH($B288,고객사!$A$5:$A$104,0)),"코드 확인"))</f>
        <v/>
      </c>
      <c r="D288" s="15"/>
      <c r="E288" s="15"/>
      <c r="F288" s="16"/>
      <c r="G288" s="16"/>
      <c r="H288" s="21" t="str">
        <f aca="false">IF(OR($B288="",F288=0),"",G288/F288)</f>
        <v/>
      </c>
      <c r="I288" s="22" t="str">
        <f aca="false">IF($B288="","",MAX(F288-G288,0))</f>
        <v/>
      </c>
      <c r="J288" s="23" t="str">
        <f aca="false">IF($B288="","",IFERROR(INDEX(고객사!$G$5:$G$104,MATCH($B288,고객사!$A$5:$A$104,0)),""))</f>
        <v/>
      </c>
      <c r="K288" s="16"/>
      <c r="L288" s="22" t="str">
        <f aca="false">IF($B288="","",K288*IFERROR(INDEX(고객사!$L$5:$L$104,MATCH($B288,고객사!$A$5:$A$104,0)),0))</f>
        <v/>
      </c>
      <c r="M288" s="23" t="str">
        <f aca="false">IF($B288="","",IF(AND(J288="N",G288&gt;0,K288=0,IFERROR(INDEX(고객사!$H$5:$H$104,MATCH($B288,고객사!$A$5:$A$104,0)),"")="자사 차량 운행"),"차량 미배정",""))</f>
        <v/>
      </c>
      <c r="N288" s="22" t="str">
        <f aca="false">IF($B288="","",IFERROR(INDEX(고객사!$J$5:$J$104,MATCH($B288,고객사!$A$5:$A$104,0)),0))</f>
        <v/>
      </c>
      <c r="O288" s="22" t="str">
        <f aca="false">IF($B288="","",G288*N288)</f>
        <v/>
      </c>
      <c r="P288" s="22" t="str">
        <f aca="false">IF($B288="","",IFERROR(INDEX(고객사!$K$5:$K$104,MATCH($B288,고객사!$A$5:$A$104,0)),0))</f>
        <v/>
      </c>
      <c r="Q288" s="22" t="str">
        <f aca="false">IF($B288="","",G288*P288)</f>
        <v/>
      </c>
      <c r="R288" s="22" t="str">
        <f aca="false">IF($B288="","",O288-Q288-L288)</f>
        <v/>
      </c>
      <c r="S288" s="21" t="str">
        <f aca="false">IF(OR($B288="",N(O288)=0),"",R288/O288)</f>
        <v/>
      </c>
      <c r="T288" s="14"/>
      <c r="U288" s="19" t="n">
        <f aca="false">IF(OR($B288="",$A288=""),0,IF(COUNTIFS($A$5:$A288,$A288,$B$5:$B288,$B288)=1,1,0))</f>
        <v>0</v>
      </c>
    </row>
    <row r="289" customFormat="false" ht="15" hidden="false" customHeight="false" outlineLevel="0" collapsed="false">
      <c r="A289" s="17"/>
      <c r="B289" s="13"/>
      <c r="C289" s="20" t="str">
        <f aca="false">IF($B289="","",IFERROR(INDEX(고객사!$B$5:$B$104,MATCH($B289,고객사!$A$5:$A$104,0)),"코드 확인"))</f>
        <v/>
      </c>
      <c r="D289" s="15"/>
      <c r="E289" s="15"/>
      <c r="F289" s="16"/>
      <c r="G289" s="16"/>
      <c r="H289" s="21" t="str">
        <f aca="false">IF(OR($B289="",F289=0),"",G289/F289)</f>
        <v/>
      </c>
      <c r="I289" s="22" t="str">
        <f aca="false">IF($B289="","",MAX(F289-G289,0))</f>
        <v/>
      </c>
      <c r="J289" s="23" t="str">
        <f aca="false">IF($B289="","",IFERROR(INDEX(고객사!$G$5:$G$104,MATCH($B289,고객사!$A$5:$A$104,0)),""))</f>
        <v/>
      </c>
      <c r="K289" s="16"/>
      <c r="L289" s="22" t="str">
        <f aca="false">IF($B289="","",K289*IFERROR(INDEX(고객사!$L$5:$L$104,MATCH($B289,고객사!$A$5:$A$104,0)),0))</f>
        <v/>
      </c>
      <c r="M289" s="23" t="str">
        <f aca="false">IF($B289="","",IF(AND(J289="N",G289&gt;0,K289=0,IFERROR(INDEX(고객사!$H$5:$H$104,MATCH($B289,고객사!$A$5:$A$104,0)),"")="자사 차량 운행"),"차량 미배정",""))</f>
        <v/>
      </c>
      <c r="N289" s="22" t="str">
        <f aca="false">IF($B289="","",IFERROR(INDEX(고객사!$J$5:$J$104,MATCH($B289,고객사!$A$5:$A$104,0)),0))</f>
        <v/>
      </c>
      <c r="O289" s="22" t="str">
        <f aca="false">IF($B289="","",G289*N289)</f>
        <v/>
      </c>
      <c r="P289" s="22" t="str">
        <f aca="false">IF($B289="","",IFERROR(INDEX(고객사!$K$5:$K$104,MATCH($B289,고객사!$A$5:$A$104,0)),0))</f>
        <v/>
      </c>
      <c r="Q289" s="22" t="str">
        <f aca="false">IF($B289="","",G289*P289)</f>
        <v/>
      </c>
      <c r="R289" s="22" t="str">
        <f aca="false">IF($B289="","",O289-Q289-L289)</f>
        <v/>
      </c>
      <c r="S289" s="21" t="str">
        <f aca="false">IF(OR($B289="",N(O289)=0),"",R289/O289)</f>
        <v/>
      </c>
      <c r="T289" s="14"/>
      <c r="U289" s="19" t="n">
        <f aca="false">IF(OR($B289="",$A289=""),0,IF(COUNTIFS($A$5:$A289,$A289,$B$5:$B289,$B289)=1,1,0))</f>
        <v>0</v>
      </c>
    </row>
    <row r="290" customFormat="false" ht="15" hidden="false" customHeight="false" outlineLevel="0" collapsed="false">
      <c r="A290" s="17"/>
      <c r="B290" s="13"/>
      <c r="C290" s="20" t="str">
        <f aca="false">IF($B290="","",IFERROR(INDEX(고객사!$B$5:$B$104,MATCH($B290,고객사!$A$5:$A$104,0)),"코드 확인"))</f>
        <v/>
      </c>
      <c r="D290" s="15"/>
      <c r="E290" s="15"/>
      <c r="F290" s="16"/>
      <c r="G290" s="16"/>
      <c r="H290" s="21" t="str">
        <f aca="false">IF(OR($B290="",F290=0),"",G290/F290)</f>
        <v/>
      </c>
      <c r="I290" s="22" t="str">
        <f aca="false">IF($B290="","",MAX(F290-G290,0))</f>
        <v/>
      </c>
      <c r="J290" s="23" t="str">
        <f aca="false">IF($B290="","",IFERROR(INDEX(고객사!$G$5:$G$104,MATCH($B290,고객사!$A$5:$A$104,0)),""))</f>
        <v/>
      </c>
      <c r="K290" s="16"/>
      <c r="L290" s="22" t="str">
        <f aca="false">IF($B290="","",K290*IFERROR(INDEX(고객사!$L$5:$L$104,MATCH($B290,고객사!$A$5:$A$104,0)),0))</f>
        <v/>
      </c>
      <c r="M290" s="23" t="str">
        <f aca="false">IF($B290="","",IF(AND(J290="N",G290&gt;0,K290=0,IFERROR(INDEX(고객사!$H$5:$H$104,MATCH($B290,고객사!$A$5:$A$104,0)),"")="자사 차량 운행"),"차량 미배정",""))</f>
        <v/>
      </c>
      <c r="N290" s="22" t="str">
        <f aca="false">IF($B290="","",IFERROR(INDEX(고객사!$J$5:$J$104,MATCH($B290,고객사!$A$5:$A$104,0)),0))</f>
        <v/>
      </c>
      <c r="O290" s="22" t="str">
        <f aca="false">IF($B290="","",G290*N290)</f>
        <v/>
      </c>
      <c r="P290" s="22" t="str">
        <f aca="false">IF($B290="","",IFERROR(INDEX(고객사!$K$5:$K$104,MATCH($B290,고객사!$A$5:$A$104,0)),0))</f>
        <v/>
      </c>
      <c r="Q290" s="22" t="str">
        <f aca="false">IF($B290="","",G290*P290)</f>
        <v/>
      </c>
      <c r="R290" s="22" t="str">
        <f aca="false">IF($B290="","",O290-Q290-L290)</f>
        <v/>
      </c>
      <c r="S290" s="21" t="str">
        <f aca="false">IF(OR($B290="",N(O290)=0),"",R290/O290)</f>
        <v/>
      </c>
      <c r="T290" s="14"/>
      <c r="U290" s="19" t="n">
        <f aca="false">IF(OR($B290="",$A290=""),0,IF(COUNTIFS($A$5:$A290,$A290,$B$5:$B290,$B290)=1,1,0))</f>
        <v>0</v>
      </c>
    </row>
    <row r="291" customFormat="false" ht="15" hidden="false" customHeight="false" outlineLevel="0" collapsed="false">
      <c r="A291" s="17"/>
      <c r="B291" s="13"/>
      <c r="C291" s="20" t="str">
        <f aca="false">IF($B291="","",IFERROR(INDEX(고객사!$B$5:$B$104,MATCH($B291,고객사!$A$5:$A$104,0)),"코드 확인"))</f>
        <v/>
      </c>
      <c r="D291" s="15"/>
      <c r="E291" s="15"/>
      <c r="F291" s="16"/>
      <c r="G291" s="16"/>
      <c r="H291" s="21" t="str">
        <f aca="false">IF(OR($B291="",F291=0),"",G291/F291)</f>
        <v/>
      </c>
      <c r="I291" s="22" t="str">
        <f aca="false">IF($B291="","",MAX(F291-G291,0))</f>
        <v/>
      </c>
      <c r="J291" s="23" t="str">
        <f aca="false">IF($B291="","",IFERROR(INDEX(고객사!$G$5:$G$104,MATCH($B291,고객사!$A$5:$A$104,0)),""))</f>
        <v/>
      </c>
      <c r="K291" s="16"/>
      <c r="L291" s="22" t="str">
        <f aca="false">IF($B291="","",K291*IFERROR(INDEX(고객사!$L$5:$L$104,MATCH($B291,고객사!$A$5:$A$104,0)),0))</f>
        <v/>
      </c>
      <c r="M291" s="23" t="str">
        <f aca="false">IF($B291="","",IF(AND(J291="N",G291&gt;0,K291=0,IFERROR(INDEX(고객사!$H$5:$H$104,MATCH($B291,고객사!$A$5:$A$104,0)),"")="자사 차량 운행"),"차량 미배정",""))</f>
        <v/>
      </c>
      <c r="N291" s="22" t="str">
        <f aca="false">IF($B291="","",IFERROR(INDEX(고객사!$J$5:$J$104,MATCH($B291,고객사!$A$5:$A$104,0)),0))</f>
        <v/>
      </c>
      <c r="O291" s="22" t="str">
        <f aca="false">IF($B291="","",G291*N291)</f>
        <v/>
      </c>
      <c r="P291" s="22" t="str">
        <f aca="false">IF($B291="","",IFERROR(INDEX(고객사!$K$5:$K$104,MATCH($B291,고객사!$A$5:$A$104,0)),0))</f>
        <v/>
      </c>
      <c r="Q291" s="22" t="str">
        <f aca="false">IF($B291="","",G291*P291)</f>
        <v/>
      </c>
      <c r="R291" s="22" t="str">
        <f aca="false">IF($B291="","",O291-Q291-L291)</f>
        <v/>
      </c>
      <c r="S291" s="21" t="str">
        <f aca="false">IF(OR($B291="",N(O291)=0),"",R291/O291)</f>
        <v/>
      </c>
      <c r="T291" s="14"/>
      <c r="U291" s="19" t="n">
        <f aca="false">IF(OR($B291="",$A291=""),0,IF(COUNTIFS($A$5:$A291,$A291,$B$5:$B291,$B291)=1,1,0))</f>
        <v>0</v>
      </c>
    </row>
    <row r="292" customFormat="false" ht="15" hidden="false" customHeight="false" outlineLevel="0" collapsed="false">
      <c r="A292" s="17"/>
      <c r="B292" s="13"/>
      <c r="C292" s="20" t="str">
        <f aca="false">IF($B292="","",IFERROR(INDEX(고객사!$B$5:$B$104,MATCH($B292,고객사!$A$5:$A$104,0)),"코드 확인"))</f>
        <v/>
      </c>
      <c r="D292" s="15"/>
      <c r="E292" s="15"/>
      <c r="F292" s="16"/>
      <c r="G292" s="16"/>
      <c r="H292" s="21" t="str">
        <f aca="false">IF(OR($B292="",F292=0),"",G292/F292)</f>
        <v/>
      </c>
      <c r="I292" s="22" t="str">
        <f aca="false">IF($B292="","",MAX(F292-G292,0))</f>
        <v/>
      </c>
      <c r="J292" s="23" t="str">
        <f aca="false">IF($B292="","",IFERROR(INDEX(고객사!$G$5:$G$104,MATCH($B292,고객사!$A$5:$A$104,0)),""))</f>
        <v/>
      </c>
      <c r="K292" s="16"/>
      <c r="L292" s="22" t="str">
        <f aca="false">IF($B292="","",K292*IFERROR(INDEX(고객사!$L$5:$L$104,MATCH($B292,고객사!$A$5:$A$104,0)),0))</f>
        <v/>
      </c>
      <c r="M292" s="23" t="str">
        <f aca="false">IF($B292="","",IF(AND(J292="N",G292&gt;0,K292=0,IFERROR(INDEX(고객사!$H$5:$H$104,MATCH($B292,고객사!$A$5:$A$104,0)),"")="자사 차량 운행"),"차량 미배정",""))</f>
        <v/>
      </c>
      <c r="N292" s="22" t="str">
        <f aca="false">IF($B292="","",IFERROR(INDEX(고객사!$J$5:$J$104,MATCH($B292,고객사!$A$5:$A$104,0)),0))</f>
        <v/>
      </c>
      <c r="O292" s="22" t="str">
        <f aca="false">IF($B292="","",G292*N292)</f>
        <v/>
      </c>
      <c r="P292" s="22" t="str">
        <f aca="false">IF($B292="","",IFERROR(INDEX(고객사!$K$5:$K$104,MATCH($B292,고객사!$A$5:$A$104,0)),0))</f>
        <v/>
      </c>
      <c r="Q292" s="22" t="str">
        <f aca="false">IF($B292="","",G292*P292)</f>
        <v/>
      </c>
      <c r="R292" s="22" t="str">
        <f aca="false">IF($B292="","",O292-Q292-L292)</f>
        <v/>
      </c>
      <c r="S292" s="21" t="str">
        <f aca="false">IF(OR($B292="",N(O292)=0),"",R292/O292)</f>
        <v/>
      </c>
      <c r="T292" s="14"/>
      <c r="U292" s="19" t="n">
        <f aca="false">IF(OR($B292="",$A292=""),0,IF(COUNTIFS($A$5:$A292,$A292,$B$5:$B292,$B292)=1,1,0))</f>
        <v>0</v>
      </c>
    </row>
    <row r="293" customFormat="false" ht="15" hidden="false" customHeight="false" outlineLevel="0" collapsed="false">
      <c r="A293" s="17"/>
      <c r="B293" s="13"/>
      <c r="C293" s="20" t="str">
        <f aca="false">IF($B293="","",IFERROR(INDEX(고객사!$B$5:$B$104,MATCH($B293,고객사!$A$5:$A$104,0)),"코드 확인"))</f>
        <v/>
      </c>
      <c r="D293" s="15"/>
      <c r="E293" s="15"/>
      <c r="F293" s="16"/>
      <c r="G293" s="16"/>
      <c r="H293" s="21" t="str">
        <f aca="false">IF(OR($B293="",F293=0),"",G293/F293)</f>
        <v/>
      </c>
      <c r="I293" s="22" t="str">
        <f aca="false">IF($B293="","",MAX(F293-G293,0))</f>
        <v/>
      </c>
      <c r="J293" s="23" t="str">
        <f aca="false">IF($B293="","",IFERROR(INDEX(고객사!$G$5:$G$104,MATCH($B293,고객사!$A$5:$A$104,0)),""))</f>
        <v/>
      </c>
      <c r="K293" s="16"/>
      <c r="L293" s="22" t="str">
        <f aca="false">IF($B293="","",K293*IFERROR(INDEX(고객사!$L$5:$L$104,MATCH($B293,고객사!$A$5:$A$104,0)),0))</f>
        <v/>
      </c>
      <c r="M293" s="23" t="str">
        <f aca="false">IF($B293="","",IF(AND(J293="N",G293&gt;0,K293=0,IFERROR(INDEX(고객사!$H$5:$H$104,MATCH($B293,고객사!$A$5:$A$104,0)),"")="자사 차량 운행"),"차량 미배정",""))</f>
        <v/>
      </c>
      <c r="N293" s="22" t="str">
        <f aca="false">IF($B293="","",IFERROR(INDEX(고객사!$J$5:$J$104,MATCH($B293,고객사!$A$5:$A$104,0)),0))</f>
        <v/>
      </c>
      <c r="O293" s="22" t="str">
        <f aca="false">IF($B293="","",G293*N293)</f>
        <v/>
      </c>
      <c r="P293" s="22" t="str">
        <f aca="false">IF($B293="","",IFERROR(INDEX(고객사!$K$5:$K$104,MATCH($B293,고객사!$A$5:$A$104,0)),0))</f>
        <v/>
      </c>
      <c r="Q293" s="22" t="str">
        <f aca="false">IF($B293="","",G293*P293)</f>
        <v/>
      </c>
      <c r="R293" s="22" t="str">
        <f aca="false">IF($B293="","",O293-Q293-L293)</f>
        <v/>
      </c>
      <c r="S293" s="21" t="str">
        <f aca="false">IF(OR($B293="",N(O293)=0),"",R293/O293)</f>
        <v/>
      </c>
      <c r="T293" s="14"/>
      <c r="U293" s="19" t="n">
        <f aca="false">IF(OR($B293="",$A293=""),0,IF(COUNTIFS($A$5:$A293,$A293,$B$5:$B293,$B293)=1,1,0))</f>
        <v>0</v>
      </c>
    </row>
    <row r="294" customFormat="false" ht="15" hidden="false" customHeight="false" outlineLevel="0" collapsed="false">
      <c r="A294" s="17"/>
      <c r="B294" s="13"/>
      <c r="C294" s="20" t="str">
        <f aca="false">IF($B294="","",IFERROR(INDEX(고객사!$B$5:$B$104,MATCH($B294,고객사!$A$5:$A$104,0)),"코드 확인"))</f>
        <v/>
      </c>
      <c r="D294" s="15"/>
      <c r="E294" s="15"/>
      <c r="F294" s="16"/>
      <c r="G294" s="16"/>
      <c r="H294" s="21" t="str">
        <f aca="false">IF(OR($B294="",F294=0),"",G294/F294)</f>
        <v/>
      </c>
      <c r="I294" s="22" t="str">
        <f aca="false">IF($B294="","",MAX(F294-G294,0))</f>
        <v/>
      </c>
      <c r="J294" s="23" t="str">
        <f aca="false">IF($B294="","",IFERROR(INDEX(고객사!$G$5:$G$104,MATCH($B294,고객사!$A$5:$A$104,0)),""))</f>
        <v/>
      </c>
      <c r="K294" s="16"/>
      <c r="L294" s="22" t="str">
        <f aca="false">IF($B294="","",K294*IFERROR(INDEX(고객사!$L$5:$L$104,MATCH($B294,고객사!$A$5:$A$104,0)),0))</f>
        <v/>
      </c>
      <c r="M294" s="23" t="str">
        <f aca="false">IF($B294="","",IF(AND(J294="N",G294&gt;0,K294=0,IFERROR(INDEX(고객사!$H$5:$H$104,MATCH($B294,고객사!$A$5:$A$104,0)),"")="자사 차량 운행"),"차량 미배정",""))</f>
        <v/>
      </c>
      <c r="N294" s="22" t="str">
        <f aca="false">IF($B294="","",IFERROR(INDEX(고객사!$J$5:$J$104,MATCH($B294,고객사!$A$5:$A$104,0)),0))</f>
        <v/>
      </c>
      <c r="O294" s="22" t="str">
        <f aca="false">IF($B294="","",G294*N294)</f>
        <v/>
      </c>
      <c r="P294" s="22" t="str">
        <f aca="false">IF($B294="","",IFERROR(INDEX(고객사!$K$5:$K$104,MATCH($B294,고객사!$A$5:$A$104,0)),0))</f>
        <v/>
      </c>
      <c r="Q294" s="22" t="str">
        <f aca="false">IF($B294="","",G294*P294)</f>
        <v/>
      </c>
      <c r="R294" s="22" t="str">
        <f aca="false">IF($B294="","",O294-Q294-L294)</f>
        <v/>
      </c>
      <c r="S294" s="21" t="str">
        <f aca="false">IF(OR($B294="",N(O294)=0),"",R294/O294)</f>
        <v/>
      </c>
      <c r="T294" s="14"/>
      <c r="U294" s="19" t="n">
        <f aca="false">IF(OR($B294="",$A294=""),0,IF(COUNTIFS($A$5:$A294,$A294,$B$5:$B294,$B294)=1,1,0))</f>
        <v>0</v>
      </c>
    </row>
    <row r="295" customFormat="false" ht="15" hidden="false" customHeight="false" outlineLevel="0" collapsed="false">
      <c r="A295" s="17"/>
      <c r="B295" s="13"/>
      <c r="C295" s="20" t="str">
        <f aca="false">IF($B295="","",IFERROR(INDEX(고객사!$B$5:$B$104,MATCH($B295,고객사!$A$5:$A$104,0)),"코드 확인"))</f>
        <v/>
      </c>
      <c r="D295" s="15"/>
      <c r="E295" s="15"/>
      <c r="F295" s="16"/>
      <c r="G295" s="16"/>
      <c r="H295" s="21" t="str">
        <f aca="false">IF(OR($B295="",F295=0),"",G295/F295)</f>
        <v/>
      </c>
      <c r="I295" s="22" t="str">
        <f aca="false">IF($B295="","",MAX(F295-G295,0))</f>
        <v/>
      </c>
      <c r="J295" s="23" t="str">
        <f aca="false">IF($B295="","",IFERROR(INDEX(고객사!$G$5:$G$104,MATCH($B295,고객사!$A$5:$A$104,0)),""))</f>
        <v/>
      </c>
      <c r="K295" s="16"/>
      <c r="L295" s="22" t="str">
        <f aca="false">IF($B295="","",K295*IFERROR(INDEX(고객사!$L$5:$L$104,MATCH($B295,고객사!$A$5:$A$104,0)),0))</f>
        <v/>
      </c>
      <c r="M295" s="23" t="str">
        <f aca="false">IF($B295="","",IF(AND(J295="N",G295&gt;0,K295=0,IFERROR(INDEX(고객사!$H$5:$H$104,MATCH($B295,고객사!$A$5:$A$104,0)),"")="자사 차량 운행"),"차량 미배정",""))</f>
        <v/>
      </c>
      <c r="N295" s="22" t="str">
        <f aca="false">IF($B295="","",IFERROR(INDEX(고객사!$J$5:$J$104,MATCH($B295,고객사!$A$5:$A$104,0)),0))</f>
        <v/>
      </c>
      <c r="O295" s="22" t="str">
        <f aca="false">IF($B295="","",G295*N295)</f>
        <v/>
      </c>
      <c r="P295" s="22" t="str">
        <f aca="false">IF($B295="","",IFERROR(INDEX(고객사!$K$5:$K$104,MATCH($B295,고객사!$A$5:$A$104,0)),0))</f>
        <v/>
      </c>
      <c r="Q295" s="22" t="str">
        <f aca="false">IF($B295="","",G295*P295)</f>
        <v/>
      </c>
      <c r="R295" s="22" t="str">
        <f aca="false">IF($B295="","",O295-Q295-L295)</f>
        <v/>
      </c>
      <c r="S295" s="21" t="str">
        <f aca="false">IF(OR($B295="",N(O295)=0),"",R295/O295)</f>
        <v/>
      </c>
      <c r="T295" s="14"/>
      <c r="U295" s="19" t="n">
        <f aca="false">IF(OR($B295="",$A295=""),0,IF(COUNTIFS($A$5:$A295,$A295,$B$5:$B295,$B295)=1,1,0))</f>
        <v>0</v>
      </c>
    </row>
    <row r="296" customFormat="false" ht="15" hidden="false" customHeight="false" outlineLevel="0" collapsed="false">
      <c r="A296" s="17"/>
      <c r="B296" s="13"/>
      <c r="C296" s="20" t="str">
        <f aca="false">IF($B296="","",IFERROR(INDEX(고객사!$B$5:$B$104,MATCH($B296,고객사!$A$5:$A$104,0)),"코드 확인"))</f>
        <v/>
      </c>
      <c r="D296" s="15"/>
      <c r="E296" s="15"/>
      <c r="F296" s="16"/>
      <c r="G296" s="16"/>
      <c r="H296" s="21" t="str">
        <f aca="false">IF(OR($B296="",F296=0),"",G296/F296)</f>
        <v/>
      </c>
      <c r="I296" s="22" t="str">
        <f aca="false">IF($B296="","",MAX(F296-G296,0))</f>
        <v/>
      </c>
      <c r="J296" s="23" t="str">
        <f aca="false">IF($B296="","",IFERROR(INDEX(고객사!$G$5:$G$104,MATCH($B296,고객사!$A$5:$A$104,0)),""))</f>
        <v/>
      </c>
      <c r="K296" s="16"/>
      <c r="L296" s="22" t="str">
        <f aca="false">IF($B296="","",K296*IFERROR(INDEX(고객사!$L$5:$L$104,MATCH($B296,고객사!$A$5:$A$104,0)),0))</f>
        <v/>
      </c>
      <c r="M296" s="23" t="str">
        <f aca="false">IF($B296="","",IF(AND(J296="N",G296&gt;0,K296=0,IFERROR(INDEX(고객사!$H$5:$H$104,MATCH($B296,고객사!$A$5:$A$104,0)),"")="자사 차량 운행"),"차량 미배정",""))</f>
        <v/>
      </c>
      <c r="N296" s="22" t="str">
        <f aca="false">IF($B296="","",IFERROR(INDEX(고객사!$J$5:$J$104,MATCH($B296,고객사!$A$5:$A$104,0)),0))</f>
        <v/>
      </c>
      <c r="O296" s="22" t="str">
        <f aca="false">IF($B296="","",G296*N296)</f>
        <v/>
      </c>
      <c r="P296" s="22" t="str">
        <f aca="false">IF($B296="","",IFERROR(INDEX(고객사!$K$5:$K$104,MATCH($B296,고객사!$A$5:$A$104,0)),0))</f>
        <v/>
      </c>
      <c r="Q296" s="22" t="str">
        <f aca="false">IF($B296="","",G296*P296)</f>
        <v/>
      </c>
      <c r="R296" s="22" t="str">
        <f aca="false">IF($B296="","",O296-Q296-L296)</f>
        <v/>
      </c>
      <c r="S296" s="21" t="str">
        <f aca="false">IF(OR($B296="",N(O296)=0),"",R296/O296)</f>
        <v/>
      </c>
      <c r="T296" s="14"/>
      <c r="U296" s="19" t="n">
        <f aca="false">IF(OR($B296="",$A296=""),0,IF(COUNTIFS($A$5:$A296,$A296,$B$5:$B296,$B296)=1,1,0))</f>
        <v>0</v>
      </c>
    </row>
    <row r="297" customFormat="false" ht="15" hidden="false" customHeight="false" outlineLevel="0" collapsed="false">
      <c r="A297" s="17"/>
      <c r="B297" s="13"/>
      <c r="C297" s="20" t="str">
        <f aca="false">IF($B297="","",IFERROR(INDEX(고객사!$B$5:$B$104,MATCH($B297,고객사!$A$5:$A$104,0)),"코드 확인"))</f>
        <v/>
      </c>
      <c r="D297" s="15"/>
      <c r="E297" s="15"/>
      <c r="F297" s="16"/>
      <c r="G297" s="16"/>
      <c r="H297" s="21" t="str">
        <f aca="false">IF(OR($B297="",F297=0),"",G297/F297)</f>
        <v/>
      </c>
      <c r="I297" s="22" t="str">
        <f aca="false">IF($B297="","",MAX(F297-G297,0))</f>
        <v/>
      </c>
      <c r="J297" s="23" t="str">
        <f aca="false">IF($B297="","",IFERROR(INDEX(고객사!$G$5:$G$104,MATCH($B297,고객사!$A$5:$A$104,0)),""))</f>
        <v/>
      </c>
      <c r="K297" s="16"/>
      <c r="L297" s="22" t="str">
        <f aca="false">IF($B297="","",K297*IFERROR(INDEX(고객사!$L$5:$L$104,MATCH($B297,고객사!$A$5:$A$104,0)),0))</f>
        <v/>
      </c>
      <c r="M297" s="23" t="str">
        <f aca="false">IF($B297="","",IF(AND(J297="N",G297&gt;0,K297=0,IFERROR(INDEX(고객사!$H$5:$H$104,MATCH($B297,고객사!$A$5:$A$104,0)),"")="자사 차량 운행"),"차량 미배정",""))</f>
        <v/>
      </c>
      <c r="N297" s="22" t="str">
        <f aca="false">IF($B297="","",IFERROR(INDEX(고객사!$J$5:$J$104,MATCH($B297,고객사!$A$5:$A$104,0)),0))</f>
        <v/>
      </c>
      <c r="O297" s="22" t="str">
        <f aca="false">IF($B297="","",G297*N297)</f>
        <v/>
      </c>
      <c r="P297" s="22" t="str">
        <f aca="false">IF($B297="","",IFERROR(INDEX(고객사!$K$5:$K$104,MATCH($B297,고객사!$A$5:$A$104,0)),0))</f>
        <v/>
      </c>
      <c r="Q297" s="22" t="str">
        <f aca="false">IF($B297="","",G297*P297)</f>
        <v/>
      </c>
      <c r="R297" s="22" t="str">
        <f aca="false">IF($B297="","",O297-Q297-L297)</f>
        <v/>
      </c>
      <c r="S297" s="21" t="str">
        <f aca="false">IF(OR($B297="",N(O297)=0),"",R297/O297)</f>
        <v/>
      </c>
      <c r="T297" s="14"/>
      <c r="U297" s="19" t="n">
        <f aca="false">IF(OR($B297="",$A297=""),0,IF(COUNTIFS($A$5:$A297,$A297,$B$5:$B297,$B297)=1,1,0))</f>
        <v>0</v>
      </c>
    </row>
    <row r="298" customFormat="false" ht="15" hidden="false" customHeight="false" outlineLevel="0" collapsed="false">
      <c r="A298" s="17"/>
      <c r="B298" s="13"/>
      <c r="C298" s="20" t="str">
        <f aca="false">IF($B298="","",IFERROR(INDEX(고객사!$B$5:$B$104,MATCH($B298,고객사!$A$5:$A$104,0)),"코드 확인"))</f>
        <v/>
      </c>
      <c r="D298" s="15"/>
      <c r="E298" s="15"/>
      <c r="F298" s="16"/>
      <c r="G298" s="16"/>
      <c r="H298" s="21" t="str">
        <f aca="false">IF(OR($B298="",F298=0),"",G298/F298)</f>
        <v/>
      </c>
      <c r="I298" s="22" t="str">
        <f aca="false">IF($B298="","",MAX(F298-G298,0))</f>
        <v/>
      </c>
      <c r="J298" s="23" t="str">
        <f aca="false">IF($B298="","",IFERROR(INDEX(고객사!$G$5:$G$104,MATCH($B298,고객사!$A$5:$A$104,0)),""))</f>
        <v/>
      </c>
      <c r="K298" s="16"/>
      <c r="L298" s="22" t="str">
        <f aca="false">IF($B298="","",K298*IFERROR(INDEX(고객사!$L$5:$L$104,MATCH($B298,고객사!$A$5:$A$104,0)),0))</f>
        <v/>
      </c>
      <c r="M298" s="23" t="str">
        <f aca="false">IF($B298="","",IF(AND(J298="N",G298&gt;0,K298=0,IFERROR(INDEX(고객사!$H$5:$H$104,MATCH($B298,고객사!$A$5:$A$104,0)),"")="자사 차량 운행"),"차량 미배정",""))</f>
        <v/>
      </c>
      <c r="N298" s="22" t="str">
        <f aca="false">IF($B298="","",IFERROR(INDEX(고객사!$J$5:$J$104,MATCH($B298,고객사!$A$5:$A$104,0)),0))</f>
        <v/>
      </c>
      <c r="O298" s="22" t="str">
        <f aca="false">IF($B298="","",G298*N298)</f>
        <v/>
      </c>
      <c r="P298" s="22" t="str">
        <f aca="false">IF($B298="","",IFERROR(INDEX(고객사!$K$5:$K$104,MATCH($B298,고객사!$A$5:$A$104,0)),0))</f>
        <v/>
      </c>
      <c r="Q298" s="22" t="str">
        <f aca="false">IF($B298="","",G298*P298)</f>
        <v/>
      </c>
      <c r="R298" s="22" t="str">
        <f aca="false">IF($B298="","",O298-Q298-L298)</f>
        <v/>
      </c>
      <c r="S298" s="21" t="str">
        <f aca="false">IF(OR($B298="",N(O298)=0),"",R298/O298)</f>
        <v/>
      </c>
      <c r="T298" s="14"/>
      <c r="U298" s="19" t="n">
        <f aca="false">IF(OR($B298="",$A298=""),0,IF(COUNTIFS($A$5:$A298,$A298,$B$5:$B298,$B298)=1,1,0))</f>
        <v>0</v>
      </c>
    </row>
    <row r="299" customFormat="false" ht="15" hidden="false" customHeight="false" outlineLevel="0" collapsed="false">
      <c r="A299" s="17"/>
      <c r="B299" s="13"/>
      <c r="C299" s="20" t="str">
        <f aca="false">IF($B299="","",IFERROR(INDEX(고객사!$B$5:$B$104,MATCH($B299,고객사!$A$5:$A$104,0)),"코드 확인"))</f>
        <v/>
      </c>
      <c r="D299" s="15"/>
      <c r="E299" s="15"/>
      <c r="F299" s="16"/>
      <c r="G299" s="16"/>
      <c r="H299" s="21" t="str">
        <f aca="false">IF(OR($B299="",F299=0),"",G299/F299)</f>
        <v/>
      </c>
      <c r="I299" s="22" t="str">
        <f aca="false">IF($B299="","",MAX(F299-G299,0))</f>
        <v/>
      </c>
      <c r="J299" s="23" t="str">
        <f aca="false">IF($B299="","",IFERROR(INDEX(고객사!$G$5:$G$104,MATCH($B299,고객사!$A$5:$A$104,0)),""))</f>
        <v/>
      </c>
      <c r="K299" s="16"/>
      <c r="L299" s="22" t="str">
        <f aca="false">IF($B299="","",K299*IFERROR(INDEX(고객사!$L$5:$L$104,MATCH($B299,고객사!$A$5:$A$104,0)),0))</f>
        <v/>
      </c>
      <c r="M299" s="23" t="str">
        <f aca="false">IF($B299="","",IF(AND(J299="N",G299&gt;0,K299=0,IFERROR(INDEX(고객사!$H$5:$H$104,MATCH($B299,고객사!$A$5:$A$104,0)),"")="자사 차량 운행"),"차량 미배정",""))</f>
        <v/>
      </c>
      <c r="N299" s="22" t="str">
        <f aca="false">IF($B299="","",IFERROR(INDEX(고객사!$J$5:$J$104,MATCH($B299,고객사!$A$5:$A$104,0)),0))</f>
        <v/>
      </c>
      <c r="O299" s="22" t="str">
        <f aca="false">IF($B299="","",G299*N299)</f>
        <v/>
      </c>
      <c r="P299" s="22" t="str">
        <f aca="false">IF($B299="","",IFERROR(INDEX(고객사!$K$5:$K$104,MATCH($B299,고객사!$A$5:$A$104,0)),0))</f>
        <v/>
      </c>
      <c r="Q299" s="22" t="str">
        <f aca="false">IF($B299="","",G299*P299)</f>
        <v/>
      </c>
      <c r="R299" s="22" t="str">
        <f aca="false">IF($B299="","",O299-Q299-L299)</f>
        <v/>
      </c>
      <c r="S299" s="21" t="str">
        <f aca="false">IF(OR($B299="",N(O299)=0),"",R299/O299)</f>
        <v/>
      </c>
      <c r="T299" s="14"/>
      <c r="U299" s="19" t="n">
        <f aca="false">IF(OR($B299="",$A299=""),0,IF(COUNTIFS($A$5:$A299,$A299,$B$5:$B299,$B299)=1,1,0))</f>
        <v>0</v>
      </c>
    </row>
    <row r="300" customFormat="false" ht="15" hidden="false" customHeight="false" outlineLevel="0" collapsed="false">
      <c r="A300" s="17"/>
      <c r="B300" s="13"/>
      <c r="C300" s="20" t="str">
        <f aca="false">IF($B300="","",IFERROR(INDEX(고객사!$B$5:$B$104,MATCH($B300,고객사!$A$5:$A$104,0)),"코드 확인"))</f>
        <v/>
      </c>
      <c r="D300" s="15"/>
      <c r="E300" s="15"/>
      <c r="F300" s="16"/>
      <c r="G300" s="16"/>
      <c r="H300" s="21" t="str">
        <f aca="false">IF(OR($B300="",F300=0),"",G300/F300)</f>
        <v/>
      </c>
      <c r="I300" s="22" t="str">
        <f aca="false">IF($B300="","",MAX(F300-G300,0))</f>
        <v/>
      </c>
      <c r="J300" s="23" t="str">
        <f aca="false">IF($B300="","",IFERROR(INDEX(고객사!$G$5:$G$104,MATCH($B300,고객사!$A$5:$A$104,0)),""))</f>
        <v/>
      </c>
      <c r="K300" s="16"/>
      <c r="L300" s="22" t="str">
        <f aca="false">IF($B300="","",K300*IFERROR(INDEX(고객사!$L$5:$L$104,MATCH($B300,고객사!$A$5:$A$104,0)),0))</f>
        <v/>
      </c>
      <c r="M300" s="23" t="str">
        <f aca="false">IF($B300="","",IF(AND(J300="N",G300&gt;0,K300=0,IFERROR(INDEX(고객사!$H$5:$H$104,MATCH($B300,고객사!$A$5:$A$104,0)),"")="자사 차량 운행"),"차량 미배정",""))</f>
        <v/>
      </c>
      <c r="N300" s="22" t="str">
        <f aca="false">IF($B300="","",IFERROR(INDEX(고객사!$J$5:$J$104,MATCH($B300,고객사!$A$5:$A$104,0)),0))</f>
        <v/>
      </c>
      <c r="O300" s="22" t="str">
        <f aca="false">IF($B300="","",G300*N300)</f>
        <v/>
      </c>
      <c r="P300" s="22" t="str">
        <f aca="false">IF($B300="","",IFERROR(INDEX(고객사!$K$5:$K$104,MATCH($B300,고객사!$A$5:$A$104,0)),0))</f>
        <v/>
      </c>
      <c r="Q300" s="22" t="str">
        <f aca="false">IF($B300="","",G300*P300)</f>
        <v/>
      </c>
      <c r="R300" s="22" t="str">
        <f aca="false">IF($B300="","",O300-Q300-L300)</f>
        <v/>
      </c>
      <c r="S300" s="21" t="str">
        <f aca="false">IF(OR($B300="",N(O300)=0),"",R300/O300)</f>
        <v/>
      </c>
      <c r="T300" s="14"/>
      <c r="U300" s="19" t="n">
        <f aca="false">IF(OR($B300="",$A300=""),0,IF(COUNTIFS($A$5:$A300,$A300,$B$5:$B300,$B300)=1,1,0))</f>
        <v>0</v>
      </c>
    </row>
    <row r="301" customFormat="false" ht="15" hidden="false" customHeight="false" outlineLevel="0" collapsed="false">
      <c r="A301" s="17"/>
      <c r="B301" s="13"/>
      <c r="C301" s="20" t="str">
        <f aca="false">IF($B301="","",IFERROR(INDEX(고객사!$B$5:$B$104,MATCH($B301,고객사!$A$5:$A$104,0)),"코드 확인"))</f>
        <v/>
      </c>
      <c r="D301" s="15"/>
      <c r="E301" s="15"/>
      <c r="F301" s="16"/>
      <c r="G301" s="16"/>
      <c r="H301" s="21" t="str">
        <f aca="false">IF(OR($B301="",F301=0),"",G301/F301)</f>
        <v/>
      </c>
      <c r="I301" s="22" t="str">
        <f aca="false">IF($B301="","",MAX(F301-G301,0))</f>
        <v/>
      </c>
      <c r="J301" s="23" t="str">
        <f aca="false">IF($B301="","",IFERROR(INDEX(고객사!$G$5:$G$104,MATCH($B301,고객사!$A$5:$A$104,0)),""))</f>
        <v/>
      </c>
      <c r="K301" s="16"/>
      <c r="L301" s="22" t="str">
        <f aca="false">IF($B301="","",K301*IFERROR(INDEX(고객사!$L$5:$L$104,MATCH($B301,고객사!$A$5:$A$104,0)),0))</f>
        <v/>
      </c>
      <c r="M301" s="23" t="str">
        <f aca="false">IF($B301="","",IF(AND(J301="N",G301&gt;0,K301=0,IFERROR(INDEX(고객사!$H$5:$H$104,MATCH($B301,고객사!$A$5:$A$104,0)),"")="자사 차량 운행"),"차량 미배정",""))</f>
        <v/>
      </c>
      <c r="N301" s="22" t="str">
        <f aca="false">IF($B301="","",IFERROR(INDEX(고객사!$J$5:$J$104,MATCH($B301,고객사!$A$5:$A$104,0)),0))</f>
        <v/>
      </c>
      <c r="O301" s="22" t="str">
        <f aca="false">IF($B301="","",G301*N301)</f>
        <v/>
      </c>
      <c r="P301" s="22" t="str">
        <f aca="false">IF($B301="","",IFERROR(INDEX(고객사!$K$5:$K$104,MATCH($B301,고객사!$A$5:$A$104,0)),0))</f>
        <v/>
      </c>
      <c r="Q301" s="22" t="str">
        <f aca="false">IF($B301="","",G301*P301)</f>
        <v/>
      </c>
      <c r="R301" s="22" t="str">
        <f aca="false">IF($B301="","",O301-Q301-L301)</f>
        <v/>
      </c>
      <c r="S301" s="21" t="str">
        <f aca="false">IF(OR($B301="",N(O301)=0),"",R301/O301)</f>
        <v/>
      </c>
      <c r="T301" s="14"/>
      <c r="U301" s="19" t="n">
        <f aca="false">IF(OR($B301="",$A301=""),0,IF(COUNTIFS($A$5:$A301,$A301,$B$5:$B301,$B301)=1,1,0))</f>
        <v>0</v>
      </c>
    </row>
    <row r="302" customFormat="false" ht="15" hidden="false" customHeight="false" outlineLevel="0" collapsed="false">
      <c r="A302" s="17"/>
      <c r="B302" s="13"/>
      <c r="C302" s="20" t="str">
        <f aca="false">IF($B302="","",IFERROR(INDEX(고객사!$B$5:$B$104,MATCH($B302,고객사!$A$5:$A$104,0)),"코드 확인"))</f>
        <v/>
      </c>
      <c r="D302" s="15"/>
      <c r="E302" s="15"/>
      <c r="F302" s="16"/>
      <c r="G302" s="16"/>
      <c r="H302" s="21" t="str">
        <f aca="false">IF(OR($B302="",F302=0),"",G302/F302)</f>
        <v/>
      </c>
      <c r="I302" s="22" t="str">
        <f aca="false">IF($B302="","",MAX(F302-G302,0))</f>
        <v/>
      </c>
      <c r="J302" s="23" t="str">
        <f aca="false">IF($B302="","",IFERROR(INDEX(고객사!$G$5:$G$104,MATCH($B302,고객사!$A$5:$A$104,0)),""))</f>
        <v/>
      </c>
      <c r="K302" s="16"/>
      <c r="L302" s="22" t="str">
        <f aca="false">IF($B302="","",K302*IFERROR(INDEX(고객사!$L$5:$L$104,MATCH($B302,고객사!$A$5:$A$104,0)),0))</f>
        <v/>
      </c>
      <c r="M302" s="23" t="str">
        <f aca="false">IF($B302="","",IF(AND(J302="N",G302&gt;0,K302=0,IFERROR(INDEX(고객사!$H$5:$H$104,MATCH($B302,고객사!$A$5:$A$104,0)),"")="자사 차량 운행"),"차량 미배정",""))</f>
        <v/>
      </c>
      <c r="N302" s="22" t="str">
        <f aca="false">IF($B302="","",IFERROR(INDEX(고객사!$J$5:$J$104,MATCH($B302,고객사!$A$5:$A$104,0)),0))</f>
        <v/>
      </c>
      <c r="O302" s="22" t="str">
        <f aca="false">IF($B302="","",G302*N302)</f>
        <v/>
      </c>
      <c r="P302" s="22" t="str">
        <f aca="false">IF($B302="","",IFERROR(INDEX(고객사!$K$5:$K$104,MATCH($B302,고객사!$A$5:$A$104,0)),0))</f>
        <v/>
      </c>
      <c r="Q302" s="22" t="str">
        <f aca="false">IF($B302="","",G302*P302)</f>
        <v/>
      </c>
      <c r="R302" s="22" t="str">
        <f aca="false">IF($B302="","",O302-Q302-L302)</f>
        <v/>
      </c>
      <c r="S302" s="21" t="str">
        <f aca="false">IF(OR($B302="",N(O302)=0),"",R302/O302)</f>
        <v/>
      </c>
      <c r="T302" s="14"/>
      <c r="U302" s="19" t="n">
        <f aca="false">IF(OR($B302="",$A302=""),0,IF(COUNTIFS($A$5:$A302,$A302,$B$5:$B302,$B302)=1,1,0))</f>
        <v>0</v>
      </c>
    </row>
    <row r="303" customFormat="false" ht="15" hidden="false" customHeight="false" outlineLevel="0" collapsed="false">
      <c r="A303" s="17"/>
      <c r="B303" s="13"/>
      <c r="C303" s="20" t="str">
        <f aca="false">IF($B303="","",IFERROR(INDEX(고객사!$B$5:$B$104,MATCH($B303,고객사!$A$5:$A$104,0)),"코드 확인"))</f>
        <v/>
      </c>
      <c r="D303" s="15"/>
      <c r="E303" s="15"/>
      <c r="F303" s="16"/>
      <c r="G303" s="16"/>
      <c r="H303" s="21" t="str">
        <f aca="false">IF(OR($B303="",F303=0),"",G303/F303)</f>
        <v/>
      </c>
      <c r="I303" s="22" t="str">
        <f aca="false">IF($B303="","",MAX(F303-G303,0))</f>
        <v/>
      </c>
      <c r="J303" s="23" t="str">
        <f aca="false">IF($B303="","",IFERROR(INDEX(고객사!$G$5:$G$104,MATCH($B303,고객사!$A$5:$A$104,0)),""))</f>
        <v/>
      </c>
      <c r="K303" s="16"/>
      <c r="L303" s="22" t="str">
        <f aca="false">IF($B303="","",K303*IFERROR(INDEX(고객사!$L$5:$L$104,MATCH($B303,고객사!$A$5:$A$104,0)),0))</f>
        <v/>
      </c>
      <c r="M303" s="23" t="str">
        <f aca="false">IF($B303="","",IF(AND(J303="N",G303&gt;0,K303=0,IFERROR(INDEX(고객사!$H$5:$H$104,MATCH($B303,고객사!$A$5:$A$104,0)),"")="자사 차량 운행"),"차량 미배정",""))</f>
        <v/>
      </c>
      <c r="N303" s="22" t="str">
        <f aca="false">IF($B303="","",IFERROR(INDEX(고객사!$J$5:$J$104,MATCH($B303,고객사!$A$5:$A$104,0)),0))</f>
        <v/>
      </c>
      <c r="O303" s="22" t="str">
        <f aca="false">IF($B303="","",G303*N303)</f>
        <v/>
      </c>
      <c r="P303" s="22" t="str">
        <f aca="false">IF($B303="","",IFERROR(INDEX(고객사!$K$5:$K$104,MATCH($B303,고객사!$A$5:$A$104,0)),0))</f>
        <v/>
      </c>
      <c r="Q303" s="22" t="str">
        <f aca="false">IF($B303="","",G303*P303)</f>
        <v/>
      </c>
      <c r="R303" s="22" t="str">
        <f aca="false">IF($B303="","",O303-Q303-L303)</f>
        <v/>
      </c>
      <c r="S303" s="21" t="str">
        <f aca="false">IF(OR($B303="",N(O303)=0),"",R303/O303)</f>
        <v/>
      </c>
      <c r="T303" s="14"/>
      <c r="U303" s="19" t="n">
        <f aca="false">IF(OR($B303="",$A303=""),0,IF(COUNTIFS($A$5:$A303,$A303,$B$5:$B303,$B303)=1,1,0))</f>
        <v>0</v>
      </c>
    </row>
    <row r="304" customFormat="false" ht="15" hidden="false" customHeight="false" outlineLevel="0" collapsed="false">
      <c r="A304" s="17"/>
      <c r="B304" s="13"/>
      <c r="C304" s="20" t="str">
        <f aca="false">IF($B304="","",IFERROR(INDEX(고객사!$B$5:$B$104,MATCH($B304,고객사!$A$5:$A$104,0)),"코드 확인"))</f>
        <v/>
      </c>
      <c r="D304" s="15"/>
      <c r="E304" s="15"/>
      <c r="F304" s="16"/>
      <c r="G304" s="16"/>
      <c r="H304" s="21" t="str">
        <f aca="false">IF(OR($B304="",F304=0),"",G304/F304)</f>
        <v/>
      </c>
      <c r="I304" s="22" t="str">
        <f aca="false">IF($B304="","",MAX(F304-G304,0))</f>
        <v/>
      </c>
      <c r="J304" s="23" t="str">
        <f aca="false">IF($B304="","",IFERROR(INDEX(고객사!$G$5:$G$104,MATCH($B304,고객사!$A$5:$A$104,0)),""))</f>
        <v/>
      </c>
      <c r="K304" s="16"/>
      <c r="L304" s="22" t="str">
        <f aca="false">IF($B304="","",K304*IFERROR(INDEX(고객사!$L$5:$L$104,MATCH($B304,고객사!$A$5:$A$104,0)),0))</f>
        <v/>
      </c>
      <c r="M304" s="23" t="str">
        <f aca="false">IF($B304="","",IF(AND(J304="N",G304&gt;0,K304=0,IFERROR(INDEX(고객사!$H$5:$H$104,MATCH($B304,고객사!$A$5:$A$104,0)),"")="자사 차량 운행"),"차량 미배정",""))</f>
        <v/>
      </c>
      <c r="N304" s="22" t="str">
        <f aca="false">IF($B304="","",IFERROR(INDEX(고객사!$J$5:$J$104,MATCH($B304,고객사!$A$5:$A$104,0)),0))</f>
        <v/>
      </c>
      <c r="O304" s="22" t="str">
        <f aca="false">IF($B304="","",G304*N304)</f>
        <v/>
      </c>
      <c r="P304" s="22" t="str">
        <f aca="false">IF($B304="","",IFERROR(INDEX(고객사!$K$5:$K$104,MATCH($B304,고객사!$A$5:$A$104,0)),0))</f>
        <v/>
      </c>
      <c r="Q304" s="22" t="str">
        <f aca="false">IF($B304="","",G304*P304)</f>
        <v/>
      </c>
      <c r="R304" s="22" t="str">
        <f aca="false">IF($B304="","",O304-Q304-L304)</f>
        <v/>
      </c>
      <c r="S304" s="21" t="str">
        <f aca="false">IF(OR($B304="",N(O304)=0),"",R304/O304)</f>
        <v/>
      </c>
      <c r="T304" s="14"/>
      <c r="U304" s="19" t="n">
        <f aca="false">IF(OR($B304="",$A304=""),0,IF(COUNTIFS($A$5:$A304,$A304,$B$5:$B304,$B304)=1,1,0))</f>
        <v>0</v>
      </c>
    </row>
    <row r="305" customFormat="false" ht="15" hidden="false" customHeight="false" outlineLevel="0" collapsed="false">
      <c r="A305" s="17"/>
      <c r="B305" s="13"/>
      <c r="C305" s="20" t="str">
        <f aca="false">IF($B305="","",IFERROR(INDEX(고객사!$B$5:$B$104,MATCH($B305,고객사!$A$5:$A$104,0)),"코드 확인"))</f>
        <v/>
      </c>
      <c r="D305" s="15"/>
      <c r="E305" s="15"/>
      <c r="F305" s="16"/>
      <c r="G305" s="16"/>
      <c r="H305" s="21" t="str">
        <f aca="false">IF(OR($B305="",F305=0),"",G305/F305)</f>
        <v/>
      </c>
      <c r="I305" s="22" t="str">
        <f aca="false">IF($B305="","",MAX(F305-G305,0))</f>
        <v/>
      </c>
      <c r="J305" s="23" t="str">
        <f aca="false">IF($B305="","",IFERROR(INDEX(고객사!$G$5:$G$104,MATCH($B305,고객사!$A$5:$A$104,0)),""))</f>
        <v/>
      </c>
      <c r="K305" s="16"/>
      <c r="L305" s="22" t="str">
        <f aca="false">IF($B305="","",K305*IFERROR(INDEX(고객사!$L$5:$L$104,MATCH($B305,고객사!$A$5:$A$104,0)),0))</f>
        <v/>
      </c>
      <c r="M305" s="23" t="str">
        <f aca="false">IF($B305="","",IF(AND(J305="N",G305&gt;0,K305=0,IFERROR(INDEX(고객사!$H$5:$H$104,MATCH($B305,고객사!$A$5:$A$104,0)),"")="자사 차량 운행"),"차량 미배정",""))</f>
        <v/>
      </c>
      <c r="N305" s="22" t="str">
        <f aca="false">IF($B305="","",IFERROR(INDEX(고객사!$J$5:$J$104,MATCH($B305,고객사!$A$5:$A$104,0)),0))</f>
        <v/>
      </c>
      <c r="O305" s="22" t="str">
        <f aca="false">IF($B305="","",G305*N305)</f>
        <v/>
      </c>
      <c r="P305" s="22" t="str">
        <f aca="false">IF($B305="","",IFERROR(INDEX(고객사!$K$5:$K$104,MATCH($B305,고객사!$A$5:$A$104,0)),0))</f>
        <v/>
      </c>
      <c r="Q305" s="22" t="str">
        <f aca="false">IF($B305="","",G305*P305)</f>
        <v/>
      </c>
      <c r="R305" s="22" t="str">
        <f aca="false">IF($B305="","",O305-Q305-L305)</f>
        <v/>
      </c>
      <c r="S305" s="21" t="str">
        <f aca="false">IF(OR($B305="",N(O305)=0),"",R305/O305)</f>
        <v/>
      </c>
      <c r="T305" s="14"/>
      <c r="U305" s="19" t="n">
        <f aca="false">IF(OR($B305="",$A305=""),0,IF(COUNTIFS($A$5:$A305,$A305,$B$5:$B305,$B305)=1,1,0))</f>
        <v>0</v>
      </c>
    </row>
    <row r="306" customFormat="false" ht="15" hidden="false" customHeight="false" outlineLevel="0" collapsed="false">
      <c r="A306" s="17"/>
      <c r="B306" s="13"/>
      <c r="C306" s="20" t="str">
        <f aca="false">IF($B306="","",IFERROR(INDEX(고객사!$B$5:$B$104,MATCH($B306,고객사!$A$5:$A$104,0)),"코드 확인"))</f>
        <v/>
      </c>
      <c r="D306" s="15"/>
      <c r="E306" s="15"/>
      <c r="F306" s="16"/>
      <c r="G306" s="16"/>
      <c r="H306" s="21" t="str">
        <f aca="false">IF(OR($B306="",F306=0),"",G306/F306)</f>
        <v/>
      </c>
      <c r="I306" s="22" t="str">
        <f aca="false">IF($B306="","",MAX(F306-G306,0))</f>
        <v/>
      </c>
      <c r="J306" s="23" t="str">
        <f aca="false">IF($B306="","",IFERROR(INDEX(고객사!$G$5:$G$104,MATCH($B306,고객사!$A$5:$A$104,0)),""))</f>
        <v/>
      </c>
      <c r="K306" s="16"/>
      <c r="L306" s="22" t="str">
        <f aca="false">IF($B306="","",K306*IFERROR(INDEX(고객사!$L$5:$L$104,MATCH($B306,고객사!$A$5:$A$104,0)),0))</f>
        <v/>
      </c>
      <c r="M306" s="23" t="str">
        <f aca="false">IF($B306="","",IF(AND(J306="N",G306&gt;0,K306=0,IFERROR(INDEX(고객사!$H$5:$H$104,MATCH($B306,고객사!$A$5:$A$104,0)),"")="자사 차량 운행"),"차량 미배정",""))</f>
        <v/>
      </c>
      <c r="N306" s="22" t="str">
        <f aca="false">IF($B306="","",IFERROR(INDEX(고객사!$J$5:$J$104,MATCH($B306,고객사!$A$5:$A$104,0)),0))</f>
        <v/>
      </c>
      <c r="O306" s="22" t="str">
        <f aca="false">IF($B306="","",G306*N306)</f>
        <v/>
      </c>
      <c r="P306" s="22" t="str">
        <f aca="false">IF($B306="","",IFERROR(INDEX(고객사!$K$5:$K$104,MATCH($B306,고객사!$A$5:$A$104,0)),0))</f>
        <v/>
      </c>
      <c r="Q306" s="22" t="str">
        <f aca="false">IF($B306="","",G306*P306)</f>
        <v/>
      </c>
      <c r="R306" s="22" t="str">
        <f aca="false">IF($B306="","",O306-Q306-L306)</f>
        <v/>
      </c>
      <c r="S306" s="21" t="str">
        <f aca="false">IF(OR($B306="",N(O306)=0),"",R306/O306)</f>
        <v/>
      </c>
      <c r="T306" s="14"/>
      <c r="U306" s="19" t="n">
        <f aca="false">IF(OR($B306="",$A306=""),0,IF(COUNTIFS($A$5:$A306,$A306,$B$5:$B306,$B306)=1,1,0))</f>
        <v>0</v>
      </c>
    </row>
    <row r="307" customFormat="false" ht="15" hidden="false" customHeight="false" outlineLevel="0" collapsed="false">
      <c r="A307" s="17"/>
      <c r="B307" s="13"/>
      <c r="C307" s="20" t="str">
        <f aca="false">IF($B307="","",IFERROR(INDEX(고객사!$B$5:$B$104,MATCH($B307,고객사!$A$5:$A$104,0)),"코드 확인"))</f>
        <v/>
      </c>
      <c r="D307" s="15"/>
      <c r="E307" s="15"/>
      <c r="F307" s="16"/>
      <c r="G307" s="16"/>
      <c r="H307" s="21" t="str">
        <f aca="false">IF(OR($B307="",F307=0),"",G307/F307)</f>
        <v/>
      </c>
      <c r="I307" s="22" t="str">
        <f aca="false">IF($B307="","",MAX(F307-G307,0))</f>
        <v/>
      </c>
      <c r="J307" s="23" t="str">
        <f aca="false">IF($B307="","",IFERROR(INDEX(고객사!$G$5:$G$104,MATCH($B307,고객사!$A$5:$A$104,0)),""))</f>
        <v/>
      </c>
      <c r="K307" s="16"/>
      <c r="L307" s="22" t="str">
        <f aca="false">IF($B307="","",K307*IFERROR(INDEX(고객사!$L$5:$L$104,MATCH($B307,고객사!$A$5:$A$104,0)),0))</f>
        <v/>
      </c>
      <c r="M307" s="23" t="str">
        <f aca="false">IF($B307="","",IF(AND(J307="N",G307&gt;0,K307=0,IFERROR(INDEX(고객사!$H$5:$H$104,MATCH($B307,고객사!$A$5:$A$104,0)),"")="자사 차량 운행"),"차량 미배정",""))</f>
        <v/>
      </c>
      <c r="N307" s="22" t="str">
        <f aca="false">IF($B307="","",IFERROR(INDEX(고객사!$J$5:$J$104,MATCH($B307,고객사!$A$5:$A$104,0)),0))</f>
        <v/>
      </c>
      <c r="O307" s="22" t="str">
        <f aca="false">IF($B307="","",G307*N307)</f>
        <v/>
      </c>
      <c r="P307" s="22" t="str">
        <f aca="false">IF($B307="","",IFERROR(INDEX(고객사!$K$5:$K$104,MATCH($B307,고객사!$A$5:$A$104,0)),0))</f>
        <v/>
      </c>
      <c r="Q307" s="22" t="str">
        <f aca="false">IF($B307="","",G307*P307)</f>
        <v/>
      </c>
      <c r="R307" s="22" t="str">
        <f aca="false">IF($B307="","",O307-Q307-L307)</f>
        <v/>
      </c>
      <c r="S307" s="21" t="str">
        <f aca="false">IF(OR($B307="",N(O307)=0),"",R307/O307)</f>
        <v/>
      </c>
      <c r="T307" s="14"/>
      <c r="U307" s="19" t="n">
        <f aca="false">IF(OR($B307="",$A307=""),0,IF(COUNTIFS($A$5:$A307,$A307,$B$5:$B307,$B307)=1,1,0))</f>
        <v>0</v>
      </c>
    </row>
    <row r="308" customFormat="false" ht="15" hidden="false" customHeight="false" outlineLevel="0" collapsed="false">
      <c r="A308" s="17"/>
      <c r="B308" s="13"/>
      <c r="C308" s="20" t="str">
        <f aca="false">IF($B308="","",IFERROR(INDEX(고객사!$B$5:$B$104,MATCH($B308,고객사!$A$5:$A$104,0)),"코드 확인"))</f>
        <v/>
      </c>
      <c r="D308" s="15"/>
      <c r="E308" s="15"/>
      <c r="F308" s="16"/>
      <c r="G308" s="16"/>
      <c r="H308" s="21" t="str">
        <f aca="false">IF(OR($B308="",F308=0),"",G308/F308)</f>
        <v/>
      </c>
      <c r="I308" s="22" t="str">
        <f aca="false">IF($B308="","",MAX(F308-G308,0))</f>
        <v/>
      </c>
      <c r="J308" s="23" t="str">
        <f aca="false">IF($B308="","",IFERROR(INDEX(고객사!$G$5:$G$104,MATCH($B308,고객사!$A$5:$A$104,0)),""))</f>
        <v/>
      </c>
      <c r="K308" s="16"/>
      <c r="L308" s="22" t="str">
        <f aca="false">IF($B308="","",K308*IFERROR(INDEX(고객사!$L$5:$L$104,MATCH($B308,고객사!$A$5:$A$104,0)),0))</f>
        <v/>
      </c>
      <c r="M308" s="23" t="str">
        <f aca="false">IF($B308="","",IF(AND(J308="N",G308&gt;0,K308=0,IFERROR(INDEX(고객사!$H$5:$H$104,MATCH($B308,고객사!$A$5:$A$104,0)),"")="자사 차량 운행"),"차량 미배정",""))</f>
        <v/>
      </c>
      <c r="N308" s="22" t="str">
        <f aca="false">IF($B308="","",IFERROR(INDEX(고객사!$J$5:$J$104,MATCH($B308,고객사!$A$5:$A$104,0)),0))</f>
        <v/>
      </c>
      <c r="O308" s="22" t="str">
        <f aca="false">IF($B308="","",G308*N308)</f>
        <v/>
      </c>
      <c r="P308" s="22" t="str">
        <f aca="false">IF($B308="","",IFERROR(INDEX(고객사!$K$5:$K$104,MATCH($B308,고객사!$A$5:$A$104,0)),0))</f>
        <v/>
      </c>
      <c r="Q308" s="22" t="str">
        <f aca="false">IF($B308="","",G308*P308)</f>
        <v/>
      </c>
      <c r="R308" s="22" t="str">
        <f aca="false">IF($B308="","",O308-Q308-L308)</f>
        <v/>
      </c>
      <c r="S308" s="21" t="str">
        <f aca="false">IF(OR($B308="",N(O308)=0),"",R308/O308)</f>
        <v/>
      </c>
      <c r="T308" s="14"/>
      <c r="U308" s="19" t="n">
        <f aca="false">IF(OR($B308="",$A308=""),0,IF(COUNTIFS($A$5:$A308,$A308,$B$5:$B308,$B308)=1,1,0))</f>
        <v>0</v>
      </c>
    </row>
    <row r="309" customFormat="false" ht="15" hidden="false" customHeight="false" outlineLevel="0" collapsed="false">
      <c r="A309" s="17"/>
      <c r="B309" s="13"/>
      <c r="C309" s="20" t="str">
        <f aca="false">IF($B309="","",IFERROR(INDEX(고객사!$B$5:$B$104,MATCH($B309,고객사!$A$5:$A$104,0)),"코드 확인"))</f>
        <v/>
      </c>
      <c r="D309" s="15"/>
      <c r="E309" s="15"/>
      <c r="F309" s="16"/>
      <c r="G309" s="16"/>
      <c r="H309" s="21" t="str">
        <f aca="false">IF(OR($B309="",F309=0),"",G309/F309)</f>
        <v/>
      </c>
      <c r="I309" s="22" t="str">
        <f aca="false">IF($B309="","",MAX(F309-G309,0))</f>
        <v/>
      </c>
      <c r="J309" s="23" t="str">
        <f aca="false">IF($B309="","",IFERROR(INDEX(고객사!$G$5:$G$104,MATCH($B309,고객사!$A$5:$A$104,0)),""))</f>
        <v/>
      </c>
      <c r="K309" s="16"/>
      <c r="L309" s="22" t="str">
        <f aca="false">IF($B309="","",K309*IFERROR(INDEX(고객사!$L$5:$L$104,MATCH($B309,고객사!$A$5:$A$104,0)),0))</f>
        <v/>
      </c>
      <c r="M309" s="23" t="str">
        <f aca="false">IF($B309="","",IF(AND(J309="N",G309&gt;0,K309=0,IFERROR(INDEX(고객사!$H$5:$H$104,MATCH($B309,고객사!$A$5:$A$104,0)),"")="자사 차량 운행"),"차량 미배정",""))</f>
        <v/>
      </c>
      <c r="N309" s="22" t="str">
        <f aca="false">IF($B309="","",IFERROR(INDEX(고객사!$J$5:$J$104,MATCH($B309,고객사!$A$5:$A$104,0)),0))</f>
        <v/>
      </c>
      <c r="O309" s="22" t="str">
        <f aca="false">IF($B309="","",G309*N309)</f>
        <v/>
      </c>
      <c r="P309" s="22" t="str">
        <f aca="false">IF($B309="","",IFERROR(INDEX(고객사!$K$5:$K$104,MATCH($B309,고객사!$A$5:$A$104,0)),0))</f>
        <v/>
      </c>
      <c r="Q309" s="22" t="str">
        <f aca="false">IF($B309="","",G309*P309)</f>
        <v/>
      </c>
      <c r="R309" s="22" t="str">
        <f aca="false">IF($B309="","",O309-Q309-L309)</f>
        <v/>
      </c>
      <c r="S309" s="21" t="str">
        <f aca="false">IF(OR($B309="",N(O309)=0),"",R309/O309)</f>
        <v/>
      </c>
      <c r="T309" s="14"/>
      <c r="U309" s="19" t="n">
        <f aca="false">IF(OR($B309="",$A309=""),0,IF(COUNTIFS($A$5:$A309,$A309,$B$5:$B309,$B309)=1,1,0))</f>
        <v>0</v>
      </c>
    </row>
    <row r="310" customFormat="false" ht="15" hidden="false" customHeight="false" outlineLevel="0" collapsed="false">
      <c r="A310" s="17"/>
      <c r="B310" s="13"/>
      <c r="C310" s="20" t="str">
        <f aca="false">IF($B310="","",IFERROR(INDEX(고객사!$B$5:$B$104,MATCH($B310,고객사!$A$5:$A$104,0)),"코드 확인"))</f>
        <v/>
      </c>
      <c r="D310" s="15"/>
      <c r="E310" s="15"/>
      <c r="F310" s="16"/>
      <c r="G310" s="16"/>
      <c r="H310" s="21" t="str">
        <f aca="false">IF(OR($B310="",F310=0),"",G310/F310)</f>
        <v/>
      </c>
      <c r="I310" s="22" t="str">
        <f aca="false">IF($B310="","",MAX(F310-G310,0))</f>
        <v/>
      </c>
      <c r="J310" s="23" t="str">
        <f aca="false">IF($B310="","",IFERROR(INDEX(고객사!$G$5:$G$104,MATCH($B310,고객사!$A$5:$A$104,0)),""))</f>
        <v/>
      </c>
      <c r="K310" s="16"/>
      <c r="L310" s="22" t="str">
        <f aca="false">IF($B310="","",K310*IFERROR(INDEX(고객사!$L$5:$L$104,MATCH($B310,고객사!$A$5:$A$104,0)),0))</f>
        <v/>
      </c>
      <c r="M310" s="23" t="str">
        <f aca="false">IF($B310="","",IF(AND(J310="N",G310&gt;0,K310=0,IFERROR(INDEX(고객사!$H$5:$H$104,MATCH($B310,고객사!$A$5:$A$104,0)),"")="자사 차량 운행"),"차량 미배정",""))</f>
        <v/>
      </c>
      <c r="N310" s="22" t="str">
        <f aca="false">IF($B310="","",IFERROR(INDEX(고객사!$J$5:$J$104,MATCH($B310,고객사!$A$5:$A$104,0)),0))</f>
        <v/>
      </c>
      <c r="O310" s="22" t="str">
        <f aca="false">IF($B310="","",G310*N310)</f>
        <v/>
      </c>
      <c r="P310" s="22" t="str">
        <f aca="false">IF($B310="","",IFERROR(INDEX(고객사!$K$5:$K$104,MATCH($B310,고객사!$A$5:$A$104,0)),0))</f>
        <v/>
      </c>
      <c r="Q310" s="22" t="str">
        <f aca="false">IF($B310="","",G310*P310)</f>
        <v/>
      </c>
      <c r="R310" s="22" t="str">
        <f aca="false">IF($B310="","",O310-Q310-L310)</f>
        <v/>
      </c>
      <c r="S310" s="21" t="str">
        <f aca="false">IF(OR($B310="",N(O310)=0),"",R310/O310)</f>
        <v/>
      </c>
      <c r="T310" s="14"/>
      <c r="U310" s="19" t="n">
        <f aca="false">IF(OR($B310="",$A310=""),0,IF(COUNTIFS($A$5:$A310,$A310,$B$5:$B310,$B310)=1,1,0))</f>
        <v>0</v>
      </c>
    </row>
    <row r="311" customFormat="false" ht="15" hidden="false" customHeight="false" outlineLevel="0" collapsed="false">
      <c r="A311" s="17"/>
      <c r="B311" s="13"/>
      <c r="C311" s="20" t="str">
        <f aca="false">IF($B311="","",IFERROR(INDEX(고객사!$B$5:$B$104,MATCH($B311,고객사!$A$5:$A$104,0)),"코드 확인"))</f>
        <v/>
      </c>
      <c r="D311" s="15"/>
      <c r="E311" s="15"/>
      <c r="F311" s="16"/>
      <c r="G311" s="16"/>
      <c r="H311" s="21" t="str">
        <f aca="false">IF(OR($B311="",F311=0),"",G311/F311)</f>
        <v/>
      </c>
      <c r="I311" s="22" t="str">
        <f aca="false">IF($B311="","",MAX(F311-G311,0))</f>
        <v/>
      </c>
      <c r="J311" s="23" t="str">
        <f aca="false">IF($B311="","",IFERROR(INDEX(고객사!$G$5:$G$104,MATCH($B311,고객사!$A$5:$A$104,0)),""))</f>
        <v/>
      </c>
      <c r="K311" s="16"/>
      <c r="L311" s="22" t="str">
        <f aca="false">IF($B311="","",K311*IFERROR(INDEX(고객사!$L$5:$L$104,MATCH($B311,고객사!$A$5:$A$104,0)),0))</f>
        <v/>
      </c>
      <c r="M311" s="23" t="str">
        <f aca="false">IF($B311="","",IF(AND(J311="N",G311&gt;0,K311=0,IFERROR(INDEX(고객사!$H$5:$H$104,MATCH($B311,고객사!$A$5:$A$104,0)),"")="자사 차량 운행"),"차량 미배정",""))</f>
        <v/>
      </c>
      <c r="N311" s="22" t="str">
        <f aca="false">IF($B311="","",IFERROR(INDEX(고객사!$J$5:$J$104,MATCH($B311,고객사!$A$5:$A$104,0)),0))</f>
        <v/>
      </c>
      <c r="O311" s="22" t="str">
        <f aca="false">IF($B311="","",G311*N311)</f>
        <v/>
      </c>
      <c r="P311" s="22" t="str">
        <f aca="false">IF($B311="","",IFERROR(INDEX(고객사!$K$5:$K$104,MATCH($B311,고객사!$A$5:$A$104,0)),0))</f>
        <v/>
      </c>
      <c r="Q311" s="22" t="str">
        <f aca="false">IF($B311="","",G311*P311)</f>
        <v/>
      </c>
      <c r="R311" s="22" t="str">
        <f aca="false">IF($B311="","",O311-Q311-L311)</f>
        <v/>
      </c>
      <c r="S311" s="21" t="str">
        <f aca="false">IF(OR($B311="",N(O311)=0),"",R311/O311)</f>
        <v/>
      </c>
      <c r="T311" s="14"/>
      <c r="U311" s="19" t="n">
        <f aca="false">IF(OR($B311="",$A311=""),0,IF(COUNTIFS($A$5:$A311,$A311,$B$5:$B311,$B311)=1,1,0))</f>
        <v>0</v>
      </c>
    </row>
    <row r="312" customFormat="false" ht="15" hidden="false" customHeight="false" outlineLevel="0" collapsed="false">
      <c r="A312" s="17"/>
      <c r="B312" s="13"/>
      <c r="C312" s="20" t="str">
        <f aca="false">IF($B312="","",IFERROR(INDEX(고객사!$B$5:$B$104,MATCH($B312,고객사!$A$5:$A$104,0)),"코드 확인"))</f>
        <v/>
      </c>
      <c r="D312" s="15"/>
      <c r="E312" s="15"/>
      <c r="F312" s="16"/>
      <c r="G312" s="16"/>
      <c r="H312" s="21" t="str">
        <f aca="false">IF(OR($B312="",F312=0),"",G312/F312)</f>
        <v/>
      </c>
      <c r="I312" s="22" t="str">
        <f aca="false">IF($B312="","",MAX(F312-G312,0))</f>
        <v/>
      </c>
      <c r="J312" s="23" t="str">
        <f aca="false">IF($B312="","",IFERROR(INDEX(고객사!$G$5:$G$104,MATCH($B312,고객사!$A$5:$A$104,0)),""))</f>
        <v/>
      </c>
      <c r="K312" s="16"/>
      <c r="L312" s="22" t="str">
        <f aca="false">IF($B312="","",K312*IFERROR(INDEX(고객사!$L$5:$L$104,MATCH($B312,고객사!$A$5:$A$104,0)),0))</f>
        <v/>
      </c>
      <c r="M312" s="23" t="str">
        <f aca="false">IF($B312="","",IF(AND(J312="N",G312&gt;0,K312=0,IFERROR(INDEX(고객사!$H$5:$H$104,MATCH($B312,고객사!$A$5:$A$104,0)),"")="자사 차량 운행"),"차량 미배정",""))</f>
        <v/>
      </c>
      <c r="N312" s="22" t="str">
        <f aca="false">IF($B312="","",IFERROR(INDEX(고객사!$J$5:$J$104,MATCH($B312,고객사!$A$5:$A$104,0)),0))</f>
        <v/>
      </c>
      <c r="O312" s="22" t="str">
        <f aca="false">IF($B312="","",G312*N312)</f>
        <v/>
      </c>
      <c r="P312" s="22" t="str">
        <f aca="false">IF($B312="","",IFERROR(INDEX(고객사!$K$5:$K$104,MATCH($B312,고객사!$A$5:$A$104,0)),0))</f>
        <v/>
      </c>
      <c r="Q312" s="22" t="str">
        <f aca="false">IF($B312="","",G312*P312)</f>
        <v/>
      </c>
      <c r="R312" s="22" t="str">
        <f aca="false">IF($B312="","",O312-Q312-L312)</f>
        <v/>
      </c>
      <c r="S312" s="21" t="str">
        <f aca="false">IF(OR($B312="",N(O312)=0),"",R312/O312)</f>
        <v/>
      </c>
      <c r="T312" s="14"/>
      <c r="U312" s="19" t="n">
        <f aca="false">IF(OR($B312="",$A312=""),0,IF(COUNTIFS($A$5:$A312,$A312,$B$5:$B312,$B312)=1,1,0))</f>
        <v>0</v>
      </c>
    </row>
    <row r="313" customFormat="false" ht="15" hidden="false" customHeight="false" outlineLevel="0" collapsed="false">
      <c r="A313" s="17"/>
      <c r="B313" s="13"/>
      <c r="C313" s="20" t="str">
        <f aca="false">IF($B313="","",IFERROR(INDEX(고객사!$B$5:$B$104,MATCH($B313,고객사!$A$5:$A$104,0)),"코드 확인"))</f>
        <v/>
      </c>
      <c r="D313" s="15"/>
      <c r="E313" s="15"/>
      <c r="F313" s="16"/>
      <c r="G313" s="16"/>
      <c r="H313" s="21" t="str">
        <f aca="false">IF(OR($B313="",F313=0),"",G313/F313)</f>
        <v/>
      </c>
      <c r="I313" s="22" t="str">
        <f aca="false">IF($B313="","",MAX(F313-G313,0))</f>
        <v/>
      </c>
      <c r="J313" s="23" t="str">
        <f aca="false">IF($B313="","",IFERROR(INDEX(고객사!$G$5:$G$104,MATCH($B313,고객사!$A$5:$A$104,0)),""))</f>
        <v/>
      </c>
      <c r="K313" s="16"/>
      <c r="L313" s="22" t="str">
        <f aca="false">IF($B313="","",K313*IFERROR(INDEX(고객사!$L$5:$L$104,MATCH($B313,고객사!$A$5:$A$104,0)),0))</f>
        <v/>
      </c>
      <c r="M313" s="23" t="str">
        <f aca="false">IF($B313="","",IF(AND(J313="N",G313&gt;0,K313=0,IFERROR(INDEX(고객사!$H$5:$H$104,MATCH($B313,고객사!$A$5:$A$104,0)),"")="자사 차량 운행"),"차량 미배정",""))</f>
        <v/>
      </c>
      <c r="N313" s="22" t="str">
        <f aca="false">IF($B313="","",IFERROR(INDEX(고객사!$J$5:$J$104,MATCH($B313,고객사!$A$5:$A$104,0)),0))</f>
        <v/>
      </c>
      <c r="O313" s="22" t="str">
        <f aca="false">IF($B313="","",G313*N313)</f>
        <v/>
      </c>
      <c r="P313" s="22" t="str">
        <f aca="false">IF($B313="","",IFERROR(INDEX(고객사!$K$5:$K$104,MATCH($B313,고객사!$A$5:$A$104,0)),0))</f>
        <v/>
      </c>
      <c r="Q313" s="22" t="str">
        <f aca="false">IF($B313="","",G313*P313)</f>
        <v/>
      </c>
      <c r="R313" s="22" t="str">
        <f aca="false">IF($B313="","",O313-Q313-L313)</f>
        <v/>
      </c>
      <c r="S313" s="21" t="str">
        <f aca="false">IF(OR($B313="",N(O313)=0),"",R313/O313)</f>
        <v/>
      </c>
      <c r="T313" s="14"/>
      <c r="U313" s="19" t="n">
        <f aca="false">IF(OR($B313="",$A313=""),0,IF(COUNTIFS($A$5:$A313,$A313,$B$5:$B313,$B313)=1,1,0))</f>
        <v>0</v>
      </c>
    </row>
    <row r="314" customFormat="false" ht="15" hidden="false" customHeight="false" outlineLevel="0" collapsed="false">
      <c r="A314" s="17"/>
      <c r="B314" s="13"/>
      <c r="C314" s="20" t="str">
        <f aca="false">IF($B314="","",IFERROR(INDEX(고객사!$B$5:$B$104,MATCH($B314,고객사!$A$5:$A$104,0)),"코드 확인"))</f>
        <v/>
      </c>
      <c r="D314" s="15"/>
      <c r="E314" s="15"/>
      <c r="F314" s="16"/>
      <c r="G314" s="16"/>
      <c r="H314" s="21" t="str">
        <f aca="false">IF(OR($B314="",F314=0),"",G314/F314)</f>
        <v/>
      </c>
      <c r="I314" s="22" t="str">
        <f aca="false">IF($B314="","",MAX(F314-G314,0))</f>
        <v/>
      </c>
      <c r="J314" s="23" t="str">
        <f aca="false">IF($B314="","",IFERROR(INDEX(고객사!$G$5:$G$104,MATCH($B314,고객사!$A$5:$A$104,0)),""))</f>
        <v/>
      </c>
      <c r="K314" s="16"/>
      <c r="L314" s="22" t="str">
        <f aca="false">IF($B314="","",K314*IFERROR(INDEX(고객사!$L$5:$L$104,MATCH($B314,고객사!$A$5:$A$104,0)),0))</f>
        <v/>
      </c>
      <c r="M314" s="23" t="str">
        <f aca="false">IF($B314="","",IF(AND(J314="N",G314&gt;0,K314=0,IFERROR(INDEX(고객사!$H$5:$H$104,MATCH($B314,고객사!$A$5:$A$104,0)),"")="자사 차량 운행"),"차량 미배정",""))</f>
        <v/>
      </c>
      <c r="N314" s="22" t="str">
        <f aca="false">IF($B314="","",IFERROR(INDEX(고객사!$J$5:$J$104,MATCH($B314,고객사!$A$5:$A$104,0)),0))</f>
        <v/>
      </c>
      <c r="O314" s="22" t="str">
        <f aca="false">IF($B314="","",G314*N314)</f>
        <v/>
      </c>
      <c r="P314" s="22" t="str">
        <f aca="false">IF($B314="","",IFERROR(INDEX(고객사!$K$5:$K$104,MATCH($B314,고객사!$A$5:$A$104,0)),0))</f>
        <v/>
      </c>
      <c r="Q314" s="22" t="str">
        <f aca="false">IF($B314="","",G314*P314)</f>
        <v/>
      </c>
      <c r="R314" s="22" t="str">
        <f aca="false">IF($B314="","",O314-Q314-L314)</f>
        <v/>
      </c>
      <c r="S314" s="21" t="str">
        <f aca="false">IF(OR($B314="",N(O314)=0),"",R314/O314)</f>
        <v/>
      </c>
      <c r="T314" s="14"/>
      <c r="U314" s="19" t="n">
        <f aca="false">IF(OR($B314="",$A314=""),0,IF(COUNTIFS($A$5:$A314,$A314,$B$5:$B314,$B314)=1,1,0))</f>
        <v>0</v>
      </c>
    </row>
    <row r="315" customFormat="false" ht="15" hidden="false" customHeight="false" outlineLevel="0" collapsed="false">
      <c r="A315" s="17"/>
      <c r="B315" s="13"/>
      <c r="C315" s="20" t="str">
        <f aca="false">IF($B315="","",IFERROR(INDEX(고객사!$B$5:$B$104,MATCH($B315,고객사!$A$5:$A$104,0)),"코드 확인"))</f>
        <v/>
      </c>
      <c r="D315" s="15"/>
      <c r="E315" s="15"/>
      <c r="F315" s="16"/>
      <c r="G315" s="16"/>
      <c r="H315" s="21" t="str">
        <f aca="false">IF(OR($B315="",F315=0),"",G315/F315)</f>
        <v/>
      </c>
      <c r="I315" s="22" t="str">
        <f aca="false">IF($B315="","",MAX(F315-G315,0))</f>
        <v/>
      </c>
      <c r="J315" s="23" t="str">
        <f aca="false">IF($B315="","",IFERROR(INDEX(고객사!$G$5:$G$104,MATCH($B315,고객사!$A$5:$A$104,0)),""))</f>
        <v/>
      </c>
      <c r="K315" s="16"/>
      <c r="L315" s="22" t="str">
        <f aca="false">IF($B315="","",K315*IFERROR(INDEX(고객사!$L$5:$L$104,MATCH($B315,고객사!$A$5:$A$104,0)),0))</f>
        <v/>
      </c>
      <c r="M315" s="23" t="str">
        <f aca="false">IF($B315="","",IF(AND(J315="N",G315&gt;0,K315=0,IFERROR(INDEX(고객사!$H$5:$H$104,MATCH($B315,고객사!$A$5:$A$104,0)),"")="자사 차량 운행"),"차량 미배정",""))</f>
        <v/>
      </c>
      <c r="N315" s="22" t="str">
        <f aca="false">IF($B315="","",IFERROR(INDEX(고객사!$J$5:$J$104,MATCH($B315,고객사!$A$5:$A$104,0)),0))</f>
        <v/>
      </c>
      <c r="O315" s="22" t="str">
        <f aca="false">IF($B315="","",G315*N315)</f>
        <v/>
      </c>
      <c r="P315" s="22" t="str">
        <f aca="false">IF($B315="","",IFERROR(INDEX(고객사!$K$5:$K$104,MATCH($B315,고객사!$A$5:$A$104,0)),0))</f>
        <v/>
      </c>
      <c r="Q315" s="22" t="str">
        <f aca="false">IF($B315="","",G315*P315)</f>
        <v/>
      </c>
      <c r="R315" s="22" t="str">
        <f aca="false">IF($B315="","",O315-Q315-L315)</f>
        <v/>
      </c>
      <c r="S315" s="21" t="str">
        <f aca="false">IF(OR($B315="",N(O315)=0),"",R315/O315)</f>
        <v/>
      </c>
      <c r="T315" s="14"/>
      <c r="U315" s="19" t="n">
        <f aca="false">IF(OR($B315="",$A315=""),0,IF(COUNTIFS($A$5:$A315,$A315,$B$5:$B315,$B315)=1,1,0))</f>
        <v>0</v>
      </c>
    </row>
    <row r="316" customFormat="false" ht="15" hidden="false" customHeight="false" outlineLevel="0" collapsed="false">
      <c r="A316" s="17"/>
      <c r="B316" s="13"/>
      <c r="C316" s="20" t="str">
        <f aca="false">IF($B316="","",IFERROR(INDEX(고객사!$B$5:$B$104,MATCH($B316,고객사!$A$5:$A$104,0)),"코드 확인"))</f>
        <v/>
      </c>
      <c r="D316" s="15"/>
      <c r="E316" s="15"/>
      <c r="F316" s="16"/>
      <c r="G316" s="16"/>
      <c r="H316" s="21" t="str">
        <f aca="false">IF(OR($B316="",F316=0),"",G316/F316)</f>
        <v/>
      </c>
      <c r="I316" s="22" t="str">
        <f aca="false">IF($B316="","",MAX(F316-G316,0))</f>
        <v/>
      </c>
      <c r="J316" s="23" t="str">
        <f aca="false">IF($B316="","",IFERROR(INDEX(고객사!$G$5:$G$104,MATCH($B316,고객사!$A$5:$A$104,0)),""))</f>
        <v/>
      </c>
      <c r="K316" s="16"/>
      <c r="L316" s="22" t="str">
        <f aca="false">IF($B316="","",K316*IFERROR(INDEX(고객사!$L$5:$L$104,MATCH($B316,고객사!$A$5:$A$104,0)),0))</f>
        <v/>
      </c>
      <c r="M316" s="23" t="str">
        <f aca="false">IF($B316="","",IF(AND(J316="N",G316&gt;0,K316=0,IFERROR(INDEX(고객사!$H$5:$H$104,MATCH($B316,고객사!$A$5:$A$104,0)),"")="자사 차량 운행"),"차량 미배정",""))</f>
        <v/>
      </c>
      <c r="N316" s="22" t="str">
        <f aca="false">IF($B316="","",IFERROR(INDEX(고객사!$J$5:$J$104,MATCH($B316,고객사!$A$5:$A$104,0)),0))</f>
        <v/>
      </c>
      <c r="O316" s="22" t="str">
        <f aca="false">IF($B316="","",G316*N316)</f>
        <v/>
      </c>
      <c r="P316" s="22" t="str">
        <f aca="false">IF($B316="","",IFERROR(INDEX(고객사!$K$5:$K$104,MATCH($B316,고객사!$A$5:$A$104,0)),0))</f>
        <v/>
      </c>
      <c r="Q316" s="22" t="str">
        <f aca="false">IF($B316="","",G316*P316)</f>
        <v/>
      </c>
      <c r="R316" s="22" t="str">
        <f aca="false">IF($B316="","",O316-Q316-L316)</f>
        <v/>
      </c>
      <c r="S316" s="21" t="str">
        <f aca="false">IF(OR($B316="",N(O316)=0),"",R316/O316)</f>
        <v/>
      </c>
      <c r="T316" s="14"/>
      <c r="U316" s="19" t="n">
        <f aca="false">IF(OR($B316="",$A316=""),0,IF(COUNTIFS($A$5:$A316,$A316,$B$5:$B316,$B316)=1,1,0))</f>
        <v>0</v>
      </c>
    </row>
    <row r="317" customFormat="false" ht="15" hidden="false" customHeight="false" outlineLevel="0" collapsed="false">
      <c r="A317" s="17"/>
      <c r="B317" s="13"/>
      <c r="C317" s="20" t="str">
        <f aca="false">IF($B317="","",IFERROR(INDEX(고객사!$B$5:$B$104,MATCH($B317,고객사!$A$5:$A$104,0)),"코드 확인"))</f>
        <v/>
      </c>
      <c r="D317" s="15"/>
      <c r="E317" s="15"/>
      <c r="F317" s="16"/>
      <c r="G317" s="16"/>
      <c r="H317" s="21" t="str">
        <f aca="false">IF(OR($B317="",F317=0),"",G317/F317)</f>
        <v/>
      </c>
      <c r="I317" s="22" t="str">
        <f aca="false">IF($B317="","",MAX(F317-G317,0))</f>
        <v/>
      </c>
      <c r="J317" s="23" t="str">
        <f aca="false">IF($B317="","",IFERROR(INDEX(고객사!$G$5:$G$104,MATCH($B317,고객사!$A$5:$A$104,0)),""))</f>
        <v/>
      </c>
      <c r="K317" s="16"/>
      <c r="L317" s="22" t="str">
        <f aca="false">IF($B317="","",K317*IFERROR(INDEX(고객사!$L$5:$L$104,MATCH($B317,고객사!$A$5:$A$104,0)),0))</f>
        <v/>
      </c>
      <c r="M317" s="23" t="str">
        <f aca="false">IF($B317="","",IF(AND(J317="N",G317&gt;0,K317=0,IFERROR(INDEX(고객사!$H$5:$H$104,MATCH($B317,고객사!$A$5:$A$104,0)),"")="자사 차량 운행"),"차량 미배정",""))</f>
        <v/>
      </c>
      <c r="N317" s="22" t="str">
        <f aca="false">IF($B317="","",IFERROR(INDEX(고객사!$J$5:$J$104,MATCH($B317,고객사!$A$5:$A$104,0)),0))</f>
        <v/>
      </c>
      <c r="O317" s="22" t="str">
        <f aca="false">IF($B317="","",G317*N317)</f>
        <v/>
      </c>
      <c r="P317" s="22" t="str">
        <f aca="false">IF($B317="","",IFERROR(INDEX(고객사!$K$5:$K$104,MATCH($B317,고객사!$A$5:$A$104,0)),0))</f>
        <v/>
      </c>
      <c r="Q317" s="22" t="str">
        <f aca="false">IF($B317="","",G317*P317)</f>
        <v/>
      </c>
      <c r="R317" s="22" t="str">
        <f aca="false">IF($B317="","",O317-Q317-L317)</f>
        <v/>
      </c>
      <c r="S317" s="21" t="str">
        <f aca="false">IF(OR($B317="",N(O317)=0),"",R317/O317)</f>
        <v/>
      </c>
      <c r="T317" s="14"/>
      <c r="U317" s="19" t="n">
        <f aca="false">IF(OR($B317="",$A317=""),0,IF(COUNTIFS($A$5:$A317,$A317,$B$5:$B317,$B317)=1,1,0))</f>
        <v>0</v>
      </c>
    </row>
    <row r="318" customFormat="false" ht="15" hidden="false" customHeight="false" outlineLevel="0" collapsed="false">
      <c r="A318" s="17"/>
      <c r="B318" s="13"/>
      <c r="C318" s="20" t="str">
        <f aca="false">IF($B318="","",IFERROR(INDEX(고객사!$B$5:$B$104,MATCH($B318,고객사!$A$5:$A$104,0)),"코드 확인"))</f>
        <v/>
      </c>
      <c r="D318" s="15"/>
      <c r="E318" s="15"/>
      <c r="F318" s="16"/>
      <c r="G318" s="16"/>
      <c r="H318" s="21" t="str">
        <f aca="false">IF(OR($B318="",F318=0),"",G318/F318)</f>
        <v/>
      </c>
      <c r="I318" s="22" t="str">
        <f aca="false">IF($B318="","",MAX(F318-G318,0))</f>
        <v/>
      </c>
      <c r="J318" s="23" t="str">
        <f aca="false">IF($B318="","",IFERROR(INDEX(고객사!$G$5:$G$104,MATCH($B318,고객사!$A$5:$A$104,0)),""))</f>
        <v/>
      </c>
      <c r="K318" s="16"/>
      <c r="L318" s="22" t="str">
        <f aca="false">IF($B318="","",K318*IFERROR(INDEX(고객사!$L$5:$L$104,MATCH($B318,고객사!$A$5:$A$104,0)),0))</f>
        <v/>
      </c>
      <c r="M318" s="23" t="str">
        <f aca="false">IF($B318="","",IF(AND(J318="N",G318&gt;0,K318=0,IFERROR(INDEX(고객사!$H$5:$H$104,MATCH($B318,고객사!$A$5:$A$104,0)),"")="자사 차량 운행"),"차량 미배정",""))</f>
        <v/>
      </c>
      <c r="N318" s="22" t="str">
        <f aca="false">IF($B318="","",IFERROR(INDEX(고객사!$J$5:$J$104,MATCH($B318,고객사!$A$5:$A$104,0)),0))</f>
        <v/>
      </c>
      <c r="O318" s="22" t="str">
        <f aca="false">IF($B318="","",G318*N318)</f>
        <v/>
      </c>
      <c r="P318" s="22" t="str">
        <f aca="false">IF($B318="","",IFERROR(INDEX(고객사!$K$5:$K$104,MATCH($B318,고객사!$A$5:$A$104,0)),0))</f>
        <v/>
      </c>
      <c r="Q318" s="22" t="str">
        <f aca="false">IF($B318="","",G318*P318)</f>
        <v/>
      </c>
      <c r="R318" s="22" t="str">
        <f aca="false">IF($B318="","",O318-Q318-L318)</f>
        <v/>
      </c>
      <c r="S318" s="21" t="str">
        <f aca="false">IF(OR($B318="",N(O318)=0),"",R318/O318)</f>
        <v/>
      </c>
      <c r="T318" s="14"/>
      <c r="U318" s="19" t="n">
        <f aca="false">IF(OR($B318="",$A318=""),0,IF(COUNTIFS($A$5:$A318,$A318,$B$5:$B318,$B318)=1,1,0))</f>
        <v>0</v>
      </c>
    </row>
    <row r="319" customFormat="false" ht="15" hidden="false" customHeight="false" outlineLevel="0" collapsed="false">
      <c r="A319" s="17"/>
      <c r="B319" s="13"/>
      <c r="C319" s="20" t="str">
        <f aca="false">IF($B319="","",IFERROR(INDEX(고객사!$B$5:$B$104,MATCH($B319,고객사!$A$5:$A$104,0)),"코드 확인"))</f>
        <v/>
      </c>
      <c r="D319" s="15"/>
      <c r="E319" s="15"/>
      <c r="F319" s="16"/>
      <c r="G319" s="16"/>
      <c r="H319" s="21" t="str">
        <f aca="false">IF(OR($B319="",F319=0),"",G319/F319)</f>
        <v/>
      </c>
      <c r="I319" s="22" t="str">
        <f aca="false">IF($B319="","",MAX(F319-G319,0))</f>
        <v/>
      </c>
      <c r="J319" s="23" t="str">
        <f aca="false">IF($B319="","",IFERROR(INDEX(고객사!$G$5:$G$104,MATCH($B319,고객사!$A$5:$A$104,0)),""))</f>
        <v/>
      </c>
      <c r="K319" s="16"/>
      <c r="L319" s="22" t="str">
        <f aca="false">IF($B319="","",K319*IFERROR(INDEX(고객사!$L$5:$L$104,MATCH($B319,고객사!$A$5:$A$104,0)),0))</f>
        <v/>
      </c>
      <c r="M319" s="23" t="str">
        <f aca="false">IF($B319="","",IF(AND(J319="N",G319&gt;0,K319=0,IFERROR(INDEX(고객사!$H$5:$H$104,MATCH($B319,고객사!$A$5:$A$104,0)),"")="자사 차량 운행"),"차량 미배정",""))</f>
        <v/>
      </c>
      <c r="N319" s="22" t="str">
        <f aca="false">IF($B319="","",IFERROR(INDEX(고객사!$J$5:$J$104,MATCH($B319,고객사!$A$5:$A$104,0)),0))</f>
        <v/>
      </c>
      <c r="O319" s="22" t="str">
        <f aca="false">IF($B319="","",G319*N319)</f>
        <v/>
      </c>
      <c r="P319" s="22" t="str">
        <f aca="false">IF($B319="","",IFERROR(INDEX(고객사!$K$5:$K$104,MATCH($B319,고객사!$A$5:$A$104,0)),0))</f>
        <v/>
      </c>
      <c r="Q319" s="22" t="str">
        <f aca="false">IF($B319="","",G319*P319)</f>
        <v/>
      </c>
      <c r="R319" s="22" t="str">
        <f aca="false">IF($B319="","",O319-Q319-L319)</f>
        <v/>
      </c>
      <c r="S319" s="21" t="str">
        <f aca="false">IF(OR($B319="",N(O319)=0),"",R319/O319)</f>
        <v/>
      </c>
      <c r="T319" s="14"/>
      <c r="U319" s="19" t="n">
        <f aca="false">IF(OR($B319="",$A319=""),0,IF(COUNTIFS($A$5:$A319,$A319,$B$5:$B319,$B319)=1,1,0))</f>
        <v>0</v>
      </c>
    </row>
    <row r="320" customFormat="false" ht="15" hidden="false" customHeight="false" outlineLevel="0" collapsed="false">
      <c r="A320" s="17"/>
      <c r="B320" s="13"/>
      <c r="C320" s="20" t="str">
        <f aca="false">IF($B320="","",IFERROR(INDEX(고객사!$B$5:$B$104,MATCH($B320,고객사!$A$5:$A$104,0)),"코드 확인"))</f>
        <v/>
      </c>
      <c r="D320" s="15"/>
      <c r="E320" s="15"/>
      <c r="F320" s="16"/>
      <c r="G320" s="16"/>
      <c r="H320" s="21" t="str">
        <f aca="false">IF(OR($B320="",F320=0),"",G320/F320)</f>
        <v/>
      </c>
      <c r="I320" s="22" t="str">
        <f aca="false">IF($B320="","",MAX(F320-G320,0))</f>
        <v/>
      </c>
      <c r="J320" s="23" t="str">
        <f aca="false">IF($B320="","",IFERROR(INDEX(고객사!$G$5:$G$104,MATCH($B320,고객사!$A$5:$A$104,0)),""))</f>
        <v/>
      </c>
      <c r="K320" s="16"/>
      <c r="L320" s="22" t="str">
        <f aca="false">IF($B320="","",K320*IFERROR(INDEX(고객사!$L$5:$L$104,MATCH($B320,고객사!$A$5:$A$104,0)),0))</f>
        <v/>
      </c>
      <c r="M320" s="23" t="str">
        <f aca="false">IF($B320="","",IF(AND(J320="N",G320&gt;0,K320=0,IFERROR(INDEX(고객사!$H$5:$H$104,MATCH($B320,고객사!$A$5:$A$104,0)),"")="자사 차량 운행"),"차량 미배정",""))</f>
        <v/>
      </c>
      <c r="N320" s="22" t="str">
        <f aca="false">IF($B320="","",IFERROR(INDEX(고객사!$J$5:$J$104,MATCH($B320,고객사!$A$5:$A$104,0)),0))</f>
        <v/>
      </c>
      <c r="O320" s="22" t="str">
        <f aca="false">IF($B320="","",G320*N320)</f>
        <v/>
      </c>
      <c r="P320" s="22" t="str">
        <f aca="false">IF($B320="","",IFERROR(INDEX(고객사!$K$5:$K$104,MATCH($B320,고객사!$A$5:$A$104,0)),0))</f>
        <v/>
      </c>
      <c r="Q320" s="22" t="str">
        <f aca="false">IF($B320="","",G320*P320)</f>
        <v/>
      </c>
      <c r="R320" s="22" t="str">
        <f aca="false">IF($B320="","",O320-Q320-L320)</f>
        <v/>
      </c>
      <c r="S320" s="21" t="str">
        <f aca="false">IF(OR($B320="",N(O320)=0),"",R320/O320)</f>
        <v/>
      </c>
      <c r="T320" s="14"/>
      <c r="U320" s="19" t="n">
        <f aca="false">IF(OR($B320="",$A320=""),0,IF(COUNTIFS($A$5:$A320,$A320,$B$5:$B320,$B320)=1,1,0))</f>
        <v>0</v>
      </c>
    </row>
    <row r="321" customFormat="false" ht="15" hidden="false" customHeight="false" outlineLevel="0" collapsed="false">
      <c r="A321" s="17"/>
      <c r="B321" s="13"/>
      <c r="C321" s="20" t="str">
        <f aca="false">IF($B321="","",IFERROR(INDEX(고객사!$B$5:$B$104,MATCH($B321,고객사!$A$5:$A$104,0)),"코드 확인"))</f>
        <v/>
      </c>
      <c r="D321" s="15"/>
      <c r="E321" s="15"/>
      <c r="F321" s="16"/>
      <c r="G321" s="16"/>
      <c r="H321" s="21" t="str">
        <f aca="false">IF(OR($B321="",F321=0),"",G321/F321)</f>
        <v/>
      </c>
      <c r="I321" s="22" t="str">
        <f aca="false">IF($B321="","",MAX(F321-G321,0))</f>
        <v/>
      </c>
      <c r="J321" s="23" t="str">
        <f aca="false">IF($B321="","",IFERROR(INDEX(고객사!$G$5:$G$104,MATCH($B321,고객사!$A$5:$A$104,0)),""))</f>
        <v/>
      </c>
      <c r="K321" s="16"/>
      <c r="L321" s="22" t="str">
        <f aca="false">IF($B321="","",K321*IFERROR(INDEX(고객사!$L$5:$L$104,MATCH($B321,고객사!$A$5:$A$104,0)),0))</f>
        <v/>
      </c>
      <c r="M321" s="23" t="str">
        <f aca="false">IF($B321="","",IF(AND(J321="N",G321&gt;0,K321=0,IFERROR(INDEX(고객사!$H$5:$H$104,MATCH($B321,고객사!$A$5:$A$104,0)),"")="자사 차량 운행"),"차량 미배정",""))</f>
        <v/>
      </c>
      <c r="N321" s="22" t="str">
        <f aca="false">IF($B321="","",IFERROR(INDEX(고객사!$J$5:$J$104,MATCH($B321,고객사!$A$5:$A$104,0)),0))</f>
        <v/>
      </c>
      <c r="O321" s="22" t="str">
        <f aca="false">IF($B321="","",G321*N321)</f>
        <v/>
      </c>
      <c r="P321" s="22" t="str">
        <f aca="false">IF($B321="","",IFERROR(INDEX(고객사!$K$5:$K$104,MATCH($B321,고객사!$A$5:$A$104,0)),0))</f>
        <v/>
      </c>
      <c r="Q321" s="22" t="str">
        <f aca="false">IF($B321="","",G321*P321)</f>
        <v/>
      </c>
      <c r="R321" s="22" t="str">
        <f aca="false">IF($B321="","",O321-Q321-L321)</f>
        <v/>
      </c>
      <c r="S321" s="21" t="str">
        <f aca="false">IF(OR($B321="",N(O321)=0),"",R321/O321)</f>
        <v/>
      </c>
      <c r="T321" s="14"/>
      <c r="U321" s="19" t="n">
        <f aca="false">IF(OR($B321="",$A321=""),0,IF(COUNTIFS($A$5:$A321,$A321,$B$5:$B321,$B321)=1,1,0))</f>
        <v>0</v>
      </c>
    </row>
    <row r="322" customFormat="false" ht="15" hidden="false" customHeight="false" outlineLevel="0" collapsed="false">
      <c r="A322" s="17"/>
      <c r="B322" s="13"/>
      <c r="C322" s="20" t="str">
        <f aca="false">IF($B322="","",IFERROR(INDEX(고객사!$B$5:$B$104,MATCH($B322,고객사!$A$5:$A$104,0)),"코드 확인"))</f>
        <v/>
      </c>
      <c r="D322" s="15"/>
      <c r="E322" s="15"/>
      <c r="F322" s="16"/>
      <c r="G322" s="16"/>
      <c r="H322" s="21" t="str">
        <f aca="false">IF(OR($B322="",F322=0),"",G322/F322)</f>
        <v/>
      </c>
      <c r="I322" s="22" t="str">
        <f aca="false">IF($B322="","",MAX(F322-G322,0))</f>
        <v/>
      </c>
      <c r="J322" s="23" t="str">
        <f aca="false">IF($B322="","",IFERROR(INDEX(고객사!$G$5:$G$104,MATCH($B322,고객사!$A$5:$A$104,0)),""))</f>
        <v/>
      </c>
      <c r="K322" s="16"/>
      <c r="L322" s="22" t="str">
        <f aca="false">IF($B322="","",K322*IFERROR(INDEX(고객사!$L$5:$L$104,MATCH($B322,고객사!$A$5:$A$104,0)),0))</f>
        <v/>
      </c>
      <c r="M322" s="23" t="str">
        <f aca="false">IF($B322="","",IF(AND(J322="N",G322&gt;0,K322=0,IFERROR(INDEX(고객사!$H$5:$H$104,MATCH($B322,고객사!$A$5:$A$104,0)),"")="자사 차량 운행"),"차량 미배정",""))</f>
        <v/>
      </c>
      <c r="N322" s="22" t="str">
        <f aca="false">IF($B322="","",IFERROR(INDEX(고객사!$J$5:$J$104,MATCH($B322,고객사!$A$5:$A$104,0)),0))</f>
        <v/>
      </c>
      <c r="O322" s="22" t="str">
        <f aca="false">IF($B322="","",G322*N322)</f>
        <v/>
      </c>
      <c r="P322" s="22" t="str">
        <f aca="false">IF($B322="","",IFERROR(INDEX(고객사!$K$5:$K$104,MATCH($B322,고객사!$A$5:$A$104,0)),0))</f>
        <v/>
      </c>
      <c r="Q322" s="22" t="str">
        <f aca="false">IF($B322="","",G322*P322)</f>
        <v/>
      </c>
      <c r="R322" s="22" t="str">
        <f aca="false">IF($B322="","",O322-Q322-L322)</f>
        <v/>
      </c>
      <c r="S322" s="21" t="str">
        <f aca="false">IF(OR($B322="",N(O322)=0),"",R322/O322)</f>
        <v/>
      </c>
      <c r="T322" s="14"/>
      <c r="U322" s="19" t="n">
        <f aca="false">IF(OR($B322="",$A322=""),0,IF(COUNTIFS($A$5:$A322,$A322,$B$5:$B322,$B322)=1,1,0))</f>
        <v>0</v>
      </c>
    </row>
    <row r="323" customFormat="false" ht="15" hidden="false" customHeight="false" outlineLevel="0" collapsed="false">
      <c r="A323" s="17"/>
      <c r="B323" s="13"/>
      <c r="C323" s="20" t="str">
        <f aca="false">IF($B323="","",IFERROR(INDEX(고객사!$B$5:$B$104,MATCH($B323,고객사!$A$5:$A$104,0)),"코드 확인"))</f>
        <v/>
      </c>
      <c r="D323" s="15"/>
      <c r="E323" s="15"/>
      <c r="F323" s="16"/>
      <c r="G323" s="16"/>
      <c r="H323" s="21" t="str">
        <f aca="false">IF(OR($B323="",F323=0),"",G323/F323)</f>
        <v/>
      </c>
      <c r="I323" s="22" t="str">
        <f aca="false">IF($B323="","",MAX(F323-G323,0))</f>
        <v/>
      </c>
      <c r="J323" s="23" t="str">
        <f aca="false">IF($B323="","",IFERROR(INDEX(고객사!$G$5:$G$104,MATCH($B323,고객사!$A$5:$A$104,0)),""))</f>
        <v/>
      </c>
      <c r="K323" s="16"/>
      <c r="L323" s="22" t="str">
        <f aca="false">IF($B323="","",K323*IFERROR(INDEX(고객사!$L$5:$L$104,MATCH($B323,고객사!$A$5:$A$104,0)),0))</f>
        <v/>
      </c>
      <c r="M323" s="23" t="str">
        <f aca="false">IF($B323="","",IF(AND(J323="N",G323&gt;0,K323=0,IFERROR(INDEX(고객사!$H$5:$H$104,MATCH($B323,고객사!$A$5:$A$104,0)),"")="자사 차량 운행"),"차량 미배정",""))</f>
        <v/>
      </c>
      <c r="N323" s="22" t="str">
        <f aca="false">IF($B323="","",IFERROR(INDEX(고객사!$J$5:$J$104,MATCH($B323,고객사!$A$5:$A$104,0)),0))</f>
        <v/>
      </c>
      <c r="O323" s="22" t="str">
        <f aca="false">IF($B323="","",G323*N323)</f>
        <v/>
      </c>
      <c r="P323" s="22" t="str">
        <f aca="false">IF($B323="","",IFERROR(INDEX(고객사!$K$5:$K$104,MATCH($B323,고객사!$A$5:$A$104,0)),0))</f>
        <v/>
      </c>
      <c r="Q323" s="22" t="str">
        <f aca="false">IF($B323="","",G323*P323)</f>
        <v/>
      </c>
      <c r="R323" s="22" t="str">
        <f aca="false">IF($B323="","",O323-Q323-L323)</f>
        <v/>
      </c>
      <c r="S323" s="21" t="str">
        <f aca="false">IF(OR($B323="",N(O323)=0),"",R323/O323)</f>
        <v/>
      </c>
      <c r="T323" s="14"/>
      <c r="U323" s="19" t="n">
        <f aca="false">IF(OR($B323="",$A323=""),0,IF(COUNTIFS($A$5:$A323,$A323,$B$5:$B323,$B323)=1,1,0))</f>
        <v>0</v>
      </c>
    </row>
    <row r="324" customFormat="false" ht="15" hidden="false" customHeight="false" outlineLevel="0" collapsed="false">
      <c r="A324" s="17"/>
      <c r="B324" s="13"/>
      <c r="C324" s="20" t="str">
        <f aca="false">IF($B324="","",IFERROR(INDEX(고객사!$B$5:$B$104,MATCH($B324,고객사!$A$5:$A$104,0)),"코드 확인"))</f>
        <v/>
      </c>
      <c r="D324" s="15"/>
      <c r="E324" s="15"/>
      <c r="F324" s="16"/>
      <c r="G324" s="16"/>
      <c r="H324" s="21" t="str">
        <f aca="false">IF(OR($B324="",F324=0),"",G324/F324)</f>
        <v/>
      </c>
      <c r="I324" s="22" t="str">
        <f aca="false">IF($B324="","",MAX(F324-G324,0))</f>
        <v/>
      </c>
      <c r="J324" s="23" t="str">
        <f aca="false">IF($B324="","",IFERROR(INDEX(고객사!$G$5:$G$104,MATCH($B324,고객사!$A$5:$A$104,0)),""))</f>
        <v/>
      </c>
      <c r="K324" s="16"/>
      <c r="L324" s="22" t="str">
        <f aca="false">IF($B324="","",K324*IFERROR(INDEX(고객사!$L$5:$L$104,MATCH($B324,고객사!$A$5:$A$104,0)),0))</f>
        <v/>
      </c>
      <c r="M324" s="23" t="str">
        <f aca="false">IF($B324="","",IF(AND(J324="N",G324&gt;0,K324=0,IFERROR(INDEX(고객사!$H$5:$H$104,MATCH($B324,고객사!$A$5:$A$104,0)),"")="자사 차량 운행"),"차량 미배정",""))</f>
        <v/>
      </c>
      <c r="N324" s="22" t="str">
        <f aca="false">IF($B324="","",IFERROR(INDEX(고객사!$J$5:$J$104,MATCH($B324,고객사!$A$5:$A$104,0)),0))</f>
        <v/>
      </c>
      <c r="O324" s="22" t="str">
        <f aca="false">IF($B324="","",G324*N324)</f>
        <v/>
      </c>
      <c r="P324" s="22" t="str">
        <f aca="false">IF($B324="","",IFERROR(INDEX(고객사!$K$5:$K$104,MATCH($B324,고객사!$A$5:$A$104,0)),0))</f>
        <v/>
      </c>
      <c r="Q324" s="22" t="str">
        <f aca="false">IF($B324="","",G324*P324)</f>
        <v/>
      </c>
      <c r="R324" s="22" t="str">
        <f aca="false">IF($B324="","",O324-Q324-L324)</f>
        <v/>
      </c>
      <c r="S324" s="21" t="str">
        <f aca="false">IF(OR($B324="",N(O324)=0),"",R324/O324)</f>
        <v/>
      </c>
      <c r="T324" s="14"/>
      <c r="U324" s="19" t="n">
        <f aca="false">IF(OR($B324="",$A324=""),0,IF(COUNTIFS($A$5:$A324,$A324,$B$5:$B324,$B324)=1,1,0))</f>
        <v>0</v>
      </c>
    </row>
    <row r="325" customFormat="false" ht="15" hidden="false" customHeight="false" outlineLevel="0" collapsed="false">
      <c r="A325" s="17"/>
      <c r="B325" s="13"/>
      <c r="C325" s="20" t="str">
        <f aca="false">IF($B325="","",IFERROR(INDEX(고객사!$B$5:$B$104,MATCH($B325,고객사!$A$5:$A$104,0)),"코드 확인"))</f>
        <v/>
      </c>
      <c r="D325" s="15"/>
      <c r="E325" s="15"/>
      <c r="F325" s="16"/>
      <c r="G325" s="16"/>
      <c r="H325" s="21" t="str">
        <f aca="false">IF(OR($B325="",F325=0),"",G325/F325)</f>
        <v/>
      </c>
      <c r="I325" s="22" t="str">
        <f aca="false">IF($B325="","",MAX(F325-G325,0))</f>
        <v/>
      </c>
      <c r="J325" s="23" t="str">
        <f aca="false">IF($B325="","",IFERROR(INDEX(고객사!$G$5:$G$104,MATCH($B325,고객사!$A$5:$A$104,0)),""))</f>
        <v/>
      </c>
      <c r="K325" s="16"/>
      <c r="L325" s="22" t="str">
        <f aca="false">IF($B325="","",K325*IFERROR(INDEX(고객사!$L$5:$L$104,MATCH($B325,고객사!$A$5:$A$104,0)),0))</f>
        <v/>
      </c>
      <c r="M325" s="23" t="str">
        <f aca="false">IF($B325="","",IF(AND(J325="N",G325&gt;0,K325=0,IFERROR(INDEX(고객사!$H$5:$H$104,MATCH($B325,고객사!$A$5:$A$104,0)),"")="자사 차량 운행"),"차량 미배정",""))</f>
        <v/>
      </c>
      <c r="N325" s="22" t="str">
        <f aca="false">IF($B325="","",IFERROR(INDEX(고객사!$J$5:$J$104,MATCH($B325,고객사!$A$5:$A$104,0)),0))</f>
        <v/>
      </c>
      <c r="O325" s="22" t="str">
        <f aca="false">IF($B325="","",G325*N325)</f>
        <v/>
      </c>
      <c r="P325" s="22" t="str">
        <f aca="false">IF($B325="","",IFERROR(INDEX(고객사!$K$5:$K$104,MATCH($B325,고객사!$A$5:$A$104,0)),0))</f>
        <v/>
      </c>
      <c r="Q325" s="22" t="str">
        <f aca="false">IF($B325="","",G325*P325)</f>
        <v/>
      </c>
      <c r="R325" s="22" t="str">
        <f aca="false">IF($B325="","",O325-Q325-L325)</f>
        <v/>
      </c>
      <c r="S325" s="21" t="str">
        <f aca="false">IF(OR($B325="",N(O325)=0),"",R325/O325)</f>
        <v/>
      </c>
      <c r="T325" s="14"/>
      <c r="U325" s="19" t="n">
        <f aca="false">IF(OR($B325="",$A325=""),0,IF(COUNTIFS($A$5:$A325,$A325,$B$5:$B325,$B325)=1,1,0))</f>
        <v>0</v>
      </c>
    </row>
    <row r="326" customFormat="false" ht="15" hidden="false" customHeight="false" outlineLevel="0" collapsed="false">
      <c r="A326" s="17"/>
      <c r="B326" s="13"/>
      <c r="C326" s="20" t="str">
        <f aca="false">IF($B326="","",IFERROR(INDEX(고객사!$B$5:$B$104,MATCH($B326,고객사!$A$5:$A$104,0)),"코드 확인"))</f>
        <v/>
      </c>
      <c r="D326" s="15"/>
      <c r="E326" s="15"/>
      <c r="F326" s="16"/>
      <c r="G326" s="16"/>
      <c r="H326" s="21" t="str">
        <f aca="false">IF(OR($B326="",F326=0),"",G326/F326)</f>
        <v/>
      </c>
      <c r="I326" s="22" t="str">
        <f aca="false">IF($B326="","",MAX(F326-G326,0))</f>
        <v/>
      </c>
      <c r="J326" s="23" t="str">
        <f aca="false">IF($B326="","",IFERROR(INDEX(고객사!$G$5:$G$104,MATCH($B326,고객사!$A$5:$A$104,0)),""))</f>
        <v/>
      </c>
      <c r="K326" s="16"/>
      <c r="L326" s="22" t="str">
        <f aca="false">IF($B326="","",K326*IFERROR(INDEX(고객사!$L$5:$L$104,MATCH($B326,고객사!$A$5:$A$104,0)),0))</f>
        <v/>
      </c>
      <c r="M326" s="23" t="str">
        <f aca="false">IF($B326="","",IF(AND(J326="N",G326&gt;0,K326=0,IFERROR(INDEX(고객사!$H$5:$H$104,MATCH($B326,고객사!$A$5:$A$104,0)),"")="자사 차량 운행"),"차량 미배정",""))</f>
        <v/>
      </c>
      <c r="N326" s="22" t="str">
        <f aca="false">IF($B326="","",IFERROR(INDEX(고객사!$J$5:$J$104,MATCH($B326,고객사!$A$5:$A$104,0)),0))</f>
        <v/>
      </c>
      <c r="O326" s="22" t="str">
        <f aca="false">IF($B326="","",G326*N326)</f>
        <v/>
      </c>
      <c r="P326" s="22" t="str">
        <f aca="false">IF($B326="","",IFERROR(INDEX(고객사!$K$5:$K$104,MATCH($B326,고객사!$A$5:$A$104,0)),0))</f>
        <v/>
      </c>
      <c r="Q326" s="22" t="str">
        <f aca="false">IF($B326="","",G326*P326)</f>
        <v/>
      </c>
      <c r="R326" s="22" t="str">
        <f aca="false">IF($B326="","",O326-Q326-L326)</f>
        <v/>
      </c>
      <c r="S326" s="21" t="str">
        <f aca="false">IF(OR($B326="",N(O326)=0),"",R326/O326)</f>
        <v/>
      </c>
      <c r="T326" s="14"/>
      <c r="U326" s="19" t="n">
        <f aca="false">IF(OR($B326="",$A326=""),0,IF(COUNTIFS($A$5:$A326,$A326,$B$5:$B326,$B326)=1,1,0))</f>
        <v>0</v>
      </c>
    </row>
    <row r="327" customFormat="false" ht="15" hidden="false" customHeight="false" outlineLevel="0" collapsed="false">
      <c r="A327" s="17"/>
      <c r="B327" s="13"/>
      <c r="C327" s="20" t="str">
        <f aca="false">IF($B327="","",IFERROR(INDEX(고객사!$B$5:$B$104,MATCH($B327,고객사!$A$5:$A$104,0)),"코드 확인"))</f>
        <v/>
      </c>
      <c r="D327" s="15"/>
      <c r="E327" s="15"/>
      <c r="F327" s="16"/>
      <c r="G327" s="16"/>
      <c r="H327" s="21" t="str">
        <f aca="false">IF(OR($B327="",F327=0),"",G327/F327)</f>
        <v/>
      </c>
      <c r="I327" s="22" t="str">
        <f aca="false">IF($B327="","",MAX(F327-G327,0))</f>
        <v/>
      </c>
      <c r="J327" s="23" t="str">
        <f aca="false">IF($B327="","",IFERROR(INDEX(고객사!$G$5:$G$104,MATCH($B327,고객사!$A$5:$A$104,0)),""))</f>
        <v/>
      </c>
      <c r="K327" s="16"/>
      <c r="L327" s="22" t="str">
        <f aca="false">IF($B327="","",K327*IFERROR(INDEX(고객사!$L$5:$L$104,MATCH($B327,고객사!$A$5:$A$104,0)),0))</f>
        <v/>
      </c>
      <c r="M327" s="23" t="str">
        <f aca="false">IF($B327="","",IF(AND(J327="N",G327&gt;0,K327=0,IFERROR(INDEX(고객사!$H$5:$H$104,MATCH($B327,고객사!$A$5:$A$104,0)),"")="자사 차량 운행"),"차량 미배정",""))</f>
        <v/>
      </c>
      <c r="N327" s="22" t="str">
        <f aca="false">IF($B327="","",IFERROR(INDEX(고객사!$J$5:$J$104,MATCH($B327,고객사!$A$5:$A$104,0)),0))</f>
        <v/>
      </c>
      <c r="O327" s="22" t="str">
        <f aca="false">IF($B327="","",G327*N327)</f>
        <v/>
      </c>
      <c r="P327" s="22" t="str">
        <f aca="false">IF($B327="","",IFERROR(INDEX(고객사!$K$5:$K$104,MATCH($B327,고객사!$A$5:$A$104,0)),0))</f>
        <v/>
      </c>
      <c r="Q327" s="22" t="str">
        <f aca="false">IF($B327="","",G327*P327)</f>
        <v/>
      </c>
      <c r="R327" s="22" t="str">
        <f aca="false">IF($B327="","",O327-Q327-L327)</f>
        <v/>
      </c>
      <c r="S327" s="21" t="str">
        <f aca="false">IF(OR($B327="",N(O327)=0),"",R327/O327)</f>
        <v/>
      </c>
      <c r="T327" s="14"/>
      <c r="U327" s="19" t="n">
        <f aca="false">IF(OR($B327="",$A327=""),0,IF(COUNTIFS($A$5:$A327,$A327,$B$5:$B327,$B327)=1,1,0))</f>
        <v>0</v>
      </c>
    </row>
    <row r="328" customFormat="false" ht="15" hidden="false" customHeight="false" outlineLevel="0" collapsed="false">
      <c r="A328" s="17"/>
      <c r="B328" s="13"/>
      <c r="C328" s="20" t="str">
        <f aca="false">IF($B328="","",IFERROR(INDEX(고객사!$B$5:$B$104,MATCH($B328,고객사!$A$5:$A$104,0)),"코드 확인"))</f>
        <v/>
      </c>
      <c r="D328" s="15"/>
      <c r="E328" s="15"/>
      <c r="F328" s="16"/>
      <c r="G328" s="16"/>
      <c r="H328" s="21" t="str">
        <f aca="false">IF(OR($B328="",F328=0),"",G328/F328)</f>
        <v/>
      </c>
      <c r="I328" s="22" t="str">
        <f aca="false">IF($B328="","",MAX(F328-G328,0))</f>
        <v/>
      </c>
      <c r="J328" s="23" t="str">
        <f aca="false">IF($B328="","",IFERROR(INDEX(고객사!$G$5:$G$104,MATCH($B328,고객사!$A$5:$A$104,0)),""))</f>
        <v/>
      </c>
      <c r="K328" s="16"/>
      <c r="L328" s="22" t="str">
        <f aca="false">IF($B328="","",K328*IFERROR(INDEX(고객사!$L$5:$L$104,MATCH($B328,고객사!$A$5:$A$104,0)),0))</f>
        <v/>
      </c>
      <c r="M328" s="23" t="str">
        <f aca="false">IF($B328="","",IF(AND(J328="N",G328&gt;0,K328=0,IFERROR(INDEX(고객사!$H$5:$H$104,MATCH($B328,고객사!$A$5:$A$104,0)),"")="자사 차량 운행"),"차량 미배정",""))</f>
        <v/>
      </c>
      <c r="N328" s="22" t="str">
        <f aca="false">IF($B328="","",IFERROR(INDEX(고객사!$J$5:$J$104,MATCH($B328,고객사!$A$5:$A$104,0)),0))</f>
        <v/>
      </c>
      <c r="O328" s="22" t="str">
        <f aca="false">IF($B328="","",G328*N328)</f>
        <v/>
      </c>
      <c r="P328" s="22" t="str">
        <f aca="false">IF($B328="","",IFERROR(INDEX(고객사!$K$5:$K$104,MATCH($B328,고객사!$A$5:$A$104,0)),0))</f>
        <v/>
      </c>
      <c r="Q328" s="22" t="str">
        <f aca="false">IF($B328="","",G328*P328)</f>
        <v/>
      </c>
      <c r="R328" s="22" t="str">
        <f aca="false">IF($B328="","",O328-Q328-L328)</f>
        <v/>
      </c>
      <c r="S328" s="21" t="str">
        <f aca="false">IF(OR($B328="",N(O328)=0),"",R328/O328)</f>
        <v/>
      </c>
      <c r="T328" s="14"/>
      <c r="U328" s="19" t="n">
        <f aca="false">IF(OR($B328="",$A328=""),0,IF(COUNTIFS($A$5:$A328,$A328,$B$5:$B328,$B328)=1,1,0))</f>
        <v>0</v>
      </c>
    </row>
    <row r="329" customFormat="false" ht="15" hidden="false" customHeight="false" outlineLevel="0" collapsed="false">
      <c r="A329" s="17"/>
      <c r="B329" s="13"/>
      <c r="C329" s="20" t="str">
        <f aca="false">IF($B329="","",IFERROR(INDEX(고객사!$B$5:$B$104,MATCH($B329,고객사!$A$5:$A$104,0)),"코드 확인"))</f>
        <v/>
      </c>
      <c r="D329" s="15"/>
      <c r="E329" s="15"/>
      <c r="F329" s="16"/>
      <c r="G329" s="16"/>
      <c r="H329" s="21" t="str">
        <f aca="false">IF(OR($B329="",F329=0),"",G329/F329)</f>
        <v/>
      </c>
      <c r="I329" s="22" t="str">
        <f aca="false">IF($B329="","",MAX(F329-G329,0))</f>
        <v/>
      </c>
      <c r="J329" s="23" t="str">
        <f aca="false">IF($B329="","",IFERROR(INDEX(고객사!$G$5:$G$104,MATCH($B329,고객사!$A$5:$A$104,0)),""))</f>
        <v/>
      </c>
      <c r="K329" s="16"/>
      <c r="L329" s="22" t="str">
        <f aca="false">IF($B329="","",K329*IFERROR(INDEX(고객사!$L$5:$L$104,MATCH($B329,고객사!$A$5:$A$104,0)),0))</f>
        <v/>
      </c>
      <c r="M329" s="23" t="str">
        <f aca="false">IF($B329="","",IF(AND(J329="N",G329&gt;0,K329=0,IFERROR(INDEX(고객사!$H$5:$H$104,MATCH($B329,고객사!$A$5:$A$104,0)),"")="자사 차량 운행"),"차량 미배정",""))</f>
        <v/>
      </c>
      <c r="N329" s="22" t="str">
        <f aca="false">IF($B329="","",IFERROR(INDEX(고객사!$J$5:$J$104,MATCH($B329,고객사!$A$5:$A$104,0)),0))</f>
        <v/>
      </c>
      <c r="O329" s="22" t="str">
        <f aca="false">IF($B329="","",G329*N329)</f>
        <v/>
      </c>
      <c r="P329" s="22" t="str">
        <f aca="false">IF($B329="","",IFERROR(INDEX(고객사!$K$5:$K$104,MATCH($B329,고객사!$A$5:$A$104,0)),0))</f>
        <v/>
      </c>
      <c r="Q329" s="22" t="str">
        <f aca="false">IF($B329="","",G329*P329)</f>
        <v/>
      </c>
      <c r="R329" s="22" t="str">
        <f aca="false">IF($B329="","",O329-Q329-L329)</f>
        <v/>
      </c>
      <c r="S329" s="21" t="str">
        <f aca="false">IF(OR($B329="",N(O329)=0),"",R329/O329)</f>
        <v/>
      </c>
      <c r="T329" s="14"/>
      <c r="U329" s="19" t="n">
        <f aca="false">IF(OR($B329="",$A329=""),0,IF(COUNTIFS($A$5:$A329,$A329,$B$5:$B329,$B329)=1,1,0))</f>
        <v>0</v>
      </c>
    </row>
    <row r="330" customFormat="false" ht="15" hidden="false" customHeight="false" outlineLevel="0" collapsed="false">
      <c r="A330" s="17"/>
      <c r="B330" s="13"/>
      <c r="C330" s="20" t="str">
        <f aca="false">IF($B330="","",IFERROR(INDEX(고객사!$B$5:$B$104,MATCH($B330,고객사!$A$5:$A$104,0)),"코드 확인"))</f>
        <v/>
      </c>
      <c r="D330" s="15"/>
      <c r="E330" s="15"/>
      <c r="F330" s="16"/>
      <c r="G330" s="16"/>
      <c r="H330" s="21" t="str">
        <f aca="false">IF(OR($B330="",F330=0),"",G330/F330)</f>
        <v/>
      </c>
      <c r="I330" s="22" t="str">
        <f aca="false">IF($B330="","",MAX(F330-G330,0))</f>
        <v/>
      </c>
      <c r="J330" s="23" t="str">
        <f aca="false">IF($B330="","",IFERROR(INDEX(고객사!$G$5:$G$104,MATCH($B330,고객사!$A$5:$A$104,0)),""))</f>
        <v/>
      </c>
      <c r="K330" s="16"/>
      <c r="L330" s="22" t="str">
        <f aca="false">IF($B330="","",K330*IFERROR(INDEX(고객사!$L$5:$L$104,MATCH($B330,고객사!$A$5:$A$104,0)),0))</f>
        <v/>
      </c>
      <c r="M330" s="23" t="str">
        <f aca="false">IF($B330="","",IF(AND(J330="N",G330&gt;0,K330=0,IFERROR(INDEX(고객사!$H$5:$H$104,MATCH($B330,고객사!$A$5:$A$104,0)),"")="자사 차량 운행"),"차량 미배정",""))</f>
        <v/>
      </c>
      <c r="N330" s="22" t="str">
        <f aca="false">IF($B330="","",IFERROR(INDEX(고객사!$J$5:$J$104,MATCH($B330,고객사!$A$5:$A$104,0)),0))</f>
        <v/>
      </c>
      <c r="O330" s="22" t="str">
        <f aca="false">IF($B330="","",G330*N330)</f>
        <v/>
      </c>
      <c r="P330" s="22" t="str">
        <f aca="false">IF($B330="","",IFERROR(INDEX(고객사!$K$5:$K$104,MATCH($B330,고객사!$A$5:$A$104,0)),0))</f>
        <v/>
      </c>
      <c r="Q330" s="22" t="str">
        <f aca="false">IF($B330="","",G330*P330)</f>
        <v/>
      </c>
      <c r="R330" s="22" t="str">
        <f aca="false">IF($B330="","",O330-Q330-L330)</f>
        <v/>
      </c>
      <c r="S330" s="21" t="str">
        <f aca="false">IF(OR($B330="",N(O330)=0),"",R330/O330)</f>
        <v/>
      </c>
      <c r="T330" s="14"/>
      <c r="U330" s="19" t="n">
        <f aca="false">IF(OR($B330="",$A330=""),0,IF(COUNTIFS($A$5:$A330,$A330,$B$5:$B330,$B330)=1,1,0))</f>
        <v>0</v>
      </c>
    </row>
    <row r="331" customFormat="false" ht="15" hidden="false" customHeight="false" outlineLevel="0" collapsed="false">
      <c r="A331" s="17"/>
      <c r="B331" s="13"/>
      <c r="C331" s="20" t="str">
        <f aca="false">IF($B331="","",IFERROR(INDEX(고객사!$B$5:$B$104,MATCH($B331,고객사!$A$5:$A$104,0)),"코드 확인"))</f>
        <v/>
      </c>
      <c r="D331" s="15"/>
      <c r="E331" s="15"/>
      <c r="F331" s="16"/>
      <c r="G331" s="16"/>
      <c r="H331" s="21" t="str">
        <f aca="false">IF(OR($B331="",F331=0),"",G331/F331)</f>
        <v/>
      </c>
      <c r="I331" s="22" t="str">
        <f aca="false">IF($B331="","",MAX(F331-G331,0))</f>
        <v/>
      </c>
      <c r="J331" s="23" t="str">
        <f aca="false">IF($B331="","",IFERROR(INDEX(고객사!$G$5:$G$104,MATCH($B331,고객사!$A$5:$A$104,0)),""))</f>
        <v/>
      </c>
      <c r="K331" s="16"/>
      <c r="L331" s="22" t="str">
        <f aca="false">IF($B331="","",K331*IFERROR(INDEX(고객사!$L$5:$L$104,MATCH($B331,고객사!$A$5:$A$104,0)),0))</f>
        <v/>
      </c>
      <c r="M331" s="23" t="str">
        <f aca="false">IF($B331="","",IF(AND(J331="N",G331&gt;0,K331=0,IFERROR(INDEX(고객사!$H$5:$H$104,MATCH($B331,고객사!$A$5:$A$104,0)),"")="자사 차량 운행"),"차량 미배정",""))</f>
        <v/>
      </c>
      <c r="N331" s="22" t="str">
        <f aca="false">IF($B331="","",IFERROR(INDEX(고객사!$J$5:$J$104,MATCH($B331,고객사!$A$5:$A$104,0)),0))</f>
        <v/>
      </c>
      <c r="O331" s="22" t="str">
        <f aca="false">IF($B331="","",G331*N331)</f>
        <v/>
      </c>
      <c r="P331" s="22" t="str">
        <f aca="false">IF($B331="","",IFERROR(INDEX(고객사!$K$5:$K$104,MATCH($B331,고객사!$A$5:$A$104,0)),0))</f>
        <v/>
      </c>
      <c r="Q331" s="22" t="str">
        <f aca="false">IF($B331="","",G331*P331)</f>
        <v/>
      </c>
      <c r="R331" s="22" t="str">
        <f aca="false">IF($B331="","",O331-Q331-L331)</f>
        <v/>
      </c>
      <c r="S331" s="21" t="str">
        <f aca="false">IF(OR($B331="",N(O331)=0),"",R331/O331)</f>
        <v/>
      </c>
      <c r="T331" s="14"/>
      <c r="U331" s="19" t="n">
        <f aca="false">IF(OR($B331="",$A331=""),0,IF(COUNTIFS($A$5:$A331,$A331,$B$5:$B331,$B331)=1,1,0))</f>
        <v>0</v>
      </c>
    </row>
    <row r="332" customFormat="false" ht="15" hidden="false" customHeight="false" outlineLevel="0" collapsed="false">
      <c r="A332" s="17"/>
      <c r="B332" s="13"/>
      <c r="C332" s="20" t="str">
        <f aca="false">IF($B332="","",IFERROR(INDEX(고객사!$B$5:$B$104,MATCH($B332,고객사!$A$5:$A$104,0)),"코드 확인"))</f>
        <v/>
      </c>
      <c r="D332" s="15"/>
      <c r="E332" s="15"/>
      <c r="F332" s="16"/>
      <c r="G332" s="16"/>
      <c r="H332" s="21" t="str">
        <f aca="false">IF(OR($B332="",F332=0),"",G332/F332)</f>
        <v/>
      </c>
      <c r="I332" s="22" t="str">
        <f aca="false">IF($B332="","",MAX(F332-G332,0))</f>
        <v/>
      </c>
      <c r="J332" s="23" t="str">
        <f aca="false">IF($B332="","",IFERROR(INDEX(고객사!$G$5:$G$104,MATCH($B332,고객사!$A$5:$A$104,0)),""))</f>
        <v/>
      </c>
      <c r="K332" s="16"/>
      <c r="L332" s="22" t="str">
        <f aca="false">IF($B332="","",K332*IFERROR(INDEX(고객사!$L$5:$L$104,MATCH($B332,고객사!$A$5:$A$104,0)),0))</f>
        <v/>
      </c>
      <c r="M332" s="23" t="str">
        <f aca="false">IF($B332="","",IF(AND(J332="N",G332&gt;0,K332=0,IFERROR(INDEX(고객사!$H$5:$H$104,MATCH($B332,고객사!$A$5:$A$104,0)),"")="자사 차량 운행"),"차량 미배정",""))</f>
        <v/>
      </c>
      <c r="N332" s="22" t="str">
        <f aca="false">IF($B332="","",IFERROR(INDEX(고객사!$J$5:$J$104,MATCH($B332,고객사!$A$5:$A$104,0)),0))</f>
        <v/>
      </c>
      <c r="O332" s="22" t="str">
        <f aca="false">IF($B332="","",G332*N332)</f>
        <v/>
      </c>
      <c r="P332" s="22" t="str">
        <f aca="false">IF($B332="","",IFERROR(INDEX(고객사!$K$5:$K$104,MATCH($B332,고객사!$A$5:$A$104,0)),0))</f>
        <v/>
      </c>
      <c r="Q332" s="22" t="str">
        <f aca="false">IF($B332="","",G332*P332)</f>
        <v/>
      </c>
      <c r="R332" s="22" t="str">
        <f aca="false">IF($B332="","",O332-Q332-L332)</f>
        <v/>
      </c>
      <c r="S332" s="21" t="str">
        <f aca="false">IF(OR($B332="",N(O332)=0),"",R332/O332)</f>
        <v/>
      </c>
      <c r="T332" s="14"/>
      <c r="U332" s="19" t="n">
        <f aca="false">IF(OR($B332="",$A332=""),0,IF(COUNTIFS($A$5:$A332,$A332,$B$5:$B332,$B332)=1,1,0))</f>
        <v>0</v>
      </c>
    </row>
    <row r="333" customFormat="false" ht="15" hidden="false" customHeight="false" outlineLevel="0" collapsed="false">
      <c r="A333" s="17"/>
      <c r="B333" s="13"/>
      <c r="C333" s="20" t="str">
        <f aca="false">IF($B333="","",IFERROR(INDEX(고객사!$B$5:$B$104,MATCH($B333,고객사!$A$5:$A$104,0)),"코드 확인"))</f>
        <v/>
      </c>
      <c r="D333" s="15"/>
      <c r="E333" s="15"/>
      <c r="F333" s="16"/>
      <c r="G333" s="16"/>
      <c r="H333" s="21" t="str">
        <f aca="false">IF(OR($B333="",F333=0),"",G333/F333)</f>
        <v/>
      </c>
      <c r="I333" s="22" t="str">
        <f aca="false">IF($B333="","",MAX(F333-G333,0))</f>
        <v/>
      </c>
      <c r="J333" s="23" t="str">
        <f aca="false">IF($B333="","",IFERROR(INDEX(고객사!$G$5:$G$104,MATCH($B333,고객사!$A$5:$A$104,0)),""))</f>
        <v/>
      </c>
      <c r="K333" s="16"/>
      <c r="L333" s="22" t="str">
        <f aca="false">IF($B333="","",K333*IFERROR(INDEX(고객사!$L$5:$L$104,MATCH($B333,고객사!$A$5:$A$104,0)),0))</f>
        <v/>
      </c>
      <c r="M333" s="23" t="str">
        <f aca="false">IF($B333="","",IF(AND(J333="N",G333&gt;0,K333=0,IFERROR(INDEX(고객사!$H$5:$H$104,MATCH($B333,고객사!$A$5:$A$104,0)),"")="자사 차량 운행"),"차량 미배정",""))</f>
        <v/>
      </c>
      <c r="N333" s="22" t="str">
        <f aca="false">IF($B333="","",IFERROR(INDEX(고객사!$J$5:$J$104,MATCH($B333,고객사!$A$5:$A$104,0)),0))</f>
        <v/>
      </c>
      <c r="O333" s="22" t="str">
        <f aca="false">IF($B333="","",G333*N333)</f>
        <v/>
      </c>
      <c r="P333" s="22" t="str">
        <f aca="false">IF($B333="","",IFERROR(INDEX(고객사!$K$5:$K$104,MATCH($B333,고객사!$A$5:$A$104,0)),0))</f>
        <v/>
      </c>
      <c r="Q333" s="22" t="str">
        <f aca="false">IF($B333="","",G333*P333)</f>
        <v/>
      </c>
      <c r="R333" s="22" t="str">
        <f aca="false">IF($B333="","",O333-Q333-L333)</f>
        <v/>
      </c>
      <c r="S333" s="21" t="str">
        <f aca="false">IF(OR($B333="",N(O333)=0),"",R333/O333)</f>
        <v/>
      </c>
      <c r="T333" s="14"/>
      <c r="U333" s="19" t="n">
        <f aca="false">IF(OR($B333="",$A333=""),0,IF(COUNTIFS($A$5:$A333,$A333,$B$5:$B333,$B333)=1,1,0))</f>
        <v>0</v>
      </c>
    </row>
    <row r="334" customFormat="false" ht="15" hidden="false" customHeight="false" outlineLevel="0" collapsed="false">
      <c r="A334" s="17"/>
      <c r="B334" s="13"/>
      <c r="C334" s="20" t="str">
        <f aca="false">IF($B334="","",IFERROR(INDEX(고객사!$B$5:$B$104,MATCH($B334,고객사!$A$5:$A$104,0)),"코드 확인"))</f>
        <v/>
      </c>
      <c r="D334" s="15"/>
      <c r="E334" s="15"/>
      <c r="F334" s="16"/>
      <c r="G334" s="16"/>
      <c r="H334" s="21" t="str">
        <f aca="false">IF(OR($B334="",F334=0),"",G334/F334)</f>
        <v/>
      </c>
      <c r="I334" s="22" t="str">
        <f aca="false">IF($B334="","",MAX(F334-G334,0))</f>
        <v/>
      </c>
      <c r="J334" s="23" t="str">
        <f aca="false">IF($B334="","",IFERROR(INDEX(고객사!$G$5:$G$104,MATCH($B334,고객사!$A$5:$A$104,0)),""))</f>
        <v/>
      </c>
      <c r="K334" s="16"/>
      <c r="L334" s="22" t="str">
        <f aca="false">IF($B334="","",K334*IFERROR(INDEX(고객사!$L$5:$L$104,MATCH($B334,고객사!$A$5:$A$104,0)),0))</f>
        <v/>
      </c>
      <c r="M334" s="23" t="str">
        <f aca="false">IF($B334="","",IF(AND(J334="N",G334&gt;0,K334=0,IFERROR(INDEX(고객사!$H$5:$H$104,MATCH($B334,고객사!$A$5:$A$104,0)),"")="자사 차량 운행"),"차량 미배정",""))</f>
        <v/>
      </c>
      <c r="N334" s="22" t="str">
        <f aca="false">IF($B334="","",IFERROR(INDEX(고객사!$J$5:$J$104,MATCH($B334,고객사!$A$5:$A$104,0)),0))</f>
        <v/>
      </c>
      <c r="O334" s="22" t="str">
        <f aca="false">IF($B334="","",G334*N334)</f>
        <v/>
      </c>
      <c r="P334" s="22" t="str">
        <f aca="false">IF($B334="","",IFERROR(INDEX(고객사!$K$5:$K$104,MATCH($B334,고객사!$A$5:$A$104,0)),0))</f>
        <v/>
      </c>
      <c r="Q334" s="22" t="str">
        <f aca="false">IF($B334="","",G334*P334)</f>
        <v/>
      </c>
      <c r="R334" s="22" t="str">
        <f aca="false">IF($B334="","",O334-Q334-L334)</f>
        <v/>
      </c>
      <c r="S334" s="21" t="str">
        <f aca="false">IF(OR($B334="",N(O334)=0),"",R334/O334)</f>
        <v/>
      </c>
      <c r="T334" s="14"/>
      <c r="U334" s="19" t="n">
        <f aca="false">IF(OR($B334="",$A334=""),0,IF(COUNTIFS($A$5:$A334,$A334,$B$5:$B334,$B334)=1,1,0))</f>
        <v>0</v>
      </c>
    </row>
    <row r="335" customFormat="false" ht="15" hidden="false" customHeight="false" outlineLevel="0" collapsed="false">
      <c r="A335" s="17"/>
      <c r="B335" s="13"/>
      <c r="C335" s="20" t="str">
        <f aca="false">IF($B335="","",IFERROR(INDEX(고객사!$B$5:$B$104,MATCH($B335,고객사!$A$5:$A$104,0)),"코드 확인"))</f>
        <v/>
      </c>
      <c r="D335" s="15"/>
      <c r="E335" s="15"/>
      <c r="F335" s="16"/>
      <c r="G335" s="16"/>
      <c r="H335" s="21" t="str">
        <f aca="false">IF(OR($B335="",F335=0),"",G335/F335)</f>
        <v/>
      </c>
      <c r="I335" s="22" t="str">
        <f aca="false">IF($B335="","",MAX(F335-G335,0))</f>
        <v/>
      </c>
      <c r="J335" s="23" t="str">
        <f aca="false">IF($B335="","",IFERROR(INDEX(고객사!$G$5:$G$104,MATCH($B335,고객사!$A$5:$A$104,0)),""))</f>
        <v/>
      </c>
      <c r="K335" s="16"/>
      <c r="L335" s="22" t="str">
        <f aca="false">IF($B335="","",K335*IFERROR(INDEX(고객사!$L$5:$L$104,MATCH($B335,고객사!$A$5:$A$104,0)),0))</f>
        <v/>
      </c>
      <c r="M335" s="23" t="str">
        <f aca="false">IF($B335="","",IF(AND(J335="N",G335&gt;0,K335=0,IFERROR(INDEX(고객사!$H$5:$H$104,MATCH($B335,고객사!$A$5:$A$104,0)),"")="자사 차량 운행"),"차량 미배정",""))</f>
        <v/>
      </c>
      <c r="N335" s="22" t="str">
        <f aca="false">IF($B335="","",IFERROR(INDEX(고객사!$J$5:$J$104,MATCH($B335,고객사!$A$5:$A$104,0)),0))</f>
        <v/>
      </c>
      <c r="O335" s="22" t="str">
        <f aca="false">IF($B335="","",G335*N335)</f>
        <v/>
      </c>
      <c r="P335" s="22" t="str">
        <f aca="false">IF($B335="","",IFERROR(INDEX(고객사!$K$5:$K$104,MATCH($B335,고객사!$A$5:$A$104,0)),0))</f>
        <v/>
      </c>
      <c r="Q335" s="22" t="str">
        <f aca="false">IF($B335="","",G335*P335)</f>
        <v/>
      </c>
      <c r="R335" s="22" t="str">
        <f aca="false">IF($B335="","",O335-Q335-L335)</f>
        <v/>
      </c>
      <c r="S335" s="21" t="str">
        <f aca="false">IF(OR($B335="",N(O335)=0),"",R335/O335)</f>
        <v/>
      </c>
      <c r="T335" s="14"/>
      <c r="U335" s="19" t="n">
        <f aca="false">IF(OR($B335="",$A335=""),0,IF(COUNTIFS($A$5:$A335,$A335,$B$5:$B335,$B335)=1,1,0))</f>
        <v>0</v>
      </c>
    </row>
    <row r="336" customFormat="false" ht="15" hidden="false" customHeight="false" outlineLevel="0" collapsed="false">
      <c r="A336" s="17"/>
      <c r="B336" s="13"/>
      <c r="C336" s="20" t="str">
        <f aca="false">IF($B336="","",IFERROR(INDEX(고객사!$B$5:$B$104,MATCH($B336,고객사!$A$5:$A$104,0)),"코드 확인"))</f>
        <v/>
      </c>
      <c r="D336" s="15"/>
      <c r="E336" s="15"/>
      <c r="F336" s="16"/>
      <c r="G336" s="16"/>
      <c r="H336" s="21" t="str">
        <f aca="false">IF(OR($B336="",F336=0),"",G336/F336)</f>
        <v/>
      </c>
      <c r="I336" s="22" t="str">
        <f aca="false">IF($B336="","",MAX(F336-G336,0))</f>
        <v/>
      </c>
      <c r="J336" s="23" t="str">
        <f aca="false">IF($B336="","",IFERROR(INDEX(고객사!$G$5:$G$104,MATCH($B336,고객사!$A$5:$A$104,0)),""))</f>
        <v/>
      </c>
      <c r="K336" s="16"/>
      <c r="L336" s="22" t="str">
        <f aca="false">IF($B336="","",K336*IFERROR(INDEX(고객사!$L$5:$L$104,MATCH($B336,고객사!$A$5:$A$104,0)),0))</f>
        <v/>
      </c>
      <c r="M336" s="23" t="str">
        <f aca="false">IF($B336="","",IF(AND(J336="N",G336&gt;0,K336=0,IFERROR(INDEX(고객사!$H$5:$H$104,MATCH($B336,고객사!$A$5:$A$104,0)),"")="자사 차량 운행"),"차량 미배정",""))</f>
        <v/>
      </c>
      <c r="N336" s="22" t="str">
        <f aca="false">IF($B336="","",IFERROR(INDEX(고객사!$J$5:$J$104,MATCH($B336,고객사!$A$5:$A$104,0)),0))</f>
        <v/>
      </c>
      <c r="O336" s="22" t="str">
        <f aca="false">IF($B336="","",G336*N336)</f>
        <v/>
      </c>
      <c r="P336" s="22" t="str">
        <f aca="false">IF($B336="","",IFERROR(INDEX(고객사!$K$5:$K$104,MATCH($B336,고객사!$A$5:$A$104,0)),0))</f>
        <v/>
      </c>
      <c r="Q336" s="22" t="str">
        <f aca="false">IF($B336="","",G336*P336)</f>
        <v/>
      </c>
      <c r="R336" s="22" t="str">
        <f aca="false">IF($B336="","",O336-Q336-L336)</f>
        <v/>
      </c>
      <c r="S336" s="21" t="str">
        <f aca="false">IF(OR($B336="",N(O336)=0),"",R336/O336)</f>
        <v/>
      </c>
      <c r="T336" s="14"/>
      <c r="U336" s="19" t="n">
        <f aca="false">IF(OR($B336="",$A336=""),0,IF(COUNTIFS($A$5:$A336,$A336,$B$5:$B336,$B336)=1,1,0))</f>
        <v>0</v>
      </c>
    </row>
    <row r="337" customFormat="false" ht="15" hidden="false" customHeight="false" outlineLevel="0" collapsed="false">
      <c r="A337" s="17"/>
      <c r="B337" s="13"/>
      <c r="C337" s="20" t="str">
        <f aca="false">IF($B337="","",IFERROR(INDEX(고객사!$B$5:$B$104,MATCH($B337,고객사!$A$5:$A$104,0)),"코드 확인"))</f>
        <v/>
      </c>
      <c r="D337" s="15"/>
      <c r="E337" s="15"/>
      <c r="F337" s="16"/>
      <c r="G337" s="16"/>
      <c r="H337" s="21" t="str">
        <f aca="false">IF(OR($B337="",F337=0),"",G337/F337)</f>
        <v/>
      </c>
      <c r="I337" s="22" t="str">
        <f aca="false">IF($B337="","",MAX(F337-G337,0))</f>
        <v/>
      </c>
      <c r="J337" s="23" t="str">
        <f aca="false">IF($B337="","",IFERROR(INDEX(고객사!$G$5:$G$104,MATCH($B337,고객사!$A$5:$A$104,0)),""))</f>
        <v/>
      </c>
      <c r="K337" s="16"/>
      <c r="L337" s="22" t="str">
        <f aca="false">IF($B337="","",K337*IFERROR(INDEX(고객사!$L$5:$L$104,MATCH($B337,고객사!$A$5:$A$104,0)),0))</f>
        <v/>
      </c>
      <c r="M337" s="23" t="str">
        <f aca="false">IF($B337="","",IF(AND(J337="N",G337&gt;0,K337=0,IFERROR(INDEX(고객사!$H$5:$H$104,MATCH($B337,고객사!$A$5:$A$104,0)),"")="자사 차량 운행"),"차량 미배정",""))</f>
        <v/>
      </c>
      <c r="N337" s="22" t="str">
        <f aca="false">IF($B337="","",IFERROR(INDEX(고객사!$J$5:$J$104,MATCH($B337,고객사!$A$5:$A$104,0)),0))</f>
        <v/>
      </c>
      <c r="O337" s="22" t="str">
        <f aca="false">IF($B337="","",G337*N337)</f>
        <v/>
      </c>
      <c r="P337" s="22" t="str">
        <f aca="false">IF($B337="","",IFERROR(INDEX(고객사!$K$5:$K$104,MATCH($B337,고객사!$A$5:$A$104,0)),0))</f>
        <v/>
      </c>
      <c r="Q337" s="22" t="str">
        <f aca="false">IF($B337="","",G337*P337)</f>
        <v/>
      </c>
      <c r="R337" s="22" t="str">
        <f aca="false">IF($B337="","",O337-Q337-L337)</f>
        <v/>
      </c>
      <c r="S337" s="21" t="str">
        <f aca="false">IF(OR($B337="",N(O337)=0),"",R337/O337)</f>
        <v/>
      </c>
      <c r="T337" s="14"/>
      <c r="U337" s="19" t="n">
        <f aca="false">IF(OR($B337="",$A337=""),0,IF(COUNTIFS($A$5:$A337,$A337,$B$5:$B337,$B337)=1,1,0))</f>
        <v>0</v>
      </c>
    </row>
    <row r="338" customFormat="false" ht="15" hidden="false" customHeight="false" outlineLevel="0" collapsed="false">
      <c r="A338" s="17"/>
      <c r="B338" s="13"/>
      <c r="C338" s="20" t="str">
        <f aca="false">IF($B338="","",IFERROR(INDEX(고객사!$B$5:$B$104,MATCH($B338,고객사!$A$5:$A$104,0)),"코드 확인"))</f>
        <v/>
      </c>
      <c r="D338" s="15"/>
      <c r="E338" s="15"/>
      <c r="F338" s="16"/>
      <c r="G338" s="16"/>
      <c r="H338" s="21" t="str">
        <f aca="false">IF(OR($B338="",F338=0),"",G338/F338)</f>
        <v/>
      </c>
      <c r="I338" s="22" t="str">
        <f aca="false">IF($B338="","",MAX(F338-G338,0))</f>
        <v/>
      </c>
      <c r="J338" s="23" t="str">
        <f aca="false">IF($B338="","",IFERROR(INDEX(고객사!$G$5:$G$104,MATCH($B338,고객사!$A$5:$A$104,0)),""))</f>
        <v/>
      </c>
      <c r="K338" s="16"/>
      <c r="L338" s="22" t="str">
        <f aca="false">IF($B338="","",K338*IFERROR(INDEX(고객사!$L$5:$L$104,MATCH($B338,고객사!$A$5:$A$104,0)),0))</f>
        <v/>
      </c>
      <c r="M338" s="23" t="str">
        <f aca="false">IF($B338="","",IF(AND(J338="N",G338&gt;0,K338=0,IFERROR(INDEX(고객사!$H$5:$H$104,MATCH($B338,고객사!$A$5:$A$104,0)),"")="자사 차량 운행"),"차량 미배정",""))</f>
        <v/>
      </c>
      <c r="N338" s="22" t="str">
        <f aca="false">IF($B338="","",IFERROR(INDEX(고객사!$J$5:$J$104,MATCH($B338,고객사!$A$5:$A$104,0)),0))</f>
        <v/>
      </c>
      <c r="O338" s="22" t="str">
        <f aca="false">IF($B338="","",G338*N338)</f>
        <v/>
      </c>
      <c r="P338" s="22" t="str">
        <f aca="false">IF($B338="","",IFERROR(INDEX(고객사!$K$5:$K$104,MATCH($B338,고객사!$A$5:$A$104,0)),0))</f>
        <v/>
      </c>
      <c r="Q338" s="22" t="str">
        <f aca="false">IF($B338="","",G338*P338)</f>
        <v/>
      </c>
      <c r="R338" s="22" t="str">
        <f aca="false">IF($B338="","",O338-Q338-L338)</f>
        <v/>
      </c>
      <c r="S338" s="21" t="str">
        <f aca="false">IF(OR($B338="",N(O338)=0),"",R338/O338)</f>
        <v/>
      </c>
      <c r="T338" s="14"/>
      <c r="U338" s="19" t="n">
        <f aca="false">IF(OR($B338="",$A338=""),0,IF(COUNTIFS($A$5:$A338,$A338,$B$5:$B338,$B338)=1,1,0))</f>
        <v>0</v>
      </c>
    </row>
    <row r="339" customFormat="false" ht="15" hidden="false" customHeight="false" outlineLevel="0" collapsed="false">
      <c r="A339" s="17"/>
      <c r="B339" s="13"/>
      <c r="C339" s="20" t="str">
        <f aca="false">IF($B339="","",IFERROR(INDEX(고객사!$B$5:$B$104,MATCH($B339,고객사!$A$5:$A$104,0)),"코드 확인"))</f>
        <v/>
      </c>
      <c r="D339" s="15"/>
      <c r="E339" s="15"/>
      <c r="F339" s="16"/>
      <c r="G339" s="16"/>
      <c r="H339" s="21" t="str">
        <f aca="false">IF(OR($B339="",F339=0),"",G339/F339)</f>
        <v/>
      </c>
      <c r="I339" s="22" t="str">
        <f aca="false">IF($B339="","",MAX(F339-G339,0))</f>
        <v/>
      </c>
      <c r="J339" s="23" t="str">
        <f aca="false">IF($B339="","",IFERROR(INDEX(고객사!$G$5:$G$104,MATCH($B339,고객사!$A$5:$A$104,0)),""))</f>
        <v/>
      </c>
      <c r="K339" s="16"/>
      <c r="L339" s="22" t="str">
        <f aca="false">IF($B339="","",K339*IFERROR(INDEX(고객사!$L$5:$L$104,MATCH($B339,고객사!$A$5:$A$104,0)),0))</f>
        <v/>
      </c>
      <c r="M339" s="23" t="str">
        <f aca="false">IF($B339="","",IF(AND(J339="N",G339&gt;0,K339=0,IFERROR(INDEX(고객사!$H$5:$H$104,MATCH($B339,고객사!$A$5:$A$104,0)),"")="자사 차량 운행"),"차량 미배정",""))</f>
        <v/>
      </c>
      <c r="N339" s="22" t="str">
        <f aca="false">IF($B339="","",IFERROR(INDEX(고객사!$J$5:$J$104,MATCH($B339,고객사!$A$5:$A$104,0)),0))</f>
        <v/>
      </c>
      <c r="O339" s="22" t="str">
        <f aca="false">IF($B339="","",G339*N339)</f>
        <v/>
      </c>
      <c r="P339" s="22" t="str">
        <f aca="false">IF($B339="","",IFERROR(INDEX(고객사!$K$5:$K$104,MATCH($B339,고객사!$A$5:$A$104,0)),0))</f>
        <v/>
      </c>
      <c r="Q339" s="22" t="str">
        <f aca="false">IF($B339="","",G339*P339)</f>
        <v/>
      </c>
      <c r="R339" s="22" t="str">
        <f aca="false">IF($B339="","",O339-Q339-L339)</f>
        <v/>
      </c>
      <c r="S339" s="21" t="str">
        <f aca="false">IF(OR($B339="",N(O339)=0),"",R339/O339)</f>
        <v/>
      </c>
      <c r="T339" s="14"/>
      <c r="U339" s="19" t="n">
        <f aca="false">IF(OR($B339="",$A339=""),0,IF(COUNTIFS($A$5:$A339,$A339,$B$5:$B339,$B339)=1,1,0))</f>
        <v>0</v>
      </c>
    </row>
    <row r="340" customFormat="false" ht="15" hidden="false" customHeight="false" outlineLevel="0" collapsed="false">
      <c r="A340" s="17"/>
      <c r="B340" s="13"/>
      <c r="C340" s="20" t="str">
        <f aca="false">IF($B340="","",IFERROR(INDEX(고객사!$B$5:$B$104,MATCH($B340,고객사!$A$5:$A$104,0)),"코드 확인"))</f>
        <v/>
      </c>
      <c r="D340" s="15"/>
      <c r="E340" s="15"/>
      <c r="F340" s="16"/>
      <c r="G340" s="16"/>
      <c r="H340" s="21" t="str">
        <f aca="false">IF(OR($B340="",F340=0),"",G340/F340)</f>
        <v/>
      </c>
      <c r="I340" s="22" t="str">
        <f aca="false">IF($B340="","",MAX(F340-G340,0))</f>
        <v/>
      </c>
      <c r="J340" s="23" t="str">
        <f aca="false">IF($B340="","",IFERROR(INDEX(고객사!$G$5:$G$104,MATCH($B340,고객사!$A$5:$A$104,0)),""))</f>
        <v/>
      </c>
      <c r="K340" s="16"/>
      <c r="L340" s="22" t="str">
        <f aca="false">IF($B340="","",K340*IFERROR(INDEX(고객사!$L$5:$L$104,MATCH($B340,고객사!$A$5:$A$104,0)),0))</f>
        <v/>
      </c>
      <c r="M340" s="23" t="str">
        <f aca="false">IF($B340="","",IF(AND(J340="N",G340&gt;0,K340=0,IFERROR(INDEX(고객사!$H$5:$H$104,MATCH($B340,고객사!$A$5:$A$104,0)),"")="자사 차량 운행"),"차량 미배정",""))</f>
        <v/>
      </c>
      <c r="N340" s="22" t="str">
        <f aca="false">IF($B340="","",IFERROR(INDEX(고객사!$J$5:$J$104,MATCH($B340,고객사!$A$5:$A$104,0)),0))</f>
        <v/>
      </c>
      <c r="O340" s="22" t="str">
        <f aca="false">IF($B340="","",G340*N340)</f>
        <v/>
      </c>
      <c r="P340" s="22" t="str">
        <f aca="false">IF($B340="","",IFERROR(INDEX(고객사!$K$5:$K$104,MATCH($B340,고객사!$A$5:$A$104,0)),0))</f>
        <v/>
      </c>
      <c r="Q340" s="22" t="str">
        <f aca="false">IF($B340="","",G340*P340)</f>
        <v/>
      </c>
      <c r="R340" s="22" t="str">
        <f aca="false">IF($B340="","",O340-Q340-L340)</f>
        <v/>
      </c>
      <c r="S340" s="21" t="str">
        <f aca="false">IF(OR($B340="",N(O340)=0),"",R340/O340)</f>
        <v/>
      </c>
      <c r="T340" s="14"/>
      <c r="U340" s="19" t="n">
        <f aca="false">IF(OR($B340="",$A340=""),0,IF(COUNTIFS($A$5:$A340,$A340,$B$5:$B340,$B340)=1,1,0))</f>
        <v>0</v>
      </c>
    </row>
    <row r="341" customFormat="false" ht="15" hidden="false" customHeight="false" outlineLevel="0" collapsed="false">
      <c r="A341" s="17"/>
      <c r="B341" s="13"/>
      <c r="C341" s="20" t="str">
        <f aca="false">IF($B341="","",IFERROR(INDEX(고객사!$B$5:$B$104,MATCH($B341,고객사!$A$5:$A$104,0)),"코드 확인"))</f>
        <v/>
      </c>
      <c r="D341" s="15"/>
      <c r="E341" s="15"/>
      <c r="F341" s="16"/>
      <c r="G341" s="16"/>
      <c r="H341" s="21" t="str">
        <f aca="false">IF(OR($B341="",F341=0),"",G341/F341)</f>
        <v/>
      </c>
      <c r="I341" s="22" t="str">
        <f aca="false">IF($B341="","",MAX(F341-G341,0))</f>
        <v/>
      </c>
      <c r="J341" s="23" t="str">
        <f aca="false">IF($B341="","",IFERROR(INDEX(고객사!$G$5:$G$104,MATCH($B341,고객사!$A$5:$A$104,0)),""))</f>
        <v/>
      </c>
      <c r="K341" s="16"/>
      <c r="L341" s="22" t="str">
        <f aca="false">IF($B341="","",K341*IFERROR(INDEX(고객사!$L$5:$L$104,MATCH($B341,고객사!$A$5:$A$104,0)),0))</f>
        <v/>
      </c>
      <c r="M341" s="23" t="str">
        <f aca="false">IF($B341="","",IF(AND(J341="N",G341&gt;0,K341=0,IFERROR(INDEX(고객사!$H$5:$H$104,MATCH($B341,고객사!$A$5:$A$104,0)),"")="자사 차량 운행"),"차량 미배정",""))</f>
        <v/>
      </c>
      <c r="N341" s="22" t="str">
        <f aca="false">IF($B341="","",IFERROR(INDEX(고객사!$J$5:$J$104,MATCH($B341,고객사!$A$5:$A$104,0)),0))</f>
        <v/>
      </c>
      <c r="O341" s="22" t="str">
        <f aca="false">IF($B341="","",G341*N341)</f>
        <v/>
      </c>
      <c r="P341" s="22" t="str">
        <f aca="false">IF($B341="","",IFERROR(INDEX(고객사!$K$5:$K$104,MATCH($B341,고객사!$A$5:$A$104,0)),0))</f>
        <v/>
      </c>
      <c r="Q341" s="22" t="str">
        <f aca="false">IF($B341="","",G341*P341)</f>
        <v/>
      </c>
      <c r="R341" s="22" t="str">
        <f aca="false">IF($B341="","",O341-Q341-L341)</f>
        <v/>
      </c>
      <c r="S341" s="21" t="str">
        <f aca="false">IF(OR($B341="",N(O341)=0),"",R341/O341)</f>
        <v/>
      </c>
      <c r="T341" s="14"/>
      <c r="U341" s="19" t="n">
        <f aca="false">IF(OR($B341="",$A341=""),0,IF(COUNTIFS($A$5:$A341,$A341,$B$5:$B341,$B341)=1,1,0))</f>
        <v>0</v>
      </c>
    </row>
    <row r="342" customFormat="false" ht="15" hidden="false" customHeight="false" outlineLevel="0" collapsed="false">
      <c r="A342" s="17"/>
      <c r="B342" s="13"/>
      <c r="C342" s="20" t="str">
        <f aca="false">IF($B342="","",IFERROR(INDEX(고객사!$B$5:$B$104,MATCH($B342,고객사!$A$5:$A$104,0)),"코드 확인"))</f>
        <v/>
      </c>
      <c r="D342" s="15"/>
      <c r="E342" s="15"/>
      <c r="F342" s="16"/>
      <c r="G342" s="16"/>
      <c r="H342" s="21" t="str">
        <f aca="false">IF(OR($B342="",F342=0),"",G342/F342)</f>
        <v/>
      </c>
      <c r="I342" s="22" t="str">
        <f aca="false">IF($B342="","",MAX(F342-G342,0))</f>
        <v/>
      </c>
      <c r="J342" s="23" t="str">
        <f aca="false">IF($B342="","",IFERROR(INDEX(고객사!$G$5:$G$104,MATCH($B342,고객사!$A$5:$A$104,0)),""))</f>
        <v/>
      </c>
      <c r="K342" s="16"/>
      <c r="L342" s="22" t="str">
        <f aca="false">IF($B342="","",K342*IFERROR(INDEX(고객사!$L$5:$L$104,MATCH($B342,고객사!$A$5:$A$104,0)),0))</f>
        <v/>
      </c>
      <c r="M342" s="23" t="str">
        <f aca="false">IF($B342="","",IF(AND(J342="N",G342&gt;0,K342=0,IFERROR(INDEX(고객사!$H$5:$H$104,MATCH($B342,고객사!$A$5:$A$104,0)),"")="자사 차량 운행"),"차량 미배정",""))</f>
        <v/>
      </c>
      <c r="N342" s="22" t="str">
        <f aca="false">IF($B342="","",IFERROR(INDEX(고객사!$J$5:$J$104,MATCH($B342,고객사!$A$5:$A$104,0)),0))</f>
        <v/>
      </c>
      <c r="O342" s="22" t="str">
        <f aca="false">IF($B342="","",G342*N342)</f>
        <v/>
      </c>
      <c r="P342" s="22" t="str">
        <f aca="false">IF($B342="","",IFERROR(INDEX(고객사!$K$5:$K$104,MATCH($B342,고객사!$A$5:$A$104,0)),0))</f>
        <v/>
      </c>
      <c r="Q342" s="22" t="str">
        <f aca="false">IF($B342="","",G342*P342)</f>
        <v/>
      </c>
      <c r="R342" s="22" t="str">
        <f aca="false">IF($B342="","",O342-Q342-L342)</f>
        <v/>
      </c>
      <c r="S342" s="21" t="str">
        <f aca="false">IF(OR($B342="",N(O342)=0),"",R342/O342)</f>
        <v/>
      </c>
      <c r="T342" s="14"/>
      <c r="U342" s="19" t="n">
        <f aca="false">IF(OR($B342="",$A342=""),0,IF(COUNTIFS($A$5:$A342,$A342,$B$5:$B342,$B342)=1,1,0))</f>
        <v>0</v>
      </c>
    </row>
    <row r="343" customFormat="false" ht="15" hidden="false" customHeight="false" outlineLevel="0" collapsed="false">
      <c r="A343" s="17"/>
      <c r="B343" s="13"/>
      <c r="C343" s="20" t="str">
        <f aca="false">IF($B343="","",IFERROR(INDEX(고객사!$B$5:$B$104,MATCH($B343,고객사!$A$5:$A$104,0)),"코드 확인"))</f>
        <v/>
      </c>
      <c r="D343" s="15"/>
      <c r="E343" s="15"/>
      <c r="F343" s="16"/>
      <c r="G343" s="16"/>
      <c r="H343" s="21" t="str">
        <f aca="false">IF(OR($B343="",F343=0),"",G343/F343)</f>
        <v/>
      </c>
      <c r="I343" s="22" t="str">
        <f aca="false">IF($B343="","",MAX(F343-G343,0))</f>
        <v/>
      </c>
      <c r="J343" s="23" t="str">
        <f aca="false">IF($B343="","",IFERROR(INDEX(고객사!$G$5:$G$104,MATCH($B343,고객사!$A$5:$A$104,0)),""))</f>
        <v/>
      </c>
      <c r="K343" s="16"/>
      <c r="L343" s="22" t="str">
        <f aca="false">IF($B343="","",K343*IFERROR(INDEX(고객사!$L$5:$L$104,MATCH($B343,고객사!$A$5:$A$104,0)),0))</f>
        <v/>
      </c>
      <c r="M343" s="23" t="str">
        <f aca="false">IF($B343="","",IF(AND(J343="N",G343&gt;0,K343=0,IFERROR(INDEX(고객사!$H$5:$H$104,MATCH($B343,고객사!$A$5:$A$104,0)),"")="자사 차량 운행"),"차량 미배정",""))</f>
        <v/>
      </c>
      <c r="N343" s="22" t="str">
        <f aca="false">IF($B343="","",IFERROR(INDEX(고객사!$J$5:$J$104,MATCH($B343,고객사!$A$5:$A$104,0)),0))</f>
        <v/>
      </c>
      <c r="O343" s="22" t="str">
        <f aca="false">IF($B343="","",G343*N343)</f>
        <v/>
      </c>
      <c r="P343" s="22" t="str">
        <f aca="false">IF($B343="","",IFERROR(INDEX(고객사!$K$5:$K$104,MATCH($B343,고객사!$A$5:$A$104,0)),0))</f>
        <v/>
      </c>
      <c r="Q343" s="22" t="str">
        <f aca="false">IF($B343="","",G343*P343)</f>
        <v/>
      </c>
      <c r="R343" s="22" t="str">
        <f aca="false">IF($B343="","",O343-Q343-L343)</f>
        <v/>
      </c>
      <c r="S343" s="21" t="str">
        <f aca="false">IF(OR($B343="",N(O343)=0),"",R343/O343)</f>
        <v/>
      </c>
      <c r="T343" s="14"/>
      <c r="U343" s="19" t="n">
        <f aca="false">IF(OR($B343="",$A343=""),0,IF(COUNTIFS($A$5:$A343,$A343,$B$5:$B343,$B343)=1,1,0))</f>
        <v>0</v>
      </c>
    </row>
    <row r="344" customFormat="false" ht="15" hidden="false" customHeight="false" outlineLevel="0" collapsed="false">
      <c r="A344" s="17"/>
      <c r="B344" s="13"/>
      <c r="C344" s="20" t="str">
        <f aca="false">IF($B344="","",IFERROR(INDEX(고객사!$B$5:$B$104,MATCH($B344,고객사!$A$5:$A$104,0)),"코드 확인"))</f>
        <v/>
      </c>
      <c r="D344" s="15"/>
      <c r="E344" s="15"/>
      <c r="F344" s="16"/>
      <c r="G344" s="16"/>
      <c r="H344" s="21" t="str">
        <f aca="false">IF(OR($B344="",F344=0),"",G344/F344)</f>
        <v/>
      </c>
      <c r="I344" s="22" t="str">
        <f aca="false">IF($B344="","",MAX(F344-G344,0))</f>
        <v/>
      </c>
      <c r="J344" s="23" t="str">
        <f aca="false">IF($B344="","",IFERROR(INDEX(고객사!$G$5:$G$104,MATCH($B344,고객사!$A$5:$A$104,0)),""))</f>
        <v/>
      </c>
      <c r="K344" s="16"/>
      <c r="L344" s="22" t="str">
        <f aca="false">IF($B344="","",K344*IFERROR(INDEX(고객사!$L$5:$L$104,MATCH($B344,고객사!$A$5:$A$104,0)),0))</f>
        <v/>
      </c>
      <c r="M344" s="23" t="str">
        <f aca="false">IF($B344="","",IF(AND(J344="N",G344&gt;0,K344=0,IFERROR(INDEX(고객사!$H$5:$H$104,MATCH($B344,고객사!$A$5:$A$104,0)),"")="자사 차량 운행"),"차량 미배정",""))</f>
        <v/>
      </c>
      <c r="N344" s="22" t="str">
        <f aca="false">IF($B344="","",IFERROR(INDEX(고객사!$J$5:$J$104,MATCH($B344,고객사!$A$5:$A$104,0)),0))</f>
        <v/>
      </c>
      <c r="O344" s="22" t="str">
        <f aca="false">IF($B344="","",G344*N344)</f>
        <v/>
      </c>
      <c r="P344" s="22" t="str">
        <f aca="false">IF($B344="","",IFERROR(INDEX(고객사!$K$5:$K$104,MATCH($B344,고객사!$A$5:$A$104,0)),0))</f>
        <v/>
      </c>
      <c r="Q344" s="22" t="str">
        <f aca="false">IF($B344="","",G344*P344)</f>
        <v/>
      </c>
      <c r="R344" s="22" t="str">
        <f aca="false">IF($B344="","",O344-Q344-L344)</f>
        <v/>
      </c>
      <c r="S344" s="21" t="str">
        <f aca="false">IF(OR($B344="",N(O344)=0),"",R344/O344)</f>
        <v/>
      </c>
      <c r="T344" s="14"/>
      <c r="U344" s="19" t="n">
        <f aca="false">IF(OR($B344="",$A344=""),0,IF(COUNTIFS($A$5:$A344,$A344,$B$5:$B344,$B344)=1,1,0))</f>
        <v>0</v>
      </c>
    </row>
    <row r="345" customFormat="false" ht="15" hidden="false" customHeight="false" outlineLevel="0" collapsed="false">
      <c r="A345" s="17"/>
      <c r="B345" s="13"/>
      <c r="C345" s="20" t="str">
        <f aca="false">IF($B345="","",IFERROR(INDEX(고객사!$B$5:$B$104,MATCH($B345,고객사!$A$5:$A$104,0)),"코드 확인"))</f>
        <v/>
      </c>
      <c r="D345" s="15"/>
      <c r="E345" s="15"/>
      <c r="F345" s="16"/>
      <c r="G345" s="16"/>
      <c r="H345" s="21" t="str">
        <f aca="false">IF(OR($B345="",F345=0),"",G345/F345)</f>
        <v/>
      </c>
      <c r="I345" s="22" t="str">
        <f aca="false">IF($B345="","",MAX(F345-G345,0))</f>
        <v/>
      </c>
      <c r="J345" s="23" t="str">
        <f aca="false">IF($B345="","",IFERROR(INDEX(고객사!$G$5:$G$104,MATCH($B345,고객사!$A$5:$A$104,0)),""))</f>
        <v/>
      </c>
      <c r="K345" s="16"/>
      <c r="L345" s="22" t="str">
        <f aca="false">IF($B345="","",K345*IFERROR(INDEX(고객사!$L$5:$L$104,MATCH($B345,고객사!$A$5:$A$104,0)),0))</f>
        <v/>
      </c>
      <c r="M345" s="23" t="str">
        <f aca="false">IF($B345="","",IF(AND(J345="N",G345&gt;0,K345=0,IFERROR(INDEX(고객사!$H$5:$H$104,MATCH($B345,고객사!$A$5:$A$104,0)),"")="자사 차량 운행"),"차량 미배정",""))</f>
        <v/>
      </c>
      <c r="N345" s="22" t="str">
        <f aca="false">IF($B345="","",IFERROR(INDEX(고객사!$J$5:$J$104,MATCH($B345,고객사!$A$5:$A$104,0)),0))</f>
        <v/>
      </c>
      <c r="O345" s="22" t="str">
        <f aca="false">IF($B345="","",G345*N345)</f>
        <v/>
      </c>
      <c r="P345" s="22" t="str">
        <f aca="false">IF($B345="","",IFERROR(INDEX(고객사!$K$5:$K$104,MATCH($B345,고객사!$A$5:$A$104,0)),0))</f>
        <v/>
      </c>
      <c r="Q345" s="22" t="str">
        <f aca="false">IF($B345="","",G345*P345)</f>
        <v/>
      </c>
      <c r="R345" s="22" t="str">
        <f aca="false">IF($B345="","",O345-Q345-L345)</f>
        <v/>
      </c>
      <c r="S345" s="21" t="str">
        <f aca="false">IF(OR($B345="",N(O345)=0),"",R345/O345)</f>
        <v/>
      </c>
      <c r="T345" s="14"/>
      <c r="U345" s="19" t="n">
        <f aca="false">IF(OR($B345="",$A345=""),0,IF(COUNTIFS($A$5:$A345,$A345,$B$5:$B345,$B345)=1,1,0))</f>
        <v>0</v>
      </c>
    </row>
    <row r="346" customFormat="false" ht="15" hidden="false" customHeight="false" outlineLevel="0" collapsed="false">
      <c r="A346" s="17"/>
      <c r="B346" s="13"/>
      <c r="C346" s="20" t="str">
        <f aca="false">IF($B346="","",IFERROR(INDEX(고객사!$B$5:$B$104,MATCH($B346,고객사!$A$5:$A$104,0)),"코드 확인"))</f>
        <v/>
      </c>
      <c r="D346" s="15"/>
      <c r="E346" s="15"/>
      <c r="F346" s="16"/>
      <c r="G346" s="16"/>
      <c r="H346" s="21" t="str">
        <f aca="false">IF(OR($B346="",F346=0),"",G346/F346)</f>
        <v/>
      </c>
      <c r="I346" s="22" t="str">
        <f aca="false">IF($B346="","",MAX(F346-G346,0))</f>
        <v/>
      </c>
      <c r="J346" s="23" t="str">
        <f aca="false">IF($B346="","",IFERROR(INDEX(고객사!$G$5:$G$104,MATCH($B346,고객사!$A$5:$A$104,0)),""))</f>
        <v/>
      </c>
      <c r="K346" s="16"/>
      <c r="L346" s="22" t="str">
        <f aca="false">IF($B346="","",K346*IFERROR(INDEX(고객사!$L$5:$L$104,MATCH($B346,고객사!$A$5:$A$104,0)),0))</f>
        <v/>
      </c>
      <c r="M346" s="23" t="str">
        <f aca="false">IF($B346="","",IF(AND(J346="N",G346&gt;0,K346=0,IFERROR(INDEX(고객사!$H$5:$H$104,MATCH($B346,고객사!$A$5:$A$104,0)),"")="자사 차량 운행"),"차량 미배정",""))</f>
        <v/>
      </c>
      <c r="N346" s="22" t="str">
        <f aca="false">IF($B346="","",IFERROR(INDEX(고객사!$J$5:$J$104,MATCH($B346,고객사!$A$5:$A$104,0)),0))</f>
        <v/>
      </c>
      <c r="O346" s="22" t="str">
        <f aca="false">IF($B346="","",G346*N346)</f>
        <v/>
      </c>
      <c r="P346" s="22" t="str">
        <f aca="false">IF($B346="","",IFERROR(INDEX(고객사!$K$5:$K$104,MATCH($B346,고객사!$A$5:$A$104,0)),0))</f>
        <v/>
      </c>
      <c r="Q346" s="22" t="str">
        <f aca="false">IF($B346="","",G346*P346)</f>
        <v/>
      </c>
      <c r="R346" s="22" t="str">
        <f aca="false">IF($B346="","",O346-Q346-L346)</f>
        <v/>
      </c>
      <c r="S346" s="21" t="str">
        <f aca="false">IF(OR($B346="",N(O346)=0),"",R346/O346)</f>
        <v/>
      </c>
      <c r="T346" s="14"/>
      <c r="U346" s="19" t="n">
        <f aca="false">IF(OR($B346="",$A346=""),0,IF(COUNTIFS($A$5:$A346,$A346,$B$5:$B346,$B346)=1,1,0))</f>
        <v>0</v>
      </c>
    </row>
    <row r="347" customFormat="false" ht="15" hidden="false" customHeight="false" outlineLevel="0" collapsed="false">
      <c r="A347" s="17"/>
      <c r="B347" s="13"/>
      <c r="C347" s="20" t="str">
        <f aca="false">IF($B347="","",IFERROR(INDEX(고객사!$B$5:$B$104,MATCH($B347,고객사!$A$5:$A$104,0)),"코드 확인"))</f>
        <v/>
      </c>
      <c r="D347" s="15"/>
      <c r="E347" s="15"/>
      <c r="F347" s="16"/>
      <c r="G347" s="16"/>
      <c r="H347" s="21" t="str">
        <f aca="false">IF(OR($B347="",F347=0),"",G347/F347)</f>
        <v/>
      </c>
      <c r="I347" s="22" t="str">
        <f aca="false">IF($B347="","",MAX(F347-G347,0))</f>
        <v/>
      </c>
      <c r="J347" s="23" t="str">
        <f aca="false">IF($B347="","",IFERROR(INDEX(고객사!$G$5:$G$104,MATCH($B347,고객사!$A$5:$A$104,0)),""))</f>
        <v/>
      </c>
      <c r="K347" s="16"/>
      <c r="L347" s="22" t="str">
        <f aca="false">IF($B347="","",K347*IFERROR(INDEX(고객사!$L$5:$L$104,MATCH($B347,고객사!$A$5:$A$104,0)),0))</f>
        <v/>
      </c>
      <c r="M347" s="23" t="str">
        <f aca="false">IF($B347="","",IF(AND(J347="N",G347&gt;0,K347=0,IFERROR(INDEX(고객사!$H$5:$H$104,MATCH($B347,고객사!$A$5:$A$104,0)),"")="자사 차량 운행"),"차량 미배정",""))</f>
        <v/>
      </c>
      <c r="N347" s="22" t="str">
        <f aca="false">IF($B347="","",IFERROR(INDEX(고객사!$J$5:$J$104,MATCH($B347,고객사!$A$5:$A$104,0)),0))</f>
        <v/>
      </c>
      <c r="O347" s="22" t="str">
        <f aca="false">IF($B347="","",G347*N347)</f>
        <v/>
      </c>
      <c r="P347" s="22" t="str">
        <f aca="false">IF($B347="","",IFERROR(INDEX(고객사!$K$5:$K$104,MATCH($B347,고객사!$A$5:$A$104,0)),0))</f>
        <v/>
      </c>
      <c r="Q347" s="22" t="str">
        <f aca="false">IF($B347="","",G347*P347)</f>
        <v/>
      </c>
      <c r="R347" s="22" t="str">
        <f aca="false">IF($B347="","",O347-Q347-L347)</f>
        <v/>
      </c>
      <c r="S347" s="21" t="str">
        <f aca="false">IF(OR($B347="",N(O347)=0),"",R347/O347)</f>
        <v/>
      </c>
      <c r="T347" s="14"/>
      <c r="U347" s="19" t="n">
        <f aca="false">IF(OR($B347="",$A347=""),0,IF(COUNTIFS($A$5:$A347,$A347,$B$5:$B347,$B347)=1,1,0))</f>
        <v>0</v>
      </c>
    </row>
    <row r="348" customFormat="false" ht="15" hidden="false" customHeight="false" outlineLevel="0" collapsed="false">
      <c r="A348" s="17"/>
      <c r="B348" s="13"/>
      <c r="C348" s="20" t="str">
        <f aca="false">IF($B348="","",IFERROR(INDEX(고객사!$B$5:$B$104,MATCH($B348,고객사!$A$5:$A$104,0)),"코드 확인"))</f>
        <v/>
      </c>
      <c r="D348" s="15"/>
      <c r="E348" s="15"/>
      <c r="F348" s="16"/>
      <c r="G348" s="16"/>
      <c r="H348" s="21" t="str">
        <f aca="false">IF(OR($B348="",F348=0),"",G348/F348)</f>
        <v/>
      </c>
      <c r="I348" s="22" t="str">
        <f aca="false">IF($B348="","",MAX(F348-G348,0))</f>
        <v/>
      </c>
      <c r="J348" s="23" t="str">
        <f aca="false">IF($B348="","",IFERROR(INDEX(고객사!$G$5:$G$104,MATCH($B348,고객사!$A$5:$A$104,0)),""))</f>
        <v/>
      </c>
      <c r="K348" s="16"/>
      <c r="L348" s="22" t="str">
        <f aca="false">IF($B348="","",K348*IFERROR(INDEX(고객사!$L$5:$L$104,MATCH($B348,고객사!$A$5:$A$104,0)),0))</f>
        <v/>
      </c>
      <c r="M348" s="23" t="str">
        <f aca="false">IF($B348="","",IF(AND(J348="N",G348&gt;0,K348=0,IFERROR(INDEX(고객사!$H$5:$H$104,MATCH($B348,고객사!$A$5:$A$104,0)),"")="자사 차량 운행"),"차량 미배정",""))</f>
        <v/>
      </c>
      <c r="N348" s="22" t="str">
        <f aca="false">IF($B348="","",IFERROR(INDEX(고객사!$J$5:$J$104,MATCH($B348,고객사!$A$5:$A$104,0)),0))</f>
        <v/>
      </c>
      <c r="O348" s="22" t="str">
        <f aca="false">IF($B348="","",G348*N348)</f>
        <v/>
      </c>
      <c r="P348" s="22" t="str">
        <f aca="false">IF($B348="","",IFERROR(INDEX(고객사!$K$5:$K$104,MATCH($B348,고객사!$A$5:$A$104,0)),0))</f>
        <v/>
      </c>
      <c r="Q348" s="22" t="str">
        <f aca="false">IF($B348="","",G348*P348)</f>
        <v/>
      </c>
      <c r="R348" s="22" t="str">
        <f aca="false">IF($B348="","",O348-Q348-L348)</f>
        <v/>
      </c>
      <c r="S348" s="21" t="str">
        <f aca="false">IF(OR($B348="",N(O348)=0),"",R348/O348)</f>
        <v/>
      </c>
      <c r="T348" s="14"/>
      <c r="U348" s="19" t="n">
        <f aca="false">IF(OR($B348="",$A348=""),0,IF(COUNTIFS($A$5:$A348,$A348,$B$5:$B348,$B348)=1,1,0))</f>
        <v>0</v>
      </c>
    </row>
    <row r="349" customFormat="false" ht="15" hidden="false" customHeight="false" outlineLevel="0" collapsed="false">
      <c r="A349" s="17"/>
      <c r="B349" s="13"/>
      <c r="C349" s="20" t="str">
        <f aca="false">IF($B349="","",IFERROR(INDEX(고객사!$B$5:$B$104,MATCH($B349,고객사!$A$5:$A$104,0)),"코드 확인"))</f>
        <v/>
      </c>
      <c r="D349" s="15"/>
      <c r="E349" s="15"/>
      <c r="F349" s="16"/>
      <c r="G349" s="16"/>
      <c r="H349" s="21" t="str">
        <f aca="false">IF(OR($B349="",F349=0),"",G349/F349)</f>
        <v/>
      </c>
      <c r="I349" s="22" t="str">
        <f aca="false">IF($B349="","",MAX(F349-G349,0))</f>
        <v/>
      </c>
      <c r="J349" s="23" t="str">
        <f aca="false">IF($B349="","",IFERROR(INDEX(고객사!$G$5:$G$104,MATCH($B349,고객사!$A$5:$A$104,0)),""))</f>
        <v/>
      </c>
      <c r="K349" s="16"/>
      <c r="L349" s="22" t="str">
        <f aca="false">IF($B349="","",K349*IFERROR(INDEX(고객사!$L$5:$L$104,MATCH($B349,고객사!$A$5:$A$104,0)),0))</f>
        <v/>
      </c>
      <c r="M349" s="23" t="str">
        <f aca="false">IF($B349="","",IF(AND(J349="N",G349&gt;0,K349=0,IFERROR(INDEX(고객사!$H$5:$H$104,MATCH($B349,고객사!$A$5:$A$104,0)),"")="자사 차량 운행"),"차량 미배정",""))</f>
        <v/>
      </c>
      <c r="N349" s="22" t="str">
        <f aca="false">IF($B349="","",IFERROR(INDEX(고객사!$J$5:$J$104,MATCH($B349,고객사!$A$5:$A$104,0)),0))</f>
        <v/>
      </c>
      <c r="O349" s="22" t="str">
        <f aca="false">IF($B349="","",G349*N349)</f>
        <v/>
      </c>
      <c r="P349" s="22" t="str">
        <f aca="false">IF($B349="","",IFERROR(INDEX(고객사!$K$5:$K$104,MATCH($B349,고객사!$A$5:$A$104,0)),0))</f>
        <v/>
      </c>
      <c r="Q349" s="22" t="str">
        <f aca="false">IF($B349="","",G349*P349)</f>
        <v/>
      </c>
      <c r="R349" s="22" t="str">
        <f aca="false">IF($B349="","",O349-Q349-L349)</f>
        <v/>
      </c>
      <c r="S349" s="21" t="str">
        <f aca="false">IF(OR($B349="",N(O349)=0),"",R349/O349)</f>
        <v/>
      </c>
      <c r="T349" s="14"/>
      <c r="U349" s="19" t="n">
        <f aca="false">IF(OR($B349="",$A349=""),0,IF(COUNTIFS($A$5:$A349,$A349,$B$5:$B349,$B349)=1,1,0))</f>
        <v>0</v>
      </c>
    </row>
    <row r="350" customFormat="false" ht="15" hidden="false" customHeight="false" outlineLevel="0" collapsed="false">
      <c r="A350" s="17"/>
      <c r="B350" s="13"/>
      <c r="C350" s="20" t="str">
        <f aca="false">IF($B350="","",IFERROR(INDEX(고객사!$B$5:$B$104,MATCH($B350,고객사!$A$5:$A$104,0)),"코드 확인"))</f>
        <v/>
      </c>
      <c r="D350" s="15"/>
      <c r="E350" s="15"/>
      <c r="F350" s="16"/>
      <c r="G350" s="16"/>
      <c r="H350" s="21" t="str">
        <f aca="false">IF(OR($B350="",F350=0),"",G350/F350)</f>
        <v/>
      </c>
      <c r="I350" s="22" t="str">
        <f aca="false">IF($B350="","",MAX(F350-G350,0))</f>
        <v/>
      </c>
      <c r="J350" s="23" t="str">
        <f aca="false">IF($B350="","",IFERROR(INDEX(고객사!$G$5:$G$104,MATCH($B350,고객사!$A$5:$A$104,0)),""))</f>
        <v/>
      </c>
      <c r="K350" s="16"/>
      <c r="L350" s="22" t="str">
        <f aca="false">IF($B350="","",K350*IFERROR(INDEX(고객사!$L$5:$L$104,MATCH($B350,고객사!$A$5:$A$104,0)),0))</f>
        <v/>
      </c>
      <c r="M350" s="23" t="str">
        <f aca="false">IF($B350="","",IF(AND(J350="N",G350&gt;0,K350=0,IFERROR(INDEX(고객사!$H$5:$H$104,MATCH($B350,고객사!$A$5:$A$104,0)),"")="자사 차량 운행"),"차량 미배정",""))</f>
        <v/>
      </c>
      <c r="N350" s="22" t="str">
        <f aca="false">IF($B350="","",IFERROR(INDEX(고객사!$J$5:$J$104,MATCH($B350,고객사!$A$5:$A$104,0)),0))</f>
        <v/>
      </c>
      <c r="O350" s="22" t="str">
        <f aca="false">IF($B350="","",G350*N350)</f>
        <v/>
      </c>
      <c r="P350" s="22" t="str">
        <f aca="false">IF($B350="","",IFERROR(INDEX(고객사!$K$5:$K$104,MATCH($B350,고객사!$A$5:$A$104,0)),0))</f>
        <v/>
      </c>
      <c r="Q350" s="22" t="str">
        <f aca="false">IF($B350="","",G350*P350)</f>
        <v/>
      </c>
      <c r="R350" s="22" t="str">
        <f aca="false">IF($B350="","",O350-Q350-L350)</f>
        <v/>
      </c>
      <c r="S350" s="21" t="str">
        <f aca="false">IF(OR($B350="",N(O350)=0),"",R350/O350)</f>
        <v/>
      </c>
      <c r="T350" s="14"/>
      <c r="U350" s="19" t="n">
        <f aca="false">IF(OR($B350="",$A350=""),0,IF(COUNTIFS($A$5:$A350,$A350,$B$5:$B350,$B350)=1,1,0))</f>
        <v>0</v>
      </c>
    </row>
    <row r="351" customFormat="false" ht="15" hidden="false" customHeight="false" outlineLevel="0" collapsed="false">
      <c r="A351" s="17"/>
      <c r="B351" s="13"/>
      <c r="C351" s="20" t="str">
        <f aca="false">IF($B351="","",IFERROR(INDEX(고객사!$B$5:$B$104,MATCH($B351,고객사!$A$5:$A$104,0)),"코드 확인"))</f>
        <v/>
      </c>
      <c r="D351" s="15"/>
      <c r="E351" s="15"/>
      <c r="F351" s="16"/>
      <c r="G351" s="16"/>
      <c r="H351" s="21" t="str">
        <f aca="false">IF(OR($B351="",F351=0),"",G351/F351)</f>
        <v/>
      </c>
      <c r="I351" s="22" t="str">
        <f aca="false">IF($B351="","",MAX(F351-G351,0))</f>
        <v/>
      </c>
      <c r="J351" s="23" t="str">
        <f aca="false">IF($B351="","",IFERROR(INDEX(고객사!$G$5:$G$104,MATCH($B351,고객사!$A$5:$A$104,0)),""))</f>
        <v/>
      </c>
      <c r="K351" s="16"/>
      <c r="L351" s="22" t="str">
        <f aca="false">IF($B351="","",K351*IFERROR(INDEX(고객사!$L$5:$L$104,MATCH($B351,고객사!$A$5:$A$104,0)),0))</f>
        <v/>
      </c>
      <c r="M351" s="23" t="str">
        <f aca="false">IF($B351="","",IF(AND(J351="N",G351&gt;0,K351=0,IFERROR(INDEX(고객사!$H$5:$H$104,MATCH($B351,고객사!$A$5:$A$104,0)),"")="자사 차량 운행"),"차량 미배정",""))</f>
        <v/>
      </c>
      <c r="N351" s="22" t="str">
        <f aca="false">IF($B351="","",IFERROR(INDEX(고객사!$J$5:$J$104,MATCH($B351,고객사!$A$5:$A$104,0)),0))</f>
        <v/>
      </c>
      <c r="O351" s="22" t="str">
        <f aca="false">IF($B351="","",G351*N351)</f>
        <v/>
      </c>
      <c r="P351" s="22" t="str">
        <f aca="false">IF($B351="","",IFERROR(INDEX(고객사!$K$5:$K$104,MATCH($B351,고객사!$A$5:$A$104,0)),0))</f>
        <v/>
      </c>
      <c r="Q351" s="22" t="str">
        <f aca="false">IF($B351="","",G351*P351)</f>
        <v/>
      </c>
      <c r="R351" s="22" t="str">
        <f aca="false">IF($B351="","",O351-Q351-L351)</f>
        <v/>
      </c>
      <c r="S351" s="21" t="str">
        <f aca="false">IF(OR($B351="",N(O351)=0),"",R351/O351)</f>
        <v/>
      </c>
      <c r="T351" s="14"/>
      <c r="U351" s="19" t="n">
        <f aca="false">IF(OR($B351="",$A351=""),0,IF(COUNTIFS($A$5:$A351,$A351,$B$5:$B351,$B351)=1,1,0))</f>
        <v>0</v>
      </c>
    </row>
    <row r="352" customFormat="false" ht="15" hidden="false" customHeight="false" outlineLevel="0" collapsed="false">
      <c r="A352" s="17"/>
      <c r="B352" s="13"/>
      <c r="C352" s="20" t="str">
        <f aca="false">IF($B352="","",IFERROR(INDEX(고객사!$B$5:$B$104,MATCH($B352,고객사!$A$5:$A$104,0)),"코드 확인"))</f>
        <v/>
      </c>
      <c r="D352" s="15"/>
      <c r="E352" s="15"/>
      <c r="F352" s="16"/>
      <c r="G352" s="16"/>
      <c r="H352" s="21" t="str">
        <f aca="false">IF(OR($B352="",F352=0),"",G352/F352)</f>
        <v/>
      </c>
      <c r="I352" s="22" t="str">
        <f aca="false">IF($B352="","",MAX(F352-G352,0))</f>
        <v/>
      </c>
      <c r="J352" s="23" t="str">
        <f aca="false">IF($B352="","",IFERROR(INDEX(고객사!$G$5:$G$104,MATCH($B352,고객사!$A$5:$A$104,0)),""))</f>
        <v/>
      </c>
      <c r="K352" s="16"/>
      <c r="L352" s="22" t="str">
        <f aca="false">IF($B352="","",K352*IFERROR(INDEX(고객사!$L$5:$L$104,MATCH($B352,고객사!$A$5:$A$104,0)),0))</f>
        <v/>
      </c>
      <c r="M352" s="23" t="str">
        <f aca="false">IF($B352="","",IF(AND(J352="N",G352&gt;0,K352=0,IFERROR(INDEX(고객사!$H$5:$H$104,MATCH($B352,고객사!$A$5:$A$104,0)),"")="자사 차량 운행"),"차량 미배정",""))</f>
        <v/>
      </c>
      <c r="N352" s="22" t="str">
        <f aca="false">IF($B352="","",IFERROR(INDEX(고객사!$J$5:$J$104,MATCH($B352,고객사!$A$5:$A$104,0)),0))</f>
        <v/>
      </c>
      <c r="O352" s="22" t="str">
        <f aca="false">IF($B352="","",G352*N352)</f>
        <v/>
      </c>
      <c r="P352" s="22" t="str">
        <f aca="false">IF($B352="","",IFERROR(INDEX(고객사!$K$5:$K$104,MATCH($B352,고객사!$A$5:$A$104,0)),0))</f>
        <v/>
      </c>
      <c r="Q352" s="22" t="str">
        <f aca="false">IF($B352="","",G352*P352)</f>
        <v/>
      </c>
      <c r="R352" s="22" t="str">
        <f aca="false">IF($B352="","",O352-Q352-L352)</f>
        <v/>
      </c>
      <c r="S352" s="21" t="str">
        <f aca="false">IF(OR($B352="",N(O352)=0),"",R352/O352)</f>
        <v/>
      </c>
      <c r="T352" s="14"/>
      <c r="U352" s="19" t="n">
        <f aca="false">IF(OR($B352="",$A352=""),0,IF(COUNTIFS($A$5:$A352,$A352,$B$5:$B352,$B352)=1,1,0))</f>
        <v>0</v>
      </c>
    </row>
    <row r="353" customFormat="false" ht="15" hidden="false" customHeight="false" outlineLevel="0" collapsed="false">
      <c r="A353" s="17"/>
      <c r="B353" s="13"/>
      <c r="C353" s="20" t="str">
        <f aca="false">IF($B353="","",IFERROR(INDEX(고객사!$B$5:$B$104,MATCH($B353,고객사!$A$5:$A$104,0)),"코드 확인"))</f>
        <v/>
      </c>
      <c r="D353" s="15"/>
      <c r="E353" s="15"/>
      <c r="F353" s="16"/>
      <c r="G353" s="16"/>
      <c r="H353" s="21" t="str">
        <f aca="false">IF(OR($B353="",F353=0),"",G353/F353)</f>
        <v/>
      </c>
      <c r="I353" s="22" t="str">
        <f aca="false">IF($B353="","",MAX(F353-G353,0))</f>
        <v/>
      </c>
      <c r="J353" s="23" t="str">
        <f aca="false">IF($B353="","",IFERROR(INDEX(고객사!$G$5:$G$104,MATCH($B353,고객사!$A$5:$A$104,0)),""))</f>
        <v/>
      </c>
      <c r="K353" s="16"/>
      <c r="L353" s="22" t="str">
        <f aca="false">IF($B353="","",K353*IFERROR(INDEX(고객사!$L$5:$L$104,MATCH($B353,고객사!$A$5:$A$104,0)),0))</f>
        <v/>
      </c>
      <c r="M353" s="23" t="str">
        <f aca="false">IF($B353="","",IF(AND(J353="N",G353&gt;0,K353=0,IFERROR(INDEX(고객사!$H$5:$H$104,MATCH($B353,고객사!$A$5:$A$104,0)),"")="자사 차량 운행"),"차량 미배정",""))</f>
        <v/>
      </c>
      <c r="N353" s="22" t="str">
        <f aca="false">IF($B353="","",IFERROR(INDEX(고객사!$J$5:$J$104,MATCH($B353,고객사!$A$5:$A$104,0)),0))</f>
        <v/>
      </c>
      <c r="O353" s="22" t="str">
        <f aca="false">IF($B353="","",G353*N353)</f>
        <v/>
      </c>
      <c r="P353" s="22" t="str">
        <f aca="false">IF($B353="","",IFERROR(INDEX(고객사!$K$5:$K$104,MATCH($B353,고객사!$A$5:$A$104,0)),0))</f>
        <v/>
      </c>
      <c r="Q353" s="22" t="str">
        <f aca="false">IF($B353="","",G353*P353)</f>
        <v/>
      </c>
      <c r="R353" s="22" t="str">
        <f aca="false">IF($B353="","",O353-Q353-L353)</f>
        <v/>
      </c>
      <c r="S353" s="21" t="str">
        <f aca="false">IF(OR($B353="",N(O353)=0),"",R353/O353)</f>
        <v/>
      </c>
      <c r="T353" s="14"/>
      <c r="U353" s="19" t="n">
        <f aca="false">IF(OR($B353="",$A353=""),0,IF(COUNTIFS($A$5:$A353,$A353,$B$5:$B353,$B353)=1,1,0))</f>
        <v>0</v>
      </c>
    </row>
    <row r="354" customFormat="false" ht="15" hidden="false" customHeight="false" outlineLevel="0" collapsed="false">
      <c r="A354" s="17"/>
      <c r="B354" s="13"/>
      <c r="C354" s="20" t="str">
        <f aca="false">IF($B354="","",IFERROR(INDEX(고객사!$B$5:$B$104,MATCH($B354,고객사!$A$5:$A$104,0)),"코드 확인"))</f>
        <v/>
      </c>
      <c r="D354" s="15"/>
      <c r="E354" s="15"/>
      <c r="F354" s="16"/>
      <c r="G354" s="16"/>
      <c r="H354" s="21" t="str">
        <f aca="false">IF(OR($B354="",F354=0),"",G354/F354)</f>
        <v/>
      </c>
      <c r="I354" s="22" t="str">
        <f aca="false">IF($B354="","",MAX(F354-G354,0))</f>
        <v/>
      </c>
      <c r="J354" s="23" t="str">
        <f aca="false">IF($B354="","",IFERROR(INDEX(고객사!$G$5:$G$104,MATCH($B354,고객사!$A$5:$A$104,0)),""))</f>
        <v/>
      </c>
      <c r="K354" s="16"/>
      <c r="L354" s="22" t="str">
        <f aca="false">IF($B354="","",K354*IFERROR(INDEX(고객사!$L$5:$L$104,MATCH($B354,고객사!$A$5:$A$104,0)),0))</f>
        <v/>
      </c>
      <c r="M354" s="23" t="str">
        <f aca="false">IF($B354="","",IF(AND(J354="N",G354&gt;0,K354=0,IFERROR(INDEX(고객사!$H$5:$H$104,MATCH($B354,고객사!$A$5:$A$104,0)),"")="자사 차량 운행"),"차량 미배정",""))</f>
        <v/>
      </c>
      <c r="N354" s="22" t="str">
        <f aca="false">IF($B354="","",IFERROR(INDEX(고객사!$J$5:$J$104,MATCH($B354,고객사!$A$5:$A$104,0)),0))</f>
        <v/>
      </c>
      <c r="O354" s="22" t="str">
        <f aca="false">IF($B354="","",G354*N354)</f>
        <v/>
      </c>
      <c r="P354" s="22" t="str">
        <f aca="false">IF($B354="","",IFERROR(INDEX(고객사!$K$5:$K$104,MATCH($B354,고객사!$A$5:$A$104,0)),0))</f>
        <v/>
      </c>
      <c r="Q354" s="22" t="str">
        <f aca="false">IF($B354="","",G354*P354)</f>
        <v/>
      </c>
      <c r="R354" s="22" t="str">
        <f aca="false">IF($B354="","",O354-Q354-L354)</f>
        <v/>
      </c>
      <c r="S354" s="21" t="str">
        <f aca="false">IF(OR($B354="",N(O354)=0),"",R354/O354)</f>
        <v/>
      </c>
      <c r="T354" s="14"/>
      <c r="U354" s="19" t="n">
        <f aca="false">IF(OR($B354="",$A354=""),0,IF(COUNTIFS($A$5:$A354,$A354,$B$5:$B354,$B354)=1,1,0))</f>
        <v>0</v>
      </c>
    </row>
    <row r="355" customFormat="false" ht="15" hidden="false" customHeight="false" outlineLevel="0" collapsed="false">
      <c r="A355" s="17"/>
      <c r="B355" s="13"/>
      <c r="C355" s="20" t="str">
        <f aca="false">IF($B355="","",IFERROR(INDEX(고객사!$B$5:$B$104,MATCH($B355,고객사!$A$5:$A$104,0)),"코드 확인"))</f>
        <v/>
      </c>
      <c r="D355" s="15"/>
      <c r="E355" s="15"/>
      <c r="F355" s="16"/>
      <c r="G355" s="16"/>
      <c r="H355" s="21" t="str">
        <f aca="false">IF(OR($B355="",F355=0),"",G355/F355)</f>
        <v/>
      </c>
      <c r="I355" s="22" t="str">
        <f aca="false">IF($B355="","",MAX(F355-G355,0))</f>
        <v/>
      </c>
      <c r="J355" s="23" t="str">
        <f aca="false">IF($B355="","",IFERROR(INDEX(고객사!$G$5:$G$104,MATCH($B355,고객사!$A$5:$A$104,0)),""))</f>
        <v/>
      </c>
      <c r="K355" s="16"/>
      <c r="L355" s="22" t="str">
        <f aca="false">IF($B355="","",K355*IFERROR(INDEX(고객사!$L$5:$L$104,MATCH($B355,고객사!$A$5:$A$104,0)),0))</f>
        <v/>
      </c>
      <c r="M355" s="23" t="str">
        <f aca="false">IF($B355="","",IF(AND(J355="N",G355&gt;0,K355=0,IFERROR(INDEX(고객사!$H$5:$H$104,MATCH($B355,고객사!$A$5:$A$104,0)),"")="자사 차량 운행"),"차량 미배정",""))</f>
        <v/>
      </c>
      <c r="N355" s="22" t="str">
        <f aca="false">IF($B355="","",IFERROR(INDEX(고객사!$J$5:$J$104,MATCH($B355,고객사!$A$5:$A$104,0)),0))</f>
        <v/>
      </c>
      <c r="O355" s="22" t="str">
        <f aca="false">IF($B355="","",G355*N355)</f>
        <v/>
      </c>
      <c r="P355" s="22" t="str">
        <f aca="false">IF($B355="","",IFERROR(INDEX(고객사!$K$5:$K$104,MATCH($B355,고객사!$A$5:$A$104,0)),0))</f>
        <v/>
      </c>
      <c r="Q355" s="22" t="str">
        <f aca="false">IF($B355="","",G355*P355)</f>
        <v/>
      </c>
      <c r="R355" s="22" t="str">
        <f aca="false">IF($B355="","",O355-Q355-L355)</f>
        <v/>
      </c>
      <c r="S355" s="21" t="str">
        <f aca="false">IF(OR($B355="",N(O355)=0),"",R355/O355)</f>
        <v/>
      </c>
      <c r="T355" s="14"/>
      <c r="U355" s="19" t="n">
        <f aca="false">IF(OR($B355="",$A355=""),0,IF(COUNTIFS($A$5:$A355,$A355,$B$5:$B355,$B355)=1,1,0))</f>
        <v>0</v>
      </c>
    </row>
    <row r="356" customFormat="false" ht="15" hidden="false" customHeight="false" outlineLevel="0" collapsed="false">
      <c r="A356" s="17"/>
      <c r="B356" s="13"/>
      <c r="C356" s="20" t="str">
        <f aca="false">IF($B356="","",IFERROR(INDEX(고객사!$B$5:$B$104,MATCH($B356,고객사!$A$5:$A$104,0)),"코드 확인"))</f>
        <v/>
      </c>
      <c r="D356" s="15"/>
      <c r="E356" s="15"/>
      <c r="F356" s="16"/>
      <c r="G356" s="16"/>
      <c r="H356" s="21" t="str">
        <f aca="false">IF(OR($B356="",F356=0),"",G356/F356)</f>
        <v/>
      </c>
      <c r="I356" s="22" t="str">
        <f aca="false">IF($B356="","",MAX(F356-G356,0))</f>
        <v/>
      </c>
      <c r="J356" s="23" t="str">
        <f aca="false">IF($B356="","",IFERROR(INDEX(고객사!$G$5:$G$104,MATCH($B356,고객사!$A$5:$A$104,0)),""))</f>
        <v/>
      </c>
      <c r="K356" s="16"/>
      <c r="L356" s="22" t="str">
        <f aca="false">IF($B356="","",K356*IFERROR(INDEX(고객사!$L$5:$L$104,MATCH($B356,고객사!$A$5:$A$104,0)),0))</f>
        <v/>
      </c>
      <c r="M356" s="23" t="str">
        <f aca="false">IF($B356="","",IF(AND(J356="N",G356&gt;0,K356=0,IFERROR(INDEX(고객사!$H$5:$H$104,MATCH($B356,고객사!$A$5:$A$104,0)),"")="자사 차량 운행"),"차량 미배정",""))</f>
        <v/>
      </c>
      <c r="N356" s="22" t="str">
        <f aca="false">IF($B356="","",IFERROR(INDEX(고객사!$J$5:$J$104,MATCH($B356,고객사!$A$5:$A$104,0)),0))</f>
        <v/>
      </c>
      <c r="O356" s="22" t="str">
        <f aca="false">IF($B356="","",G356*N356)</f>
        <v/>
      </c>
      <c r="P356" s="22" t="str">
        <f aca="false">IF($B356="","",IFERROR(INDEX(고객사!$K$5:$K$104,MATCH($B356,고객사!$A$5:$A$104,0)),0))</f>
        <v/>
      </c>
      <c r="Q356" s="22" t="str">
        <f aca="false">IF($B356="","",G356*P356)</f>
        <v/>
      </c>
      <c r="R356" s="22" t="str">
        <f aca="false">IF($B356="","",O356-Q356-L356)</f>
        <v/>
      </c>
      <c r="S356" s="21" t="str">
        <f aca="false">IF(OR($B356="",N(O356)=0),"",R356/O356)</f>
        <v/>
      </c>
      <c r="T356" s="14"/>
      <c r="U356" s="19" t="n">
        <f aca="false">IF(OR($B356="",$A356=""),0,IF(COUNTIFS($A$5:$A356,$A356,$B$5:$B356,$B356)=1,1,0))</f>
        <v>0</v>
      </c>
    </row>
    <row r="357" customFormat="false" ht="15" hidden="false" customHeight="false" outlineLevel="0" collapsed="false">
      <c r="A357" s="17"/>
      <c r="B357" s="13"/>
      <c r="C357" s="20" t="str">
        <f aca="false">IF($B357="","",IFERROR(INDEX(고객사!$B$5:$B$104,MATCH($B357,고객사!$A$5:$A$104,0)),"코드 확인"))</f>
        <v/>
      </c>
      <c r="D357" s="15"/>
      <c r="E357" s="15"/>
      <c r="F357" s="16"/>
      <c r="G357" s="16"/>
      <c r="H357" s="21" t="str">
        <f aca="false">IF(OR($B357="",F357=0),"",G357/F357)</f>
        <v/>
      </c>
      <c r="I357" s="22" t="str">
        <f aca="false">IF($B357="","",MAX(F357-G357,0))</f>
        <v/>
      </c>
      <c r="J357" s="23" t="str">
        <f aca="false">IF($B357="","",IFERROR(INDEX(고객사!$G$5:$G$104,MATCH($B357,고객사!$A$5:$A$104,0)),""))</f>
        <v/>
      </c>
      <c r="K357" s="16"/>
      <c r="L357" s="22" t="str">
        <f aca="false">IF($B357="","",K357*IFERROR(INDEX(고객사!$L$5:$L$104,MATCH($B357,고객사!$A$5:$A$104,0)),0))</f>
        <v/>
      </c>
      <c r="M357" s="23" t="str">
        <f aca="false">IF($B357="","",IF(AND(J357="N",G357&gt;0,K357=0,IFERROR(INDEX(고객사!$H$5:$H$104,MATCH($B357,고객사!$A$5:$A$104,0)),"")="자사 차량 운행"),"차량 미배정",""))</f>
        <v/>
      </c>
      <c r="N357" s="22" t="str">
        <f aca="false">IF($B357="","",IFERROR(INDEX(고객사!$J$5:$J$104,MATCH($B357,고객사!$A$5:$A$104,0)),0))</f>
        <v/>
      </c>
      <c r="O357" s="22" t="str">
        <f aca="false">IF($B357="","",G357*N357)</f>
        <v/>
      </c>
      <c r="P357" s="22" t="str">
        <f aca="false">IF($B357="","",IFERROR(INDEX(고객사!$K$5:$K$104,MATCH($B357,고객사!$A$5:$A$104,0)),0))</f>
        <v/>
      </c>
      <c r="Q357" s="22" t="str">
        <f aca="false">IF($B357="","",G357*P357)</f>
        <v/>
      </c>
      <c r="R357" s="22" t="str">
        <f aca="false">IF($B357="","",O357-Q357-L357)</f>
        <v/>
      </c>
      <c r="S357" s="21" t="str">
        <f aca="false">IF(OR($B357="",N(O357)=0),"",R357/O357)</f>
        <v/>
      </c>
      <c r="T357" s="14"/>
      <c r="U357" s="19" t="n">
        <f aca="false">IF(OR($B357="",$A357=""),0,IF(COUNTIFS($A$5:$A357,$A357,$B$5:$B357,$B357)=1,1,0))</f>
        <v>0</v>
      </c>
    </row>
    <row r="358" customFormat="false" ht="15" hidden="false" customHeight="false" outlineLevel="0" collapsed="false">
      <c r="A358" s="17"/>
      <c r="B358" s="13"/>
      <c r="C358" s="20" t="str">
        <f aca="false">IF($B358="","",IFERROR(INDEX(고객사!$B$5:$B$104,MATCH($B358,고객사!$A$5:$A$104,0)),"코드 확인"))</f>
        <v/>
      </c>
      <c r="D358" s="15"/>
      <c r="E358" s="15"/>
      <c r="F358" s="16"/>
      <c r="G358" s="16"/>
      <c r="H358" s="21" t="str">
        <f aca="false">IF(OR($B358="",F358=0),"",G358/F358)</f>
        <v/>
      </c>
      <c r="I358" s="22" t="str">
        <f aca="false">IF($B358="","",MAX(F358-G358,0))</f>
        <v/>
      </c>
      <c r="J358" s="23" t="str">
        <f aca="false">IF($B358="","",IFERROR(INDEX(고객사!$G$5:$G$104,MATCH($B358,고객사!$A$5:$A$104,0)),""))</f>
        <v/>
      </c>
      <c r="K358" s="16"/>
      <c r="L358" s="22" t="str">
        <f aca="false">IF($B358="","",K358*IFERROR(INDEX(고객사!$L$5:$L$104,MATCH($B358,고객사!$A$5:$A$104,0)),0))</f>
        <v/>
      </c>
      <c r="M358" s="23" t="str">
        <f aca="false">IF($B358="","",IF(AND(J358="N",G358&gt;0,K358=0,IFERROR(INDEX(고객사!$H$5:$H$104,MATCH($B358,고객사!$A$5:$A$104,0)),"")="자사 차량 운행"),"차량 미배정",""))</f>
        <v/>
      </c>
      <c r="N358" s="22" t="str">
        <f aca="false">IF($B358="","",IFERROR(INDEX(고객사!$J$5:$J$104,MATCH($B358,고객사!$A$5:$A$104,0)),0))</f>
        <v/>
      </c>
      <c r="O358" s="22" t="str">
        <f aca="false">IF($B358="","",G358*N358)</f>
        <v/>
      </c>
      <c r="P358" s="22" t="str">
        <f aca="false">IF($B358="","",IFERROR(INDEX(고객사!$K$5:$K$104,MATCH($B358,고객사!$A$5:$A$104,0)),0))</f>
        <v/>
      </c>
      <c r="Q358" s="22" t="str">
        <f aca="false">IF($B358="","",G358*P358)</f>
        <v/>
      </c>
      <c r="R358" s="22" t="str">
        <f aca="false">IF($B358="","",O358-Q358-L358)</f>
        <v/>
      </c>
      <c r="S358" s="21" t="str">
        <f aca="false">IF(OR($B358="",N(O358)=0),"",R358/O358)</f>
        <v/>
      </c>
      <c r="T358" s="14"/>
      <c r="U358" s="19" t="n">
        <f aca="false">IF(OR($B358="",$A358=""),0,IF(COUNTIFS($A$5:$A358,$A358,$B$5:$B358,$B358)=1,1,0))</f>
        <v>0</v>
      </c>
    </row>
    <row r="359" customFormat="false" ht="15" hidden="false" customHeight="false" outlineLevel="0" collapsed="false">
      <c r="A359" s="17"/>
      <c r="B359" s="13"/>
      <c r="C359" s="20" t="str">
        <f aca="false">IF($B359="","",IFERROR(INDEX(고객사!$B$5:$B$104,MATCH($B359,고객사!$A$5:$A$104,0)),"코드 확인"))</f>
        <v/>
      </c>
      <c r="D359" s="15"/>
      <c r="E359" s="15"/>
      <c r="F359" s="16"/>
      <c r="G359" s="16"/>
      <c r="H359" s="21" t="str">
        <f aca="false">IF(OR($B359="",F359=0),"",G359/F359)</f>
        <v/>
      </c>
      <c r="I359" s="22" t="str">
        <f aca="false">IF($B359="","",MAX(F359-G359,0))</f>
        <v/>
      </c>
      <c r="J359" s="23" t="str">
        <f aca="false">IF($B359="","",IFERROR(INDEX(고객사!$G$5:$G$104,MATCH($B359,고객사!$A$5:$A$104,0)),""))</f>
        <v/>
      </c>
      <c r="K359" s="16"/>
      <c r="L359" s="22" t="str">
        <f aca="false">IF($B359="","",K359*IFERROR(INDEX(고객사!$L$5:$L$104,MATCH($B359,고객사!$A$5:$A$104,0)),0))</f>
        <v/>
      </c>
      <c r="M359" s="23" t="str">
        <f aca="false">IF($B359="","",IF(AND(J359="N",G359&gt;0,K359=0,IFERROR(INDEX(고객사!$H$5:$H$104,MATCH($B359,고객사!$A$5:$A$104,0)),"")="자사 차량 운행"),"차량 미배정",""))</f>
        <v/>
      </c>
      <c r="N359" s="22" t="str">
        <f aca="false">IF($B359="","",IFERROR(INDEX(고객사!$J$5:$J$104,MATCH($B359,고객사!$A$5:$A$104,0)),0))</f>
        <v/>
      </c>
      <c r="O359" s="22" t="str">
        <f aca="false">IF($B359="","",G359*N359)</f>
        <v/>
      </c>
      <c r="P359" s="22" t="str">
        <f aca="false">IF($B359="","",IFERROR(INDEX(고객사!$K$5:$K$104,MATCH($B359,고객사!$A$5:$A$104,0)),0))</f>
        <v/>
      </c>
      <c r="Q359" s="22" t="str">
        <f aca="false">IF($B359="","",G359*P359)</f>
        <v/>
      </c>
      <c r="R359" s="22" t="str">
        <f aca="false">IF($B359="","",O359-Q359-L359)</f>
        <v/>
      </c>
      <c r="S359" s="21" t="str">
        <f aca="false">IF(OR($B359="",N(O359)=0),"",R359/O359)</f>
        <v/>
      </c>
      <c r="T359" s="14"/>
      <c r="U359" s="19" t="n">
        <f aca="false">IF(OR($B359="",$A359=""),0,IF(COUNTIFS($A$5:$A359,$A359,$B$5:$B359,$B359)=1,1,0))</f>
        <v>0</v>
      </c>
    </row>
    <row r="360" customFormat="false" ht="15" hidden="false" customHeight="false" outlineLevel="0" collapsed="false">
      <c r="A360" s="17"/>
      <c r="B360" s="13"/>
      <c r="C360" s="20" t="str">
        <f aca="false">IF($B360="","",IFERROR(INDEX(고객사!$B$5:$B$104,MATCH($B360,고객사!$A$5:$A$104,0)),"코드 확인"))</f>
        <v/>
      </c>
      <c r="D360" s="15"/>
      <c r="E360" s="15"/>
      <c r="F360" s="16"/>
      <c r="G360" s="16"/>
      <c r="H360" s="21" t="str">
        <f aca="false">IF(OR($B360="",F360=0),"",G360/F360)</f>
        <v/>
      </c>
      <c r="I360" s="22" t="str">
        <f aca="false">IF($B360="","",MAX(F360-G360,0))</f>
        <v/>
      </c>
      <c r="J360" s="23" t="str">
        <f aca="false">IF($B360="","",IFERROR(INDEX(고객사!$G$5:$G$104,MATCH($B360,고객사!$A$5:$A$104,0)),""))</f>
        <v/>
      </c>
      <c r="K360" s="16"/>
      <c r="L360" s="22" t="str">
        <f aca="false">IF($B360="","",K360*IFERROR(INDEX(고객사!$L$5:$L$104,MATCH($B360,고객사!$A$5:$A$104,0)),0))</f>
        <v/>
      </c>
      <c r="M360" s="23" t="str">
        <f aca="false">IF($B360="","",IF(AND(J360="N",G360&gt;0,K360=0,IFERROR(INDEX(고객사!$H$5:$H$104,MATCH($B360,고객사!$A$5:$A$104,0)),"")="자사 차량 운행"),"차량 미배정",""))</f>
        <v/>
      </c>
      <c r="N360" s="22" t="str">
        <f aca="false">IF($B360="","",IFERROR(INDEX(고객사!$J$5:$J$104,MATCH($B360,고객사!$A$5:$A$104,0)),0))</f>
        <v/>
      </c>
      <c r="O360" s="22" t="str">
        <f aca="false">IF($B360="","",G360*N360)</f>
        <v/>
      </c>
      <c r="P360" s="22" t="str">
        <f aca="false">IF($B360="","",IFERROR(INDEX(고객사!$K$5:$K$104,MATCH($B360,고객사!$A$5:$A$104,0)),0))</f>
        <v/>
      </c>
      <c r="Q360" s="22" t="str">
        <f aca="false">IF($B360="","",G360*P360)</f>
        <v/>
      </c>
      <c r="R360" s="22" t="str">
        <f aca="false">IF($B360="","",O360-Q360-L360)</f>
        <v/>
      </c>
      <c r="S360" s="21" t="str">
        <f aca="false">IF(OR($B360="",N(O360)=0),"",R360/O360)</f>
        <v/>
      </c>
      <c r="T360" s="14"/>
      <c r="U360" s="19" t="n">
        <f aca="false">IF(OR($B360="",$A360=""),0,IF(COUNTIFS($A$5:$A360,$A360,$B$5:$B360,$B360)=1,1,0))</f>
        <v>0</v>
      </c>
    </row>
    <row r="361" customFormat="false" ht="15" hidden="false" customHeight="false" outlineLevel="0" collapsed="false">
      <c r="A361" s="17"/>
      <c r="B361" s="13"/>
      <c r="C361" s="20" t="str">
        <f aca="false">IF($B361="","",IFERROR(INDEX(고객사!$B$5:$B$104,MATCH($B361,고객사!$A$5:$A$104,0)),"코드 확인"))</f>
        <v/>
      </c>
      <c r="D361" s="15"/>
      <c r="E361" s="15"/>
      <c r="F361" s="16"/>
      <c r="G361" s="16"/>
      <c r="H361" s="21" t="str">
        <f aca="false">IF(OR($B361="",F361=0),"",G361/F361)</f>
        <v/>
      </c>
      <c r="I361" s="22" t="str">
        <f aca="false">IF($B361="","",MAX(F361-G361,0))</f>
        <v/>
      </c>
      <c r="J361" s="23" t="str">
        <f aca="false">IF($B361="","",IFERROR(INDEX(고객사!$G$5:$G$104,MATCH($B361,고객사!$A$5:$A$104,0)),""))</f>
        <v/>
      </c>
      <c r="K361" s="16"/>
      <c r="L361" s="22" t="str">
        <f aca="false">IF($B361="","",K361*IFERROR(INDEX(고객사!$L$5:$L$104,MATCH($B361,고객사!$A$5:$A$104,0)),0))</f>
        <v/>
      </c>
      <c r="M361" s="23" t="str">
        <f aca="false">IF($B361="","",IF(AND(J361="N",G361&gt;0,K361=0,IFERROR(INDEX(고객사!$H$5:$H$104,MATCH($B361,고객사!$A$5:$A$104,0)),"")="자사 차량 운행"),"차량 미배정",""))</f>
        <v/>
      </c>
      <c r="N361" s="22" t="str">
        <f aca="false">IF($B361="","",IFERROR(INDEX(고객사!$J$5:$J$104,MATCH($B361,고객사!$A$5:$A$104,0)),0))</f>
        <v/>
      </c>
      <c r="O361" s="22" t="str">
        <f aca="false">IF($B361="","",G361*N361)</f>
        <v/>
      </c>
      <c r="P361" s="22" t="str">
        <f aca="false">IF($B361="","",IFERROR(INDEX(고객사!$K$5:$K$104,MATCH($B361,고객사!$A$5:$A$104,0)),0))</f>
        <v/>
      </c>
      <c r="Q361" s="22" t="str">
        <f aca="false">IF($B361="","",G361*P361)</f>
        <v/>
      </c>
      <c r="R361" s="22" t="str">
        <f aca="false">IF($B361="","",O361-Q361-L361)</f>
        <v/>
      </c>
      <c r="S361" s="21" t="str">
        <f aca="false">IF(OR($B361="",N(O361)=0),"",R361/O361)</f>
        <v/>
      </c>
      <c r="T361" s="14"/>
      <c r="U361" s="19" t="n">
        <f aca="false">IF(OR($B361="",$A361=""),0,IF(COUNTIFS($A$5:$A361,$A361,$B$5:$B361,$B361)=1,1,0))</f>
        <v>0</v>
      </c>
    </row>
    <row r="362" customFormat="false" ht="15" hidden="false" customHeight="false" outlineLevel="0" collapsed="false">
      <c r="A362" s="17"/>
      <c r="B362" s="13"/>
      <c r="C362" s="20" t="str">
        <f aca="false">IF($B362="","",IFERROR(INDEX(고객사!$B$5:$B$104,MATCH($B362,고객사!$A$5:$A$104,0)),"코드 확인"))</f>
        <v/>
      </c>
      <c r="D362" s="15"/>
      <c r="E362" s="15"/>
      <c r="F362" s="16"/>
      <c r="G362" s="16"/>
      <c r="H362" s="21" t="str">
        <f aca="false">IF(OR($B362="",F362=0),"",G362/F362)</f>
        <v/>
      </c>
      <c r="I362" s="22" t="str">
        <f aca="false">IF($B362="","",MAX(F362-G362,0))</f>
        <v/>
      </c>
      <c r="J362" s="23" t="str">
        <f aca="false">IF($B362="","",IFERROR(INDEX(고객사!$G$5:$G$104,MATCH($B362,고객사!$A$5:$A$104,0)),""))</f>
        <v/>
      </c>
      <c r="K362" s="16"/>
      <c r="L362" s="22" t="str">
        <f aca="false">IF($B362="","",K362*IFERROR(INDEX(고객사!$L$5:$L$104,MATCH($B362,고객사!$A$5:$A$104,0)),0))</f>
        <v/>
      </c>
      <c r="M362" s="23" t="str">
        <f aca="false">IF($B362="","",IF(AND(J362="N",G362&gt;0,K362=0,IFERROR(INDEX(고객사!$H$5:$H$104,MATCH($B362,고객사!$A$5:$A$104,0)),"")="자사 차량 운행"),"차량 미배정",""))</f>
        <v/>
      </c>
      <c r="N362" s="22" t="str">
        <f aca="false">IF($B362="","",IFERROR(INDEX(고객사!$J$5:$J$104,MATCH($B362,고객사!$A$5:$A$104,0)),0))</f>
        <v/>
      </c>
      <c r="O362" s="22" t="str">
        <f aca="false">IF($B362="","",G362*N362)</f>
        <v/>
      </c>
      <c r="P362" s="22" t="str">
        <f aca="false">IF($B362="","",IFERROR(INDEX(고객사!$K$5:$K$104,MATCH($B362,고객사!$A$5:$A$104,0)),0))</f>
        <v/>
      </c>
      <c r="Q362" s="22" t="str">
        <f aca="false">IF($B362="","",G362*P362)</f>
        <v/>
      </c>
      <c r="R362" s="22" t="str">
        <f aca="false">IF($B362="","",O362-Q362-L362)</f>
        <v/>
      </c>
      <c r="S362" s="21" t="str">
        <f aca="false">IF(OR($B362="",N(O362)=0),"",R362/O362)</f>
        <v/>
      </c>
      <c r="T362" s="14"/>
      <c r="U362" s="19" t="n">
        <f aca="false">IF(OR($B362="",$A362=""),0,IF(COUNTIFS($A$5:$A362,$A362,$B$5:$B362,$B362)=1,1,0))</f>
        <v>0</v>
      </c>
    </row>
    <row r="363" customFormat="false" ht="15" hidden="false" customHeight="false" outlineLevel="0" collapsed="false">
      <c r="A363" s="17"/>
      <c r="B363" s="13"/>
      <c r="C363" s="20" t="str">
        <f aca="false">IF($B363="","",IFERROR(INDEX(고객사!$B$5:$B$104,MATCH($B363,고객사!$A$5:$A$104,0)),"코드 확인"))</f>
        <v/>
      </c>
      <c r="D363" s="15"/>
      <c r="E363" s="15"/>
      <c r="F363" s="16"/>
      <c r="G363" s="16"/>
      <c r="H363" s="21" t="str">
        <f aca="false">IF(OR($B363="",F363=0),"",G363/F363)</f>
        <v/>
      </c>
      <c r="I363" s="22" t="str">
        <f aca="false">IF($B363="","",MAX(F363-G363,0))</f>
        <v/>
      </c>
      <c r="J363" s="23" t="str">
        <f aca="false">IF($B363="","",IFERROR(INDEX(고객사!$G$5:$G$104,MATCH($B363,고객사!$A$5:$A$104,0)),""))</f>
        <v/>
      </c>
      <c r="K363" s="16"/>
      <c r="L363" s="22" t="str">
        <f aca="false">IF($B363="","",K363*IFERROR(INDEX(고객사!$L$5:$L$104,MATCH($B363,고객사!$A$5:$A$104,0)),0))</f>
        <v/>
      </c>
      <c r="M363" s="23" t="str">
        <f aca="false">IF($B363="","",IF(AND(J363="N",G363&gt;0,K363=0,IFERROR(INDEX(고객사!$H$5:$H$104,MATCH($B363,고객사!$A$5:$A$104,0)),"")="자사 차량 운행"),"차량 미배정",""))</f>
        <v/>
      </c>
      <c r="N363" s="22" t="str">
        <f aca="false">IF($B363="","",IFERROR(INDEX(고객사!$J$5:$J$104,MATCH($B363,고객사!$A$5:$A$104,0)),0))</f>
        <v/>
      </c>
      <c r="O363" s="22" t="str">
        <f aca="false">IF($B363="","",G363*N363)</f>
        <v/>
      </c>
      <c r="P363" s="22" t="str">
        <f aca="false">IF($B363="","",IFERROR(INDEX(고객사!$K$5:$K$104,MATCH($B363,고객사!$A$5:$A$104,0)),0))</f>
        <v/>
      </c>
      <c r="Q363" s="22" t="str">
        <f aca="false">IF($B363="","",G363*P363)</f>
        <v/>
      </c>
      <c r="R363" s="22" t="str">
        <f aca="false">IF($B363="","",O363-Q363-L363)</f>
        <v/>
      </c>
      <c r="S363" s="21" t="str">
        <f aca="false">IF(OR($B363="",N(O363)=0),"",R363/O363)</f>
        <v/>
      </c>
      <c r="T363" s="14"/>
      <c r="U363" s="19" t="n">
        <f aca="false">IF(OR($B363="",$A363=""),0,IF(COUNTIFS($A$5:$A363,$A363,$B$5:$B363,$B363)=1,1,0))</f>
        <v>0</v>
      </c>
    </row>
    <row r="364" customFormat="false" ht="15" hidden="false" customHeight="false" outlineLevel="0" collapsed="false">
      <c r="A364" s="17"/>
      <c r="B364" s="13"/>
      <c r="C364" s="20" t="str">
        <f aca="false">IF($B364="","",IFERROR(INDEX(고객사!$B$5:$B$104,MATCH($B364,고객사!$A$5:$A$104,0)),"코드 확인"))</f>
        <v/>
      </c>
      <c r="D364" s="15"/>
      <c r="E364" s="15"/>
      <c r="F364" s="16"/>
      <c r="G364" s="16"/>
      <c r="H364" s="21" t="str">
        <f aca="false">IF(OR($B364="",F364=0),"",G364/F364)</f>
        <v/>
      </c>
      <c r="I364" s="22" t="str">
        <f aca="false">IF($B364="","",MAX(F364-G364,0))</f>
        <v/>
      </c>
      <c r="J364" s="23" t="str">
        <f aca="false">IF($B364="","",IFERROR(INDEX(고객사!$G$5:$G$104,MATCH($B364,고객사!$A$5:$A$104,0)),""))</f>
        <v/>
      </c>
      <c r="K364" s="16"/>
      <c r="L364" s="22" t="str">
        <f aca="false">IF($B364="","",K364*IFERROR(INDEX(고객사!$L$5:$L$104,MATCH($B364,고객사!$A$5:$A$104,0)),0))</f>
        <v/>
      </c>
      <c r="M364" s="23" t="str">
        <f aca="false">IF($B364="","",IF(AND(J364="N",G364&gt;0,K364=0,IFERROR(INDEX(고객사!$H$5:$H$104,MATCH($B364,고객사!$A$5:$A$104,0)),"")="자사 차량 운행"),"차량 미배정",""))</f>
        <v/>
      </c>
      <c r="N364" s="22" t="str">
        <f aca="false">IF($B364="","",IFERROR(INDEX(고객사!$J$5:$J$104,MATCH($B364,고객사!$A$5:$A$104,0)),0))</f>
        <v/>
      </c>
      <c r="O364" s="22" t="str">
        <f aca="false">IF($B364="","",G364*N364)</f>
        <v/>
      </c>
      <c r="P364" s="22" t="str">
        <f aca="false">IF($B364="","",IFERROR(INDEX(고객사!$K$5:$K$104,MATCH($B364,고객사!$A$5:$A$104,0)),0))</f>
        <v/>
      </c>
      <c r="Q364" s="22" t="str">
        <f aca="false">IF($B364="","",G364*P364)</f>
        <v/>
      </c>
      <c r="R364" s="22" t="str">
        <f aca="false">IF($B364="","",O364-Q364-L364)</f>
        <v/>
      </c>
      <c r="S364" s="21" t="str">
        <f aca="false">IF(OR($B364="",N(O364)=0),"",R364/O364)</f>
        <v/>
      </c>
      <c r="T364" s="14"/>
      <c r="U364" s="19" t="n">
        <f aca="false">IF(OR($B364="",$A364=""),0,IF(COUNTIFS($A$5:$A364,$A364,$B$5:$B364,$B364)=1,1,0))</f>
        <v>0</v>
      </c>
    </row>
    <row r="365" customFormat="false" ht="15" hidden="false" customHeight="false" outlineLevel="0" collapsed="false">
      <c r="A365" s="17"/>
      <c r="B365" s="13"/>
      <c r="C365" s="20" t="str">
        <f aca="false">IF($B365="","",IFERROR(INDEX(고객사!$B$5:$B$104,MATCH($B365,고객사!$A$5:$A$104,0)),"코드 확인"))</f>
        <v/>
      </c>
      <c r="D365" s="15"/>
      <c r="E365" s="15"/>
      <c r="F365" s="16"/>
      <c r="G365" s="16"/>
      <c r="H365" s="21" t="str">
        <f aca="false">IF(OR($B365="",F365=0),"",G365/F365)</f>
        <v/>
      </c>
      <c r="I365" s="22" t="str">
        <f aca="false">IF($B365="","",MAX(F365-G365,0))</f>
        <v/>
      </c>
      <c r="J365" s="23" t="str">
        <f aca="false">IF($B365="","",IFERROR(INDEX(고객사!$G$5:$G$104,MATCH($B365,고객사!$A$5:$A$104,0)),""))</f>
        <v/>
      </c>
      <c r="K365" s="16"/>
      <c r="L365" s="22" t="str">
        <f aca="false">IF($B365="","",K365*IFERROR(INDEX(고객사!$L$5:$L$104,MATCH($B365,고객사!$A$5:$A$104,0)),0))</f>
        <v/>
      </c>
      <c r="M365" s="23" t="str">
        <f aca="false">IF($B365="","",IF(AND(J365="N",G365&gt;0,K365=0,IFERROR(INDEX(고객사!$H$5:$H$104,MATCH($B365,고객사!$A$5:$A$104,0)),"")="자사 차량 운행"),"차량 미배정",""))</f>
        <v/>
      </c>
      <c r="N365" s="22" t="str">
        <f aca="false">IF($B365="","",IFERROR(INDEX(고객사!$J$5:$J$104,MATCH($B365,고객사!$A$5:$A$104,0)),0))</f>
        <v/>
      </c>
      <c r="O365" s="22" t="str">
        <f aca="false">IF($B365="","",G365*N365)</f>
        <v/>
      </c>
      <c r="P365" s="22" t="str">
        <f aca="false">IF($B365="","",IFERROR(INDEX(고객사!$K$5:$K$104,MATCH($B365,고객사!$A$5:$A$104,0)),0))</f>
        <v/>
      </c>
      <c r="Q365" s="22" t="str">
        <f aca="false">IF($B365="","",G365*P365)</f>
        <v/>
      </c>
      <c r="R365" s="22" t="str">
        <f aca="false">IF($B365="","",O365-Q365-L365)</f>
        <v/>
      </c>
      <c r="S365" s="21" t="str">
        <f aca="false">IF(OR($B365="",N(O365)=0),"",R365/O365)</f>
        <v/>
      </c>
      <c r="T365" s="14"/>
      <c r="U365" s="19" t="n">
        <f aca="false">IF(OR($B365="",$A365=""),0,IF(COUNTIFS($A$5:$A365,$A365,$B$5:$B365,$B365)=1,1,0))</f>
        <v>0</v>
      </c>
    </row>
    <row r="366" customFormat="false" ht="15" hidden="false" customHeight="false" outlineLevel="0" collapsed="false">
      <c r="A366" s="17"/>
      <c r="B366" s="13"/>
      <c r="C366" s="20" t="str">
        <f aca="false">IF($B366="","",IFERROR(INDEX(고객사!$B$5:$B$104,MATCH($B366,고객사!$A$5:$A$104,0)),"코드 확인"))</f>
        <v/>
      </c>
      <c r="D366" s="15"/>
      <c r="E366" s="15"/>
      <c r="F366" s="16"/>
      <c r="G366" s="16"/>
      <c r="H366" s="21" t="str">
        <f aca="false">IF(OR($B366="",F366=0),"",G366/F366)</f>
        <v/>
      </c>
      <c r="I366" s="22" t="str">
        <f aca="false">IF($B366="","",MAX(F366-G366,0))</f>
        <v/>
      </c>
      <c r="J366" s="23" t="str">
        <f aca="false">IF($B366="","",IFERROR(INDEX(고객사!$G$5:$G$104,MATCH($B366,고객사!$A$5:$A$104,0)),""))</f>
        <v/>
      </c>
      <c r="K366" s="16"/>
      <c r="L366" s="22" t="str">
        <f aca="false">IF($B366="","",K366*IFERROR(INDEX(고객사!$L$5:$L$104,MATCH($B366,고객사!$A$5:$A$104,0)),0))</f>
        <v/>
      </c>
      <c r="M366" s="23" t="str">
        <f aca="false">IF($B366="","",IF(AND(J366="N",G366&gt;0,K366=0,IFERROR(INDEX(고객사!$H$5:$H$104,MATCH($B366,고객사!$A$5:$A$104,0)),"")="자사 차량 운행"),"차량 미배정",""))</f>
        <v/>
      </c>
      <c r="N366" s="22" t="str">
        <f aca="false">IF($B366="","",IFERROR(INDEX(고객사!$J$5:$J$104,MATCH($B366,고객사!$A$5:$A$104,0)),0))</f>
        <v/>
      </c>
      <c r="O366" s="22" t="str">
        <f aca="false">IF($B366="","",G366*N366)</f>
        <v/>
      </c>
      <c r="P366" s="22" t="str">
        <f aca="false">IF($B366="","",IFERROR(INDEX(고객사!$K$5:$K$104,MATCH($B366,고객사!$A$5:$A$104,0)),0))</f>
        <v/>
      </c>
      <c r="Q366" s="22" t="str">
        <f aca="false">IF($B366="","",G366*P366)</f>
        <v/>
      </c>
      <c r="R366" s="22" t="str">
        <f aca="false">IF($B366="","",O366-Q366-L366)</f>
        <v/>
      </c>
      <c r="S366" s="21" t="str">
        <f aca="false">IF(OR($B366="",N(O366)=0),"",R366/O366)</f>
        <v/>
      </c>
      <c r="T366" s="14"/>
      <c r="U366" s="19" t="n">
        <f aca="false">IF(OR($B366="",$A366=""),0,IF(COUNTIFS($A$5:$A366,$A366,$B$5:$B366,$B366)=1,1,0))</f>
        <v>0</v>
      </c>
    </row>
    <row r="367" customFormat="false" ht="15" hidden="false" customHeight="false" outlineLevel="0" collapsed="false">
      <c r="A367" s="17"/>
      <c r="B367" s="13"/>
      <c r="C367" s="20" t="str">
        <f aca="false">IF($B367="","",IFERROR(INDEX(고객사!$B$5:$B$104,MATCH($B367,고객사!$A$5:$A$104,0)),"코드 확인"))</f>
        <v/>
      </c>
      <c r="D367" s="15"/>
      <c r="E367" s="15"/>
      <c r="F367" s="16"/>
      <c r="G367" s="16"/>
      <c r="H367" s="21" t="str">
        <f aca="false">IF(OR($B367="",F367=0),"",G367/F367)</f>
        <v/>
      </c>
      <c r="I367" s="22" t="str">
        <f aca="false">IF($B367="","",MAX(F367-G367,0))</f>
        <v/>
      </c>
      <c r="J367" s="23" t="str">
        <f aca="false">IF($B367="","",IFERROR(INDEX(고객사!$G$5:$G$104,MATCH($B367,고객사!$A$5:$A$104,0)),""))</f>
        <v/>
      </c>
      <c r="K367" s="16"/>
      <c r="L367" s="22" t="str">
        <f aca="false">IF($B367="","",K367*IFERROR(INDEX(고객사!$L$5:$L$104,MATCH($B367,고객사!$A$5:$A$104,0)),0))</f>
        <v/>
      </c>
      <c r="M367" s="23" t="str">
        <f aca="false">IF($B367="","",IF(AND(J367="N",G367&gt;0,K367=0,IFERROR(INDEX(고객사!$H$5:$H$104,MATCH($B367,고객사!$A$5:$A$104,0)),"")="자사 차량 운행"),"차량 미배정",""))</f>
        <v/>
      </c>
      <c r="N367" s="22" t="str">
        <f aca="false">IF($B367="","",IFERROR(INDEX(고객사!$J$5:$J$104,MATCH($B367,고객사!$A$5:$A$104,0)),0))</f>
        <v/>
      </c>
      <c r="O367" s="22" t="str">
        <f aca="false">IF($B367="","",G367*N367)</f>
        <v/>
      </c>
      <c r="P367" s="22" t="str">
        <f aca="false">IF($B367="","",IFERROR(INDEX(고객사!$K$5:$K$104,MATCH($B367,고객사!$A$5:$A$104,0)),0))</f>
        <v/>
      </c>
      <c r="Q367" s="22" t="str">
        <f aca="false">IF($B367="","",G367*P367)</f>
        <v/>
      </c>
      <c r="R367" s="22" t="str">
        <f aca="false">IF($B367="","",O367-Q367-L367)</f>
        <v/>
      </c>
      <c r="S367" s="21" t="str">
        <f aca="false">IF(OR($B367="",N(O367)=0),"",R367/O367)</f>
        <v/>
      </c>
      <c r="T367" s="14"/>
      <c r="U367" s="19" t="n">
        <f aca="false">IF(OR($B367="",$A367=""),0,IF(COUNTIFS($A$5:$A367,$A367,$B$5:$B367,$B367)=1,1,0))</f>
        <v>0</v>
      </c>
    </row>
    <row r="368" customFormat="false" ht="15" hidden="false" customHeight="false" outlineLevel="0" collapsed="false">
      <c r="A368" s="17"/>
      <c r="B368" s="13"/>
      <c r="C368" s="20" t="str">
        <f aca="false">IF($B368="","",IFERROR(INDEX(고객사!$B$5:$B$104,MATCH($B368,고객사!$A$5:$A$104,0)),"코드 확인"))</f>
        <v/>
      </c>
      <c r="D368" s="15"/>
      <c r="E368" s="15"/>
      <c r="F368" s="16"/>
      <c r="G368" s="16"/>
      <c r="H368" s="21" t="str">
        <f aca="false">IF(OR($B368="",F368=0),"",G368/F368)</f>
        <v/>
      </c>
      <c r="I368" s="22" t="str">
        <f aca="false">IF($B368="","",MAX(F368-G368,0))</f>
        <v/>
      </c>
      <c r="J368" s="23" t="str">
        <f aca="false">IF($B368="","",IFERROR(INDEX(고객사!$G$5:$G$104,MATCH($B368,고객사!$A$5:$A$104,0)),""))</f>
        <v/>
      </c>
      <c r="K368" s="16"/>
      <c r="L368" s="22" t="str">
        <f aca="false">IF($B368="","",K368*IFERROR(INDEX(고객사!$L$5:$L$104,MATCH($B368,고객사!$A$5:$A$104,0)),0))</f>
        <v/>
      </c>
      <c r="M368" s="23" t="str">
        <f aca="false">IF($B368="","",IF(AND(J368="N",G368&gt;0,K368=0,IFERROR(INDEX(고객사!$H$5:$H$104,MATCH($B368,고객사!$A$5:$A$104,0)),"")="자사 차량 운행"),"차량 미배정",""))</f>
        <v/>
      </c>
      <c r="N368" s="22" t="str">
        <f aca="false">IF($B368="","",IFERROR(INDEX(고객사!$J$5:$J$104,MATCH($B368,고객사!$A$5:$A$104,0)),0))</f>
        <v/>
      </c>
      <c r="O368" s="22" t="str">
        <f aca="false">IF($B368="","",G368*N368)</f>
        <v/>
      </c>
      <c r="P368" s="22" t="str">
        <f aca="false">IF($B368="","",IFERROR(INDEX(고객사!$K$5:$K$104,MATCH($B368,고객사!$A$5:$A$104,0)),0))</f>
        <v/>
      </c>
      <c r="Q368" s="22" t="str">
        <f aca="false">IF($B368="","",G368*P368)</f>
        <v/>
      </c>
      <c r="R368" s="22" t="str">
        <f aca="false">IF($B368="","",O368-Q368-L368)</f>
        <v/>
      </c>
      <c r="S368" s="21" t="str">
        <f aca="false">IF(OR($B368="",N(O368)=0),"",R368/O368)</f>
        <v/>
      </c>
      <c r="T368" s="14"/>
      <c r="U368" s="19" t="n">
        <f aca="false">IF(OR($B368="",$A368=""),0,IF(COUNTIFS($A$5:$A368,$A368,$B$5:$B368,$B368)=1,1,0))</f>
        <v>0</v>
      </c>
    </row>
    <row r="369" customFormat="false" ht="15" hidden="false" customHeight="false" outlineLevel="0" collapsed="false">
      <c r="A369" s="17"/>
      <c r="B369" s="13"/>
      <c r="C369" s="20" t="str">
        <f aca="false">IF($B369="","",IFERROR(INDEX(고객사!$B$5:$B$104,MATCH($B369,고객사!$A$5:$A$104,0)),"코드 확인"))</f>
        <v/>
      </c>
      <c r="D369" s="15"/>
      <c r="E369" s="15"/>
      <c r="F369" s="16"/>
      <c r="G369" s="16"/>
      <c r="H369" s="21" t="str">
        <f aca="false">IF(OR($B369="",F369=0),"",G369/F369)</f>
        <v/>
      </c>
      <c r="I369" s="22" t="str">
        <f aca="false">IF($B369="","",MAX(F369-G369,0))</f>
        <v/>
      </c>
      <c r="J369" s="23" t="str">
        <f aca="false">IF($B369="","",IFERROR(INDEX(고객사!$G$5:$G$104,MATCH($B369,고객사!$A$5:$A$104,0)),""))</f>
        <v/>
      </c>
      <c r="K369" s="16"/>
      <c r="L369" s="22" t="str">
        <f aca="false">IF($B369="","",K369*IFERROR(INDEX(고객사!$L$5:$L$104,MATCH($B369,고객사!$A$5:$A$104,0)),0))</f>
        <v/>
      </c>
      <c r="M369" s="23" t="str">
        <f aca="false">IF($B369="","",IF(AND(J369="N",G369&gt;0,K369=0,IFERROR(INDEX(고객사!$H$5:$H$104,MATCH($B369,고객사!$A$5:$A$104,0)),"")="자사 차량 운행"),"차량 미배정",""))</f>
        <v/>
      </c>
      <c r="N369" s="22" t="str">
        <f aca="false">IF($B369="","",IFERROR(INDEX(고객사!$J$5:$J$104,MATCH($B369,고객사!$A$5:$A$104,0)),0))</f>
        <v/>
      </c>
      <c r="O369" s="22" t="str">
        <f aca="false">IF($B369="","",G369*N369)</f>
        <v/>
      </c>
      <c r="P369" s="22" t="str">
        <f aca="false">IF($B369="","",IFERROR(INDEX(고객사!$K$5:$K$104,MATCH($B369,고객사!$A$5:$A$104,0)),0))</f>
        <v/>
      </c>
      <c r="Q369" s="22" t="str">
        <f aca="false">IF($B369="","",G369*P369)</f>
        <v/>
      </c>
      <c r="R369" s="22" t="str">
        <f aca="false">IF($B369="","",O369-Q369-L369)</f>
        <v/>
      </c>
      <c r="S369" s="21" t="str">
        <f aca="false">IF(OR($B369="",N(O369)=0),"",R369/O369)</f>
        <v/>
      </c>
      <c r="T369" s="14"/>
      <c r="U369" s="19" t="n">
        <f aca="false">IF(OR($B369="",$A369=""),0,IF(COUNTIFS($A$5:$A369,$A369,$B$5:$B369,$B369)=1,1,0))</f>
        <v>0</v>
      </c>
    </row>
    <row r="370" customFormat="false" ht="15" hidden="false" customHeight="false" outlineLevel="0" collapsed="false">
      <c r="A370" s="17"/>
      <c r="B370" s="13"/>
      <c r="C370" s="20" t="str">
        <f aca="false">IF($B370="","",IFERROR(INDEX(고객사!$B$5:$B$104,MATCH($B370,고객사!$A$5:$A$104,0)),"코드 확인"))</f>
        <v/>
      </c>
      <c r="D370" s="15"/>
      <c r="E370" s="15"/>
      <c r="F370" s="16"/>
      <c r="G370" s="16"/>
      <c r="H370" s="21" t="str">
        <f aca="false">IF(OR($B370="",F370=0),"",G370/F370)</f>
        <v/>
      </c>
      <c r="I370" s="22" t="str">
        <f aca="false">IF($B370="","",MAX(F370-G370,0))</f>
        <v/>
      </c>
      <c r="J370" s="23" t="str">
        <f aca="false">IF($B370="","",IFERROR(INDEX(고객사!$G$5:$G$104,MATCH($B370,고객사!$A$5:$A$104,0)),""))</f>
        <v/>
      </c>
      <c r="K370" s="16"/>
      <c r="L370" s="22" t="str">
        <f aca="false">IF($B370="","",K370*IFERROR(INDEX(고객사!$L$5:$L$104,MATCH($B370,고객사!$A$5:$A$104,0)),0))</f>
        <v/>
      </c>
      <c r="M370" s="23" t="str">
        <f aca="false">IF($B370="","",IF(AND(J370="N",G370&gt;0,K370=0,IFERROR(INDEX(고객사!$H$5:$H$104,MATCH($B370,고객사!$A$5:$A$104,0)),"")="자사 차량 운행"),"차량 미배정",""))</f>
        <v/>
      </c>
      <c r="N370" s="22" t="str">
        <f aca="false">IF($B370="","",IFERROR(INDEX(고객사!$J$5:$J$104,MATCH($B370,고객사!$A$5:$A$104,0)),0))</f>
        <v/>
      </c>
      <c r="O370" s="22" t="str">
        <f aca="false">IF($B370="","",G370*N370)</f>
        <v/>
      </c>
      <c r="P370" s="22" t="str">
        <f aca="false">IF($B370="","",IFERROR(INDEX(고객사!$K$5:$K$104,MATCH($B370,고객사!$A$5:$A$104,0)),0))</f>
        <v/>
      </c>
      <c r="Q370" s="22" t="str">
        <f aca="false">IF($B370="","",G370*P370)</f>
        <v/>
      </c>
      <c r="R370" s="22" t="str">
        <f aca="false">IF($B370="","",O370-Q370-L370)</f>
        <v/>
      </c>
      <c r="S370" s="21" t="str">
        <f aca="false">IF(OR($B370="",N(O370)=0),"",R370/O370)</f>
        <v/>
      </c>
      <c r="T370" s="14"/>
      <c r="U370" s="19" t="n">
        <f aca="false">IF(OR($B370="",$A370=""),0,IF(COUNTIFS($A$5:$A370,$A370,$B$5:$B370,$B370)=1,1,0))</f>
        <v>0</v>
      </c>
    </row>
    <row r="371" customFormat="false" ht="15" hidden="false" customHeight="false" outlineLevel="0" collapsed="false">
      <c r="A371" s="17"/>
      <c r="B371" s="13"/>
      <c r="C371" s="20" t="str">
        <f aca="false">IF($B371="","",IFERROR(INDEX(고객사!$B$5:$B$104,MATCH($B371,고객사!$A$5:$A$104,0)),"코드 확인"))</f>
        <v/>
      </c>
      <c r="D371" s="15"/>
      <c r="E371" s="15"/>
      <c r="F371" s="16"/>
      <c r="G371" s="16"/>
      <c r="H371" s="21" t="str">
        <f aca="false">IF(OR($B371="",F371=0),"",G371/F371)</f>
        <v/>
      </c>
      <c r="I371" s="22" t="str">
        <f aca="false">IF($B371="","",MAX(F371-G371,0))</f>
        <v/>
      </c>
      <c r="J371" s="23" t="str">
        <f aca="false">IF($B371="","",IFERROR(INDEX(고객사!$G$5:$G$104,MATCH($B371,고객사!$A$5:$A$104,0)),""))</f>
        <v/>
      </c>
      <c r="K371" s="16"/>
      <c r="L371" s="22" t="str">
        <f aca="false">IF($B371="","",K371*IFERROR(INDEX(고객사!$L$5:$L$104,MATCH($B371,고객사!$A$5:$A$104,0)),0))</f>
        <v/>
      </c>
      <c r="M371" s="23" t="str">
        <f aca="false">IF($B371="","",IF(AND(J371="N",G371&gt;0,K371=0,IFERROR(INDEX(고객사!$H$5:$H$104,MATCH($B371,고객사!$A$5:$A$104,0)),"")="자사 차량 운행"),"차량 미배정",""))</f>
        <v/>
      </c>
      <c r="N371" s="22" t="str">
        <f aca="false">IF($B371="","",IFERROR(INDEX(고객사!$J$5:$J$104,MATCH($B371,고객사!$A$5:$A$104,0)),0))</f>
        <v/>
      </c>
      <c r="O371" s="22" t="str">
        <f aca="false">IF($B371="","",G371*N371)</f>
        <v/>
      </c>
      <c r="P371" s="22" t="str">
        <f aca="false">IF($B371="","",IFERROR(INDEX(고객사!$K$5:$K$104,MATCH($B371,고객사!$A$5:$A$104,0)),0))</f>
        <v/>
      </c>
      <c r="Q371" s="22" t="str">
        <f aca="false">IF($B371="","",G371*P371)</f>
        <v/>
      </c>
      <c r="R371" s="22" t="str">
        <f aca="false">IF($B371="","",O371-Q371-L371)</f>
        <v/>
      </c>
      <c r="S371" s="21" t="str">
        <f aca="false">IF(OR($B371="",N(O371)=0),"",R371/O371)</f>
        <v/>
      </c>
      <c r="T371" s="14"/>
      <c r="U371" s="19" t="n">
        <f aca="false">IF(OR($B371="",$A371=""),0,IF(COUNTIFS($A$5:$A371,$A371,$B$5:$B371,$B371)=1,1,0))</f>
        <v>0</v>
      </c>
    </row>
    <row r="372" customFormat="false" ht="15" hidden="false" customHeight="false" outlineLevel="0" collapsed="false">
      <c r="A372" s="17"/>
      <c r="B372" s="13"/>
      <c r="C372" s="20" t="str">
        <f aca="false">IF($B372="","",IFERROR(INDEX(고객사!$B$5:$B$104,MATCH($B372,고객사!$A$5:$A$104,0)),"코드 확인"))</f>
        <v/>
      </c>
      <c r="D372" s="15"/>
      <c r="E372" s="15"/>
      <c r="F372" s="16"/>
      <c r="G372" s="16"/>
      <c r="H372" s="21" t="str">
        <f aca="false">IF(OR($B372="",F372=0),"",G372/F372)</f>
        <v/>
      </c>
      <c r="I372" s="22" t="str">
        <f aca="false">IF($B372="","",MAX(F372-G372,0))</f>
        <v/>
      </c>
      <c r="J372" s="23" t="str">
        <f aca="false">IF($B372="","",IFERROR(INDEX(고객사!$G$5:$G$104,MATCH($B372,고객사!$A$5:$A$104,0)),""))</f>
        <v/>
      </c>
      <c r="K372" s="16"/>
      <c r="L372" s="22" t="str">
        <f aca="false">IF($B372="","",K372*IFERROR(INDEX(고객사!$L$5:$L$104,MATCH($B372,고객사!$A$5:$A$104,0)),0))</f>
        <v/>
      </c>
      <c r="M372" s="23" t="str">
        <f aca="false">IF($B372="","",IF(AND(J372="N",G372&gt;0,K372=0,IFERROR(INDEX(고객사!$H$5:$H$104,MATCH($B372,고객사!$A$5:$A$104,0)),"")="자사 차량 운행"),"차량 미배정",""))</f>
        <v/>
      </c>
      <c r="N372" s="22" t="str">
        <f aca="false">IF($B372="","",IFERROR(INDEX(고객사!$J$5:$J$104,MATCH($B372,고객사!$A$5:$A$104,0)),0))</f>
        <v/>
      </c>
      <c r="O372" s="22" t="str">
        <f aca="false">IF($B372="","",G372*N372)</f>
        <v/>
      </c>
      <c r="P372" s="22" t="str">
        <f aca="false">IF($B372="","",IFERROR(INDEX(고객사!$K$5:$K$104,MATCH($B372,고객사!$A$5:$A$104,0)),0))</f>
        <v/>
      </c>
      <c r="Q372" s="22" t="str">
        <f aca="false">IF($B372="","",G372*P372)</f>
        <v/>
      </c>
      <c r="R372" s="22" t="str">
        <f aca="false">IF($B372="","",O372-Q372-L372)</f>
        <v/>
      </c>
      <c r="S372" s="21" t="str">
        <f aca="false">IF(OR($B372="",N(O372)=0),"",R372/O372)</f>
        <v/>
      </c>
      <c r="T372" s="14"/>
      <c r="U372" s="19" t="n">
        <f aca="false">IF(OR($B372="",$A372=""),0,IF(COUNTIFS($A$5:$A372,$A372,$B$5:$B372,$B372)=1,1,0))</f>
        <v>0</v>
      </c>
    </row>
    <row r="373" customFormat="false" ht="15" hidden="false" customHeight="false" outlineLevel="0" collapsed="false">
      <c r="A373" s="17"/>
      <c r="B373" s="13"/>
      <c r="C373" s="20" t="str">
        <f aca="false">IF($B373="","",IFERROR(INDEX(고객사!$B$5:$B$104,MATCH($B373,고객사!$A$5:$A$104,0)),"코드 확인"))</f>
        <v/>
      </c>
      <c r="D373" s="15"/>
      <c r="E373" s="15"/>
      <c r="F373" s="16"/>
      <c r="G373" s="16"/>
      <c r="H373" s="21" t="str">
        <f aca="false">IF(OR($B373="",F373=0),"",G373/F373)</f>
        <v/>
      </c>
      <c r="I373" s="22" t="str">
        <f aca="false">IF($B373="","",MAX(F373-G373,0))</f>
        <v/>
      </c>
      <c r="J373" s="23" t="str">
        <f aca="false">IF($B373="","",IFERROR(INDEX(고객사!$G$5:$G$104,MATCH($B373,고객사!$A$5:$A$104,0)),""))</f>
        <v/>
      </c>
      <c r="K373" s="16"/>
      <c r="L373" s="22" t="str">
        <f aca="false">IF($B373="","",K373*IFERROR(INDEX(고객사!$L$5:$L$104,MATCH($B373,고객사!$A$5:$A$104,0)),0))</f>
        <v/>
      </c>
      <c r="M373" s="23" t="str">
        <f aca="false">IF($B373="","",IF(AND(J373="N",G373&gt;0,K373=0,IFERROR(INDEX(고객사!$H$5:$H$104,MATCH($B373,고객사!$A$5:$A$104,0)),"")="자사 차량 운행"),"차량 미배정",""))</f>
        <v/>
      </c>
      <c r="N373" s="22" t="str">
        <f aca="false">IF($B373="","",IFERROR(INDEX(고객사!$J$5:$J$104,MATCH($B373,고객사!$A$5:$A$104,0)),0))</f>
        <v/>
      </c>
      <c r="O373" s="22" t="str">
        <f aca="false">IF($B373="","",G373*N373)</f>
        <v/>
      </c>
      <c r="P373" s="22" t="str">
        <f aca="false">IF($B373="","",IFERROR(INDEX(고객사!$K$5:$K$104,MATCH($B373,고객사!$A$5:$A$104,0)),0))</f>
        <v/>
      </c>
      <c r="Q373" s="22" t="str">
        <f aca="false">IF($B373="","",G373*P373)</f>
        <v/>
      </c>
      <c r="R373" s="22" t="str">
        <f aca="false">IF($B373="","",O373-Q373-L373)</f>
        <v/>
      </c>
      <c r="S373" s="21" t="str">
        <f aca="false">IF(OR($B373="",N(O373)=0),"",R373/O373)</f>
        <v/>
      </c>
      <c r="T373" s="14"/>
      <c r="U373" s="19" t="n">
        <f aca="false">IF(OR($B373="",$A373=""),0,IF(COUNTIFS($A$5:$A373,$A373,$B$5:$B373,$B373)=1,1,0))</f>
        <v>0</v>
      </c>
    </row>
    <row r="374" customFormat="false" ht="15" hidden="false" customHeight="false" outlineLevel="0" collapsed="false">
      <c r="A374" s="17"/>
      <c r="B374" s="13"/>
      <c r="C374" s="20" t="str">
        <f aca="false">IF($B374="","",IFERROR(INDEX(고객사!$B$5:$B$104,MATCH($B374,고객사!$A$5:$A$104,0)),"코드 확인"))</f>
        <v/>
      </c>
      <c r="D374" s="15"/>
      <c r="E374" s="15"/>
      <c r="F374" s="16"/>
      <c r="G374" s="16"/>
      <c r="H374" s="21" t="str">
        <f aca="false">IF(OR($B374="",F374=0),"",G374/F374)</f>
        <v/>
      </c>
      <c r="I374" s="22" t="str">
        <f aca="false">IF($B374="","",MAX(F374-G374,0))</f>
        <v/>
      </c>
      <c r="J374" s="23" t="str">
        <f aca="false">IF($B374="","",IFERROR(INDEX(고객사!$G$5:$G$104,MATCH($B374,고객사!$A$5:$A$104,0)),""))</f>
        <v/>
      </c>
      <c r="K374" s="16"/>
      <c r="L374" s="22" t="str">
        <f aca="false">IF($B374="","",K374*IFERROR(INDEX(고객사!$L$5:$L$104,MATCH($B374,고객사!$A$5:$A$104,0)),0))</f>
        <v/>
      </c>
      <c r="M374" s="23" t="str">
        <f aca="false">IF($B374="","",IF(AND(J374="N",G374&gt;0,K374=0,IFERROR(INDEX(고객사!$H$5:$H$104,MATCH($B374,고객사!$A$5:$A$104,0)),"")="자사 차량 운행"),"차량 미배정",""))</f>
        <v/>
      </c>
      <c r="N374" s="22" t="str">
        <f aca="false">IF($B374="","",IFERROR(INDEX(고객사!$J$5:$J$104,MATCH($B374,고객사!$A$5:$A$104,0)),0))</f>
        <v/>
      </c>
      <c r="O374" s="22" t="str">
        <f aca="false">IF($B374="","",G374*N374)</f>
        <v/>
      </c>
      <c r="P374" s="22" t="str">
        <f aca="false">IF($B374="","",IFERROR(INDEX(고객사!$K$5:$K$104,MATCH($B374,고객사!$A$5:$A$104,0)),0))</f>
        <v/>
      </c>
      <c r="Q374" s="22" t="str">
        <f aca="false">IF($B374="","",G374*P374)</f>
        <v/>
      </c>
      <c r="R374" s="22" t="str">
        <f aca="false">IF($B374="","",O374-Q374-L374)</f>
        <v/>
      </c>
      <c r="S374" s="21" t="str">
        <f aca="false">IF(OR($B374="",N(O374)=0),"",R374/O374)</f>
        <v/>
      </c>
      <c r="T374" s="14"/>
      <c r="U374" s="19" t="n">
        <f aca="false">IF(OR($B374="",$A374=""),0,IF(COUNTIFS($A$5:$A374,$A374,$B$5:$B374,$B374)=1,1,0))</f>
        <v>0</v>
      </c>
    </row>
    <row r="375" customFormat="false" ht="15" hidden="false" customHeight="false" outlineLevel="0" collapsed="false">
      <c r="A375" s="17"/>
      <c r="B375" s="13"/>
      <c r="C375" s="20" t="str">
        <f aca="false">IF($B375="","",IFERROR(INDEX(고객사!$B$5:$B$104,MATCH($B375,고객사!$A$5:$A$104,0)),"코드 확인"))</f>
        <v/>
      </c>
      <c r="D375" s="15"/>
      <c r="E375" s="15"/>
      <c r="F375" s="16"/>
      <c r="G375" s="16"/>
      <c r="H375" s="21" t="str">
        <f aca="false">IF(OR($B375="",F375=0),"",G375/F375)</f>
        <v/>
      </c>
      <c r="I375" s="22" t="str">
        <f aca="false">IF($B375="","",MAX(F375-G375,0))</f>
        <v/>
      </c>
      <c r="J375" s="23" t="str">
        <f aca="false">IF($B375="","",IFERROR(INDEX(고객사!$G$5:$G$104,MATCH($B375,고객사!$A$5:$A$104,0)),""))</f>
        <v/>
      </c>
      <c r="K375" s="16"/>
      <c r="L375" s="22" t="str">
        <f aca="false">IF($B375="","",K375*IFERROR(INDEX(고객사!$L$5:$L$104,MATCH($B375,고객사!$A$5:$A$104,0)),0))</f>
        <v/>
      </c>
      <c r="M375" s="23" t="str">
        <f aca="false">IF($B375="","",IF(AND(J375="N",G375&gt;0,K375=0,IFERROR(INDEX(고객사!$H$5:$H$104,MATCH($B375,고객사!$A$5:$A$104,0)),"")="자사 차량 운행"),"차량 미배정",""))</f>
        <v/>
      </c>
      <c r="N375" s="22" t="str">
        <f aca="false">IF($B375="","",IFERROR(INDEX(고객사!$J$5:$J$104,MATCH($B375,고객사!$A$5:$A$104,0)),0))</f>
        <v/>
      </c>
      <c r="O375" s="22" t="str">
        <f aca="false">IF($B375="","",G375*N375)</f>
        <v/>
      </c>
      <c r="P375" s="22" t="str">
        <f aca="false">IF($B375="","",IFERROR(INDEX(고객사!$K$5:$K$104,MATCH($B375,고객사!$A$5:$A$104,0)),0))</f>
        <v/>
      </c>
      <c r="Q375" s="22" t="str">
        <f aca="false">IF($B375="","",G375*P375)</f>
        <v/>
      </c>
      <c r="R375" s="22" t="str">
        <f aca="false">IF($B375="","",O375-Q375-L375)</f>
        <v/>
      </c>
      <c r="S375" s="21" t="str">
        <f aca="false">IF(OR($B375="",N(O375)=0),"",R375/O375)</f>
        <v/>
      </c>
      <c r="T375" s="14"/>
      <c r="U375" s="19" t="n">
        <f aca="false">IF(OR($B375="",$A375=""),0,IF(COUNTIFS($A$5:$A375,$A375,$B$5:$B375,$B375)=1,1,0))</f>
        <v>0</v>
      </c>
    </row>
    <row r="376" customFormat="false" ht="15" hidden="false" customHeight="false" outlineLevel="0" collapsed="false">
      <c r="A376" s="17"/>
      <c r="B376" s="13"/>
      <c r="C376" s="20" t="str">
        <f aca="false">IF($B376="","",IFERROR(INDEX(고객사!$B$5:$B$104,MATCH($B376,고객사!$A$5:$A$104,0)),"코드 확인"))</f>
        <v/>
      </c>
      <c r="D376" s="15"/>
      <c r="E376" s="15"/>
      <c r="F376" s="16"/>
      <c r="G376" s="16"/>
      <c r="H376" s="21" t="str">
        <f aca="false">IF(OR($B376="",F376=0),"",G376/F376)</f>
        <v/>
      </c>
      <c r="I376" s="22" t="str">
        <f aca="false">IF($B376="","",MAX(F376-G376,0))</f>
        <v/>
      </c>
      <c r="J376" s="23" t="str">
        <f aca="false">IF($B376="","",IFERROR(INDEX(고객사!$G$5:$G$104,MATCH($B376,고객사!$A$5:$A$104,0)),""))</f>
        <v/>
      </c>
      <c r="K376" s="16"/>
      <c r="L376" s="22" t="str">
        <f aca="false">IF($B376="","",K376*IFERROR(INDEX(고객사!$L$5:$L$104,MATCH($B376,고객사!$A$5:$A$104,0)),0))</f>
        <v/>
      </c>
      <c r="M376" s="23" t="str">
        <f aca="false">IF($B376="","",IF(AND(J376="N",G376&gt;0,K376=0,IFERROR(INDEX(고객사!$H$5:$H$104,MATCH($B376,고객사!$A$5:$A$104,0)),"")="자사 차량 운행"),"차량 미배정",""))</f>
        <v/>
      </c>
      <c r="N376" s="22" t="str">
        <f aca="false">IF($B376="","",IFERROR(INDEX(고객사!$J$5:$J$104,MATCH($B376,고객사!$A$5:$A$104,0)),0))</f>
        <v/>
      </c>
      <c r="O376" s="22" t="str">
        <f aca="false">IF($B376="","",G376*N376)</f>
        <v/>
      </c>
      <c r="P376" s="22" t="str">
        <f aca="false">IF($B376="","",IFERROR(INDEX(고객사!$K$5:$K$104,MATCH($B376,고객사!$A$5:$A$104,0)),0))</f>
        <v/>
      </c>
      <c r="Q376" s="22" t="str">
        <f aca="false">IF($B376="","",G376*P376)</f>
        <v/>
      </c>
      <c r="R376" s="22" t="str">
        <f aca="false">IF($B376="","",O376-Q376-L376)</f>
        <v/>
      </c>
      <c r="S376" s="21" t="str">
        <f aca="false">IF(OR($B376="",N(O376)=0),"",R376/O376)</f>
        <v/>
      </c>
      <c r="T376" s="14"/>
      <c r="U376" s="19" t="n">
        <f aca="false">IF(OR($B376="",$A376=""),0,IF(COUNTIFS($A$5:$A376,$A376,$B$5:$B376,$B376)=1,1,0))</f>
        <v>0</v>
      </c>
    </row>
    <row r="377" customFormat="false" ht="15" hidden="false" customHeight="false" outlineLevel="0" collapsed="false">
      <c r="A377" s="17"/>
      <c r="B377" s="13"/>
      <c r="C377" s="20" t="str">
        <f aca="false">IF($B377="","",IFERROR(INDEX(고객사!$B$5:$B$104,MATCH($B377,고객사!$A$5:$A$104,0)),"코드 확인"))</f>
        <v/>
      </c>
      <c r="D377" s="15"/>
      <c r="E377" s="15"/>
      <c r="F377" s="16"/>
      <c r="G377" s="16"/>
      <c r="H377" s="21" t="str">
        <f aca="false">IF(OR($B377="",F377=0),"",G377/F377)</f>
        <v/>
      </c>
      <c r="I377" s="22" t="str">
        <f aca="false">IF($B377="","",MAX(F377-G377,0))</f>
        <v/>
      </c>
      <c r="J377" s="23" t="str">
        <f aca="false">IF($B377="","",IFERROR(INDEX(고객사!$G$5:$G$104,MATCH($B377,고객사!$A$5:$A$104,0)),""))</f>
        <v/>
      </c>
      <c r="K377" s="16"/>
      <c r="L377" s="22" t="str">
        <f aca="false">IF($B377="","",K377*IFERROR(INDEX(고객사!$L$5:$L$104,MATCH($B377,고객사!$A$5:$A$104,0)),0))</f>
        <v/>
      </c>
      <c r="M377" s="23" t="str">
        <f aca="false">IF($B377="","",IF(AND(J377="N",G377&gt;0,K377=0,IFERROR(INDEX(고객사!$H$5:$H$104,MATCH($B377,고객사!$A$5:$A$104,0)),"")="자사 차량 운행"),"차량 미배정",""))</f>
        <v/>
      </c>
      <c r="N377" s="22" t="str">
        <f aca="false">IF($B377="","",IFERROR(INDEX(고객사!$J$5:$J$104,MATCH($B377,고객사!$A$5:$A$104,0)),0))</f>
        <v/>
      </c>
      <c r="O377" s="22" t="str">
        <f aca="false">IF($B377="","",G377*N377)</f>
        <v/>
      </c>
      <c r="P377" s="22" t="str">
        <f aca="false">IF($B377="","",IFERROR(INDEX(고객사!$K$5:$K$104,MATCH($B377,고객사!$A$5:$A$104,0)),0))</f>
        <v/>
      </c>
      <c r="Q377" s="22" t="str">
        <f aca="false">IF($B377="","",G377*P377)</f>
        <v/>
      </c>
      <c r="R377" s="22" t="str">
        <f aca="false">IF($B377="","",O377-Q377-L377)</f>
        <v/>
      </c>
      <c r="S377" s="21" t="str">
        <f aca="false">IF(OR($B377="",N(O377)=0),"",R377/O377)</f>
        <v/>
      </c>
      <c r="T377" s="14"/>
      <c r="U377" s="19" t="n">
        <f aca="false">IF(OR($B377="",$A377=""),0,IF(COUNTIFS($A$5:$A377,$A377,$B$5:$B377,$B377)=1,1,0))</f>
        <v>0</v>
      </c>
    </row>
    <row r="378" customFormat="false" ht="15" hidden="false" customHeight="false" outlineLevel="0" collapsed="false">
      <c r="A378" s="17"/>
      <c r="B378" s="13"/>
      <c r="C378" s="20" t="str">
        <f aca="false">IF($B378="","",IFERROR(INDEX(고객사!$B$5:$B$104,MATCH($B378,고객사!$A$5:$A$104,0)),"코드 확인"))</f>
        <v/>
      </c>
      <c r="D378" s="15"/>
      <c r="E378" s="15"/>
      <c r="F378" s="16"/>
      <c r="G378" s="16"/>
      <c r="H378" s="21" t="str">
        <f aca="false">IF(OR($B378="",F378=0),"",G378/F378)</f>
        <v/>
      </c>
      <c r="I378" s="22" t="str">
        <f aca="false">IF($B378="","",MAX(F378-G378,0))</f>
        <v/>
      </c>
      <c r="J378" s="23" t="str">
        <f aca="false">IF($B378="","",IFERROR(INDEX(고객사!$G$5:$G$104,MATCH($B378,고객사!$A$5:$A$104,0)),""))</f>
        <v/>
      </c>
      <c r="K378" s="16"/>
      <c r="L378" s="22" t="str">
        <f aca="false">IF($B378="","",K378*IFERROR(INDEX(고객사!$L$5:$L$104,MATCH($B378,고객사!$A$5:$A$104,0)),0))</f>
        <v/>
      </c>
      <c r="M378" s="23" t="str">
        <f aca="false">IF($B378="","",IF(AND(J378="N",G378&gt;0,K378=0,IFERROR(INDEX(고객사!$H$5:$H$104,MATCH($B378,고객사!$A$5:$A$104,0)),"")="자사 차량 운행"),"차량 미배정",""))</f>
        <v/>
      </c>
      <c r="N378" s="22" t="str">
        <f aca="false">IF($B378="","",IFERROR(INDEX(고객사!$J$5:$J$104,MATCH($B378,고객사!$A$5:$A$104,0)),0))</f>
        <v/>
      </c>
      <c r="O378" s="22" t="str">
        <f aca="false">IF($B378="","",G378*N378)</f>
        <v/>
      </c>
      <c r="P378" s="22" t="str">
        <f aca="false">IF($B378="","",IFERROR(INDEX(고객사!$K$5:$K$104,MATCH($B378,고객사!$A$5:$A$104,0)),0))</f>
        <v/>
      </c>
      <c r="Q378" s="22" t="str">
        <f aca="false">IF($B378="","",G378*P378)</f>
        <v/>
      </c>
      <c r="R378" s="22" t="str">
        <f aca="false">IF($B378="","",O378-Q378-L378)</f>
        <v/>
      </c>
      <c r="S378" s="21" t="str">
        <f aca="false">IF(OR($B378="",N(O378)=0),"",R378/O378)</f>
        <v/>
      </c>
      <c r="T378" s="14"/>
      <c r="U378" s="19" t="n">
        <f aca="false">IF(OR($B378="",$A378=""),0,IF(COUNTIFS($A$5:$A378,$A378,$B$5:$B378,$B378)=1,1,0))</f>
        <v>0</v>
      </c>
    </row>
    <row r="379" customFormat="false" ht="15" hidden="false" customHeight="false" outlineLevel="0" collapsed="false">
      <c r="A379" s="17"/>
      <c r="B379" s="13"/>
      <c r="C379" s="20" t="str">
        <f aca="false">IF($B379="","",IFERROR(INDEX(고객사!$B$5:$B$104,MATCH($B379,고객사!$A$5:$A$104,0)),"코드 확인"))</f>
        <v/>
      </c>
      <c r="D379" s="15"/>
      <c r="E379" s="15"/>
      <c r="F379" s="16"/>
      <c r="G379" s="16"/>
      <c r="H379" s="21" t="str">
        <f aca="false">IF(OR($B379="",F379=0),"",G379/F379)</f>
        <v/>
      </c>
      <c r="I379" s="22" t="str">
        <f aca="false">IF($B379="","",MAX(F379-G379,0))</f>
        <v/>
      </c>
      <c r="J379" s="23" t="str">
        <f aca="false">IF($B379="","",IFERROR(INDEX(고객사!$G$5:$G$104,MATCH($B379,고객사!$A$5:$A$104,0)),""))</f>
        <v/>
      </c>
      <c r="K379" s="16"/>
      <c r="L379" s="22" t="str">
        <f aca="false">IF($B379="","",K379*IFERROR(INDEX(고객사!$L$5:$L$104,MATCH($B379,고객사!$A$5:$A$104,0)),0))</f>
        <v/>
      </c>
      <c r="M379" s="23" t="str">
        <f aca="false">IF($B379="","",IF(AND(J379="N",G379&gt;0,K379=0,IFERROR(INDEX(고객사!$H$5:$H$104,MATCH($B379,고객사!$A$5:$A$104,0)),"")="자사 차량 운행"),"차량 미배정",""))</f>
        <v/>
      </c>
      <c r="N379" s="22" t="str">
        <f aca="false">IF($B379="","",IFERROR(INDEX(고객사!$J$5:$J$104,MATCH($B379,고객사!$A$5:$A$104,0)),0))</f>
        <v/>
      </c>
      <c r="O379" s="22" t="str">
        <f aca="false">IF($B379="","",G379*N379)</f>
        <v/>
      </c>
      <c r="P379" s="22" t="str">
        <f aca="false">IF($B379="","",IFERROR(INDEX(고객사!$K$5:$K$104,MATCH($B379,고객사!$A$5:$A$104,0)),0))</f>
        <v/>
      </c>
      <c r="Q379" s="22" t="str">
        <f aca="false">IF($B379="","",G379*P379)</f>
        <v/>
      </c>
      <c r="R379" s="22" t="str">
        <f aca="false">IF($B379="","",O379-Q379-L379)</f>
        <v/>
      </c>
      <c r="S379" s="21" t="str">
        <f aca="false">IF(OR($B379="",N(O379)=0),"",R379/O379)</f>
        <v/>
      </c>
      <c r="T379" s="14"/>
      <c r="U379" s="19" t="n">
        <f aca="false">IF(OR($B379="",$A379=""),0,IF(COUNTIFS($A$5:$A379,$A379,$B$5:$B379,$B379)=1,1,0))</f>
        <v>0</v>
      </c>
    </row>
    <row r="380" customFormat="false" ht="15" hidden="false" customHeight="false" outlineLevel="0" collapsed="false">
      <c r="A380" s="17"/>
      <c r="B380" s="13"/>
      <c r="C380" s="20" t="str">
        <f aca="false">IF($B380="","",IFERROR(INDEX(고객사!$B$5:$B$104,MATCH($B380,고객사!$A$5:$A$104,0)),"코드 확인"))</f>
        <v/>
      </c>
      <c r="D380" s="15"/>
      <c r="E380" s="15"/>
      <c r="F380" s="16"/>
      <c r="G380" s="16"/>
      <c r="H380" s="21" t="str">
        <f aca="false">IF(OR($B380="",F380=0),"",G380/F380)</f>
        <v/>
      </c>
      <c r="I380" s="22" t="str">
        <f aca="false">IF($B380="","",MAX(F380-G380,0))</f>
        <v/>
      </c>
      <c r="J380" s="23" t="str">
        <f aca="false">IF($B380="","",IFERROR(INDEX(고객사!$G$5:$G$104,MATCH($B380,고객사!$A$5:$A$104,0)),""))</f>
        <v/>
      </c>
      <c r="K380" s="16"/>
      <c r="L380" s="22" t="str">
        <f aca="false">IF($B380="","",K380*IFERROR(INDEX(고객사!$L$5:$L$104,MATCH($B380,고객사!$A$5:$A$104,0)),0))</f>
        <v/>
      </c>
      <c r="M380" s="23" t="str">
        <f aca="false">IF($B380="","",IF(AND(J380="N",G380&gt;0,K380=0,IFERROR(INDEX(고객사!$H$5:$H$104,MATCH($B380,고객사!$A$5:$A$104,0)),"")="자사 차량 운행"),"차량 미배정",""))</f>
        <v/>
      </c>
      <c r="N380" s="22" t="str">
        <f aca="false">IF($B380="","",IFERROR(INDEX(고객사!$J$5:$J$104,MATCH($B380,고객사!$A$5:$A$104,0)),0))</f>
        <v/>
      </c>
      <c r="O380" s="22" t="str">
        <f aca="false">IF($B380="","",G380*N380)</f>
        <v/>
      </c>
      <c r="P380" s="22" t="str">
        <f aca="false">IF($B380="","",IFERROR(INDEX(고객사!$K$5:$K$104,MATCH($B380,고객사!$A$5:$A$104,0)),0))</f>
        <v/>
      </c>
      <c r="Q380" s="22" t="str">
        <f aca="false">IF($B380="","",G380*P380)</f>
        <v/>
      </c>
      <c r="R380" s="22" t="str">
        <f aca="false">IF($B380="","",O380-Q380-L380)</f>
        <v/>
      </c>
      <c r="S380" s="21" t="str">
        <f aca="false">IF(OR($B380="",N(O380)=0),"",R380/O380)</f>
        <v/>
      </c>
      <c r="T380" s="14"/>
      <c r="U380" s="19" t="n">
        <f aca="false">IF(OR($B380="",$A380=""),0,IF(COUNTIFS($A$5:$A380,$A380,$B$5:$B380,$B380)=1,1,0))</f>
        <v>0</v>
      </c>
    </row>
    <row r="381" customFormat="false" ht="15" hidden="false" customHeight="false" outlineLevel="0" collapsed="false">
      <c r="A381" s="17"/>
      <c r="B381" s="13"/>
      <c r="C381" s="20" t="str">
        <f aca="false">IF($B381="","",IFERROR(INDEX(고객사!$B$5:$B$104,MATCH($B381,고객사!$A$5:$A$104,0)),"코드 확인"))</f>
        <v/>
      </c>
      <c r="D381" s="15"/>
      <c r="E381" s="15"/>
      <c r="F381" s="16"/>
      <c r="G381" s="16"/>
      <c r="H381" s="21" t="str">
        <f aca="false">IF(OR($B381="",F381=0),"",G381/F381)</f>
        <v/>
      </c>
      <c r="I381" s="22" t="str">
        <f aca="false">IF($B381="","",MAX(F381-G381,0))</f>
        <v/>
      </c>
      <c r="J381" s="23" t="str">
        <f aca="false">IF($B381="","",IFERROR(INDEX(고객사!$G$5:$G$104,MATCH($B381,고객사!$A$5:$A$104,0)),""))</f>
        <v/>
      </c>
      <c r="K381" s="16"/>
      <c r="L381" s="22" t="str">
        <f aca="false">IF($B381="","",K381*IFERROR(INDEX(고객사!$L$5:$L$104,MATCH($B381,고객사!$A$5:$A$104,0)),0))</f>
        <v/>
      </c>
      <c r="M381" s="23" t="str">
        <f aca="false">IF($B381="","",IF(AND(J381="N",G381&gt;0,K381=0,IFERROR(INDEX(고객사!$H$5:$H$104,MATCH($B381,고객사!$A$5:$A$104,0)),"")="자사 차량 운행"),"차량 미배정",""))</f>
        <v/>
      </c>
      <c r="N381" s="22" t="str">
        <f aca="false">IF($B381="","",IFERROR(INDEX(고객사!$J$5:$J$104,MATCH($B381,고객사!$A$5:$A$104,0)),0))</f>
        <v/>
      </c>
      <c r="O381" s="22" t="str">
        <f aca="false">IF($B381="","",G381*N381)</f>
        <v/>
      </c>
      <c r="P381" s="22" t="str">
        <f aca="false">IF($B381="","",IFERROR(INDEX(고객사!$K$5:$K$104,MATCH($B381,고객사!$A$5:$A$104,0)),0))</f>
        <v/>
      </c>
      <c r="Q381" s="22" t="str">
        <f aca="false">IF($B381="","",G381*P381)</f>
        <v/>
      </c>
      <c r="R381" s="22" t="str">
        <f aca="false">IF($B381="","",O381-Q381-L381)</f>
        <v/>
      </c>
      <c r="S381" s="21" t="str">
        <f aca="false">IF(OR($B381="",N(O381)=0),"",R381/O381)</f>
        <v/>
      </c>
      <c r="T381" s="14"/>
      <c r="U381" s="19" t="n">
        <f aca="false">IF(OR($B381="",$A381=""),0,IF(COUNTIFS($A$5:$A381,$A381,$B$5:$B381,$B381)=1,1,0))</f>
        <v>0</v>
      </c>
    </row>
    <row r="382" customFormat="false" ht="15" hidden="false" customHeight="false" outlineLevel="0" collapsed="false">
      <c r="A382" s="17"/>
      <c r="B382" s="13"/>
      <c r="C382" s="20" t="str">
        <f aca="false">IF($B382="","",IFERROR(INDEX(고객사!$B$5:$B$104,MATCH($B382,고객사!$A$5:$A$104,0)),"코드 확인"))</f>
        <v/>
      </c>
      <c r="D382" s="15"/>
      <c r="E382" s="15"/>
      <c r="F382" s="16"/>
      <c r="G382" s="16"/>
      <c r="H382" s="21" t="str">
        <f aca="false">IF(OR($B382="",F382=0),"",G382/F382)</f>
        <v/>
      </c>
      <c r="I382" s="22" t="str">
        <f aca="false">IF($B382="","",MAX(F382-G382,0))</f>
        <v/>
      </c>
      <c r="J382" s="23" t="str">
        <f aca="false">IF($B382="","",IFERROR(INDEX(고객사!$G$5:$G$104,MATCH($B382,고객사!$A$5:$A$104,0)),""))</f>
        <v/>
      </c>
      <c r="K382" s="16"/>
      <c r="L382" s="22" t="str">
        <f aca="false">IF($B382="","",K382*IFERROR(INDEX(고객사!$L$5:$L$104,MATCH($B382,고객사!$A$5:$A$104,0)),0))</f>
        <v/>
      </c>
      <c r="M382" s="23" t="str">
        <f aca="false">IF($B382="","",IF(AND(J382="N",G382&gt;0,K382=0,IFERROR(INDEX(고객사!$H$5:$H$104,MATCH($B382,고객사!$A$5:$A$104,0)),"")="자사 차량 운행"),"차량 미배정",""))</f>
        <v/>
      </c>
      <c r="N382" s="22" t="str">
        <f aca="false">IF($B382="","",IFERROR(INDEX(고객사!$J$5:$J$104,MATCH($B382,고객사!$A$5:$A$104,0)),0))</f>
        <v/>
      </c>
      <c r="O382" s="22" t="str">
        <f aca="false">IF($B382="","",G382*N382)</f>
        <v/>
      </c>
      <c r="P382" s="22" t="str">
        <f aca="false">IF($B382="","",IFERROR(INDEX(고객사!$K$5:$K$104,MATCH($B382,고객사!$A$5:$A$104,0)),0))</f>
        <v/>
      </c>
      <c r="Q382" s="22" t="str">
        <f aca="false">IF($B382="","",G382*P382)</f>
        <v/>
      </c>
      <c r="R382" s="22" t="str">
        <f aca="false">IF($B382="","",O382-Q382-L382)</f>
        <v/>
      </c>
      <c r="S382" s="21" t="str">
        <f aca="false">IF(OR($B382="",N(O382)=0),"",R382/O382)</f>
        <v/>
      </c>
      <c r="T382" s="14"/>
      <c r="U382" s="19" t="n">
        <f aca="false">IF(OR($B382="",$A382=""),0,IF(COUNTIFS($A$5:$A382,$A382,$B$5:$B382,$B382)=1,1,0))</f>
        <v>0</v>
      </c>
    </row>
    <row r="383" customFormat="false" ht="15" hidden="false" customHeight="false" outlineLevel="0" collapsed="false">
      <c r="A383" s="17"/>
      <c r="B383" s="13"/>
      <c r="C383" s="20" t="str">
        <f aca="false">IF($B383="","",IFERROR(INDEX(고객사!$B$5:$B$104,MATCH($B383,고객사!$A$5:$A$104,0)),"코드 확인"))</f>
        <v/>
      </c>
      <c r="D383" s="15"/>
      <c r="E383" s="15"/>
      <c r="F383" s="16"/>
      <c r="G383" s="16"/>
      <c r="H383" s="21" t="str">
        <f aca="false">IF(OR($B383="",F383=0),"",G383/F383)</f>
        <v/>
      </c>
      <c r="I383" s="22" t="str">
        <f aca="false">IF($B383="","",MAX(F383-G383,0))</f>
        <v/>
      </c>
      <c r="J383" s="23" t="str">
        <f aca="false">IF($B383="","",IFERROR(INDEX(고객사!$G$5:$G$104,MATCH($B383,고객사!$A$5:$A$104,0)),""))</f>
        <v/>
      </c>
      <c r="K383" s="16"/>
      <c r="L383" s="22" t="str">
        <f aca="false">IF($B383="","",K383*IFERROR(INDEX(고객사!$L$5:$L$104,MATCH($B383,고객사!$A$5:$A$104,0)),0))</f>
        <v/>
      </c>
      <c r="M383" s="23" t="str">
        <f aca="false">IF($B383="","",IF(AND(J383="N",G383&gt;0,K383=0,IFERROR(INDEX(고객사!$H$5:$H$104,MATCH($B383,고객사!$A$5:$A$104,0)),"")="자사 차량 운행"),"차량 미배정",""))</f>
        <v/>
      </c>
      <c r="N383" s="22" t="str">
        <f aca="false">IF($B383="","",IFERROR(INDEX(고객사!$J$5:$J$104,MATCH($B383,고객사!$A$5:$A$104,0)),0))</f>
        <v/>
      </c>
      <c r="O383" s="22" t="str">
        <f aca="false">IF($B383="","",G383*N383)</f>
        <v/>
      </c>
      <c r="P383" s="22" t="str">
        <f aca="false">IF($B383="","",IFERROR(INDEX(고객사!$K$5:$K$104,MATCH($B383,고객사!$A$5:$A$104,0)),0))</f>
        <v/>
      </c>
      <c r="Q383" s="22" t="str">
        <f aca="false">IF($B383="","",G383*P383)</f>
        <v/>
      </c>
      <c r="R383" s="22" t="str">
        <f aca="false">IF($B383="","",O383-Q383-L383)</f>
        <v/>
      </c>
      <c r="S383" s="21" t="str">
        <f aca="false">IF(OR($B383="",N(O383)=0),"",R383/O383)</f>
        <v/>
      </c>
      <c r="T383" s="14"/>
      <c r="U383" s="19" t="n">
        <f aca="false">IF(OR($B383="",$A383=""),0,IF(COUNTIFS($A$5:$A383,$A383,$B$5:$B383,$B383)=1,1,0))</f>
        <v>0</v>
      </c>
    </row>
    <row r="384" customFormat="false" ht="15" hidden="false" customHeight="false" outlineLevel="0" collapsed="false">
      <c r="A384" s="17"/>
      <c r="B384" s="13"/>
      <c r="C384" s="20" t="str">
        <f aca="false">IF($B384="","",IFERROR(INDEX(고객사!$B$5:$B$104,MATCH($B384,고객사!$A$5:$A$104,0)),"코드 확인"))</f>
        <v/>
      </c>
      <c r="D384" s="15"/>
      <c r="E384" s="15"/>
      <c r="F384" s="16"/>
      <c r="G384" s="16"/>
      <c r="H384" s="21" t="str">
        <f aca="false">IF(OR($B384="",F384=0),"",G384/F384)</f>
        <v/>
      </c>
      <c r="I384" s="22" t="str">
        <f aca="false">IF($B384="","",MAX(F384-G384,0))</f>
        <v/>
      </c>
      <c r="J384" s="23" t="str">
        <f aca="false">IF($B384="","",IFERROR(INDEX(고객사!$G$5:$G$104,MATCH($B384,고객사!$A$5:$A$104,0)),""))</f>
        <v/>
      </c>
      <c r="K384" s="16"/>
      <c r="L384" s="22" t="str">
        <f aca="false">IF($B384="","",K384*IFERROR(INDEX(고객사!$L$5:$L$104,MATCH($B384,고객사!$A$5:$A$104,0)),0))</f>
        <v/>
      </c>
      <c r="M384" s="23" t="str">
        <f aca="false">IF($B384="","",IF(AND(J384="N",G384&gt;0,K384=0,IFERROR(INDEX(고객사!$H$5:$H$104,MATCH($B384,고객사!$A$5:$A$104,0)),"")="자사 차량 운행"),"차량 미배정",""))</f>
        <v/>
      </c>
      <c r="N384" s="22" t="str">
        <f aca="false">IF($B384="","",IFERROR(INDEX(고객사!$J$5:$J$104,MATCH($B384,고객사!$A$5:$A$104,0)),0))</f>
        <v/>
      </c>
      <c r="O384" s="22" t="str">
        <f aca="false">IF($B384="","",G384*N384)</f>
        <v/>
      </c>
      <c r="P384" s="22" t="str">
        <f aca="false">IF($B384="","",IFERROR(INDEX(고객사!$K$5:$K$104,MATCH($B384,고객사!$A$5:$A$104,0)),0))</f>
        <v/>
      </c>
      <c r="Q384" s="22" t="str">
        <f aca="false">IF($B384="","",G384*P384)</f>
        <v/>
      </c>
      <c r="R384" s="22" t="str">
        <f aca="false">IF($B384="","",O384-Q384-L384)</f>
        <v/>
      </c>
      <c r="S384" s="21" t="str">
        <f aca="false">IF(OR($B384="",N(O384)=0),"",R384/O384)</f>
        <v/>
      </c>
      <c r="T384" s="14"/>
      <c r="U384" s="19" t="n">
        <f aca="false">IF(OR($B384="",$A384=""),0,IF(COUNTIFS($A$5:$A384,$A384,$B$5:$B384,$B384)=1,1,0))</f>
        <v>0</v>
      </c>
    </row>
    <row r="385" customFormat="false" ht="15" hidden="false" customHeight="false" outlineLevel="0" collapsed="false">
      <c r="A385" s="17"/>
      <c r="B385" s="13"/>
      <c r="C385" s="20" t="str">
        <f aca="false">IF($B385="","",IFERROR(INDEX(고객사!$B$5:$B$104,MATCH($B385,고객사!$A$5:$A$104,0)),"코드 확인"))</f>
        <v/>
      </c>
      <c r="D385" s="15"/>
      <c r="E385" s="15"/>
      <c r="F385" s="16"/>
      <c r="G385" s="16"/>
      <c r="H385" s="21" t="str">
        <f aca="false">IF(OR($B385="",F385=0),"",G385/F385)</f>
        <v/>
      </c>
      <c r="I385" s="22" t="str">
        <f aca="false">IF($B385="","",MAX(F385-G385,0))</f>
        <v/>
      </c>
      <c r="J385" s="23" t="str">
        <f aca="false">IF($B385="","",IFERROR(INDEX(고객사!$G$5:$G$104,MATCH($B385,고객사!$A$5:$A$104,0)),""))</f>
        <v/>
      </c>
      <c r="K385" s="16"/>
      <c r="L385" s="22" t="str">
        <f aca="false">IF($B385="","",K385*IFERROR(INDEX(고객사!$L$5:$L$104,MATCH($B385,고객사!$A$5:$A$104,0)),0))</f>
        <v/>
      </c>
      <c r="M385" s="23" t="str">
        <f aca="false">IF($B385="","",IF(AND(J385="N",G385&gt;0,K385=0,IFERROR(INDEX(고객사!$H$5:$H$104,MATCH($B385,고객사!$A$5:$A$104,0)),"")="자사 차량 운행"),"차량 미배정",""))</f>
        <v/>
      </c>
      <c r="N385" s="22" t="str">
        <f aca="false">IF($B385="","",IFERROR(INDEX(고객사!$J$5:$J$104,MATCH($B385,고객사!$A$5:$A$104,0)),0))</f>
        <v/>
      </c>
      <c r="O385" s="22" t="str">
        <f aca="false">IF($B385="","",G385*N385)</f>
        <v/>
      </c>
      <c r="P385" s="22" t="str">
        <f aca="false">IF($B385="","",IFERROR(INDEX(고객사!$K$5:$K$104,MATCH($B385,고객사!$A$5:$A$104,0)),0))</f>
        <v/>
      </c>
      <c r="Q385" s="22" t="str">
        <f aca="false">IF($B385="","",G385*P385)</f>
        <v/>
      </c>
      <c r="R385" s="22" t="str">
        <f aca="false">IF($B385="","",O385-Q385-L385)</f>
        <v/>
      </c>
      <c r="S385" s="21" t="str">
        <f aca="false">IF(OR($B385="",N(O385)=0),"",R385/O385)</f>
        <v/>
      </c>
      <c r="T385" s="14"/>
      <c r="U385" s="19" t="n">
        <f aca="false">IF(OR($B385="",$A385=""),0,IF(COUNTIFS($A$5:$A385,$A385,$B$5:$B385,$B385)=1,1,0))</f>
        <v>0</v>
      </c>
    </row>
    <row r="386" customFormat="false" ht="15" hidden="false" customHeight="false" outlineLevel="0" collapsed="false">
      <c r="A386" s="17"/>
      <c r="B386" s="13"/>
      <c r="C386" s="20" t="str">
        <f aca="false">IF($B386="","",IFERROR(INDEX(고객사!$B$5:$B$104,MATCH($B386,고객사!$A$5:$A$104,0)),"코드 확인"))</f>
        <v/>
      </c>
      <c r="D386" s="15"/>
      <c r="E386" s="15"/>
      <c r="F386" s="16"/>
      <c r="G386" s="16"/>
      <c r="H386" s="21" t="str">
        <f aca="false">IF(OR($B386="",F386=0),"",G386/F386)</f>
        <v/>
      </c>
      <c r="I386" s="22" t="str">
        <f aca="false">IF($B386="","",MAX(F386-G386,0))</f>
        <v/>
      </c>
      <c r="J386" s="23" t="str">
        <f aca="false">IF($B386="","",IFERROR(INDEX(고객사!$G$5:$G$104,MATCH($B386,고객사!$A$5:$A$104,0)),""))</f>
        <v/>
      </c>
      <c r="K386" s="16"/>
      <c r="L386" s="22" t="str">
        <f aca="false">IF($B386="","",K386*IFERROR(INDEX(고객사!$L$5:$L$104,MATCH($B386,고객사!$A$5:$A$104,0)),0))</f>
        <v/>
      </c>
      <c r="M386" s="23" t="str">
        <f aca="false">IF($B386="","",IF(AND(J386="N",G386&gt;0,K386=0,IFERROR(INDEX(고객사!$H$5:$H$104,MATCH($B386,고객사!$A$5:$A$104,0)),"")="자사 차량 운행"),"차량 미배정",""))</f>
        <v/>
      </c>
      <c r="N386" s="22" t="str">
        <f aca="false">IF($B386="","",IFERROR(INDEX(고객사!$J$5:$J$104,MATCH($B386,고객사!$A$5:$A$104,0)),0))</f>
        <v/>
      </c>
      <c r="O386" s="22" t="str">
        <f aca="false">IF($B386="","",G386*N386)</f>
        <v/>
      </c>
      <c r="P386" s="22" t="str">
        <f aca="false">IF($B386="","",IFERROR(INDEX(고객사!$K$5:$K$104,MATCH($B386,고객사!$A$5:$A$104,0)),0))</f>
        <v/>
      </c>
      <c r="Q386" s="22" t="str">
        <f aca="false">IF($B386="","",G386*P386)</f>
        <v/>
      </c>
      <c r="R386" s="22" t="str">
        <f aca="false">IF($B386="","",O386-Q386-L386)</f>
        <v/>
      </c>
      <c r="S386" s="21" t="str">
        <f aca="false">IF(OR($B386="",N(O386)=0),"",R386/O386)</f>
        <v/>
      </c>
      <c r="T386" s="14"/>
      <c r="U386" s="19" t="n">
        <f aca="false">IF(OR($B386="",$A386=""),0,IF(COUNTIFS($A$5:$A386,$A386,$B$5:$B386,$B386)=1,1,0))</f>
        <v>0</v>
      </c>
    </row>
    <row r="387" customFormat="false" ht="15" hidden="false" customHeight="false" outlineLevel="0" collapsed="false">
      <c r="A387" s="17"/>
      <c r="B387" s="13"/>
      <c r="C387" s="20" t="str">
        <f aca="false">IF($B387="","",IFERROR(INDEX(고객사!$B$5:$B$104,MATCH($B387,고객사!$A$5:$A$104,0)),"코드 확인"))</f>
        <v/>
      </c>
      <c r="D387" s="15"/>
      <c r="E387" s="15"/>
      <c r="F387" s="16"/>
      <c r="G387" s="16"/>
      <c r="H387" s="21" t="str">
        <f aca="false">IF(OR($B387="",F387=0),"",G387/F387)</f>
        <v/>
      </c>
      <c r="I387" s="22" t="str">
        <f aca="false">IF($B387="","",MAX(F387-G387,0))</f>
        <v/>
      </c>
      <c r="J387" s="23" t="str">
        <f aca="false">IF($B387="","",IFERROR(INDEX(고객사!$G$5:$G$104,MATCH($B387,고객사!$A$5:$A$104,0)),""))</f>
        <v/>
      </c>
      <c r="K387" s="16"/>
      <c r="L387" s="22" t="str">
        <f aca="false">IF($B387="","",K387*IFERROR(INDEX(고객사!$L$5:$L$104,MATCH($B387,고객사!$A$5:$A$104,0)),0))</f>
        <v/>
      </c>
      <c r="M387" s="23" t="str">
        <f aca="false">IF($B387="","",IF(AND(J387="N",G387&gt;0,K387=0,IFERROR(INDEX(고객사!$H$5:$H$104,MATCH($B387,고객사!$A$5:$A$104,0)),"")="자사 차량 운행"),"차량 미배정",""))</f>
        <v/>
      </c>
      <c r="N387" s="22" t="str">
        <f aca="false">IF($B387="","",IFERROR(INDEX(고객사!$J$5:$J$104,MATCH($B387,고객사!$A$5:$A$104,0)),0))</f>
        <v/>
      </c>
      <c r="O387" s="22" t="str">
        <f aca="false">IF($B387="","",G387*N387)</f>
        <v/>
      </c>
      <c r="P387" s="22" t="str">
        <f aca="false">IF($B387="","",IFERROR(INDEX(고객사!$K$5:$K$104,MATCH($B387,고객사!$A$5:$A$104,0)),0))</f>
        <v/>
      </c>
      <c r="Q387" s="22" t="str">
        <f aca="false">IF($B387="","",G387*P387)</f>
        <v/>
      </c>
      <c r="R387" s="22" t="str">
        <f aca="false">IF($B387="","",O387-Q387-L387)</f>
        <v/>
      </c>
      <c r="S387" s="21" t="str">
        <f aca="false">IF(OR($B387="",N(O387)=0),"",R387/O387)</f>
        <v/>
      </c>
      <c r="T387" s="14"/>
      <c r="U387" s="19" t="n">
        <f aca="false">IF(OR($B387="",$A387=""),0,IF(COUNTIFS($A$5:$A387,$A387,$B$5:$B387,$B387)=1,1,0))</f>
        <v>0</v>
      </c>
    </row>
    <row r="388" customFormat="false" ht="15" hidden="false" customHeight="false" outlineLevel="0" collapsed="false">
      <c r="A388" s="17"/>
      <c r="B388" s="13"/>
      <c r="C388" s="20" t="str">
        <f aca="false">IF($B388="","",IFERROR(INDEX(고객사!$B$5:$B$104,MATCH($B388,고객사!$A$5:$A$104,0)),"코드 확인"))</f>
        <v/>
      </c>
      <c r="D388" s="15"/>
      <c r="E388" s="15"/>
      <c r="F388" s="16"/>
      <c r="G388" s="16"/>
      <c r="H388" s="21" t="str">
        <f aca="false">IF(OR($B388="",F388=0),"",G388/F388)</f>
        <v/>
      </c>
      <c r="I388" s="22" t="str">
        <f aca="false">IF($B388="","",MAX(F388-G388,0))</f>
        <v/>
      </c>
      <c r="J388" s="23" t="str">
        <f aca="false">IF($B388="","",IFERROR(INDEX(고객사!$G$5:$G$104,MATCH($B388,고객사!$A$5:$A$104,0)),""))</f>
        <v/>
      </c>
      <c r="K388" s="16"/>
      <c r="L388" s="22" t="str">
        <f aca="false">IF($B388="","",K388*IFERROR(INDEX(고객사!$L$5:$L$104,MATCH($B388,고객사!$A$5:$A$104,0)),0))</f>
        <v/>
      </c>
      <c r="M388" s="23" t="str">
        <f aca="false">IF($B388="","",IF(AND(J388="N",G388&gt;0,K388=0,IFERROR(INDEX(고객사!$H$5:$H$104,MATCH($B388,고객사!$A$5:$A$104,0)),"")="자사 차량 운행"),"차량 미배정",""))</f>
        <v/>
      </c>
      <c r="N388" s="22" t="str">
        <f aca="false">IF($B388="","",IFERROR(INDEX(고객사!$J$5:$J$104,MATCH($B388,고객사!$A$5:$A$104,0)),0))</f>
        <v/>
      </c>
      <c r="O388" s="22" t="str">
        <f aca="false">IF($B388="","",G388*N388)</f>
        <v/>
      </c>
      <c r="P388" s="22" t="str">
        <f aca="false">IF($B388="","",IFERROR(INDEX(고객사!$K$5:$K$104,MATCH($B388,고객사!$A$5:$A$104,0)),0))</f>
        <v/>
      </c>
      <c r="Q388" s="22" t="str">
        <f aca="false">IF($B388="","",G388*P388)</f>
        <v/>
      </c>
      <c r="R388" s="22" t="str">
        <f aca="false">IF($B388="","",O388-Q388-L388)</f>
        <v/>
      </c>
      <c r="S388" s="21" t="str">
        <f aca="false">IF(OR($B388="",N(O388)=0),"",R388/O388)</f>
        <v/>
      </c>
      <c r="T388" s="14"/>
      <c r="U388" s="19" t="n">
        <f aca="false">IF(OR($B388="",$A388=""),0,IF(COUNTIFS($A$5:$A388,$A388,$B$5:$B388,$B388)=1,1,0))</f>
        <v>0</v>
      </c>
    </row>
    <row r="389" customFormat="false" ht="15" hidden="false" customHeight="false" outlineLevel="0" collapsed="false">
      <c r="A389" s="17"/>
      <c r="B389" s="13"/>
      <c r="C389" s="20" t="str">
        <f aca="false">IF($B389="","",IFERROR(INDEX(고객사!$B$5:$B$104,MATCH($B389,고객사!$A$5:$A$104,0)),"코드 확인"))</f>
        <v/>
      </c>
      <c r="D389" s="15"/>
      <c r="E389" s="15"/>
      <c r="F389" s="16"/>
      <c r="G389" s="16"/>
      <c r="H389" s="21" t="str">
        <f aca="false">IF(OR($B389="",F389=0),"",G389/F389)</f>
        <v/>
      </c>
      <c r="I389" s="22" t="str">
        <f aca="false">IF($B389="","",MAX(F389-G389,0))</f>
        <v/>
      </c>
      <c r="J389" s="23" t="str">
        <f aca="false">IF($B389="","",IFERROR(INDEX(고객사!$G$5:$G$104,MATCH($B389,고객사!$A$5:$A$104,0)),""))</f>
        <v/>
      </c>
      <c r="K389" s="16"/>
      <c r="L389" s="22" t="str">
        <f aca="false">IF($B389="","",K389*IFERROR(INDEX(고객사!$L$5:$L$104,MATCH($B389,고객사!$A$5:$A$104,0)),0))</f>
        <v/>
      </c>
      <c r="M389" s="23" t="str">
        <f aca="false">IF($B389="","",IF(AND(J389="N",G389&gt;0,K389=0,IFERROR(INDEX(고객사!$H$5:$H$104,MATCH($B389,고객사!$A$5:$A$104,0)),"")="자사 차량 운행"),"차량 미배정",""))</f>
        <v/>
      </c>
      <c r="N389" s="22" t="str">
        <f aca="false">IF($B389="","",IFERROR(INDEX(고객사!$J$5:$J$104,MATCH($B389,고객사!$A$5:$A$104,0)),0))</f>
        <v/>
      </c>
      <c r="O389" s="22" t="str">
        <f aca="false">IF($B389="","",G389*N389)</f>
        <v/>
      </c>
      <c r="P389" s="22" t="str">
        <f aca="false">IF($B389="","",IFERROR(INDEX(고객사!$K$5:$K$104,MATCH($B389,고객사!$A$5:$A$104,0)),0))</f>
        <v/>
      </c>
      <c r="Q389" s="22" t="str">
        <f aca="false">IF($B389="","",G389*P389)</f>
        <v/>
      </c>
      <c r="R389" s="22" t="str">
        <f aca="false">IF($B389="","",O389-Q389-L389)</f>
        <v/>
      </c>
      <c r="S389" s="21" t="str">
        <f aca="false">IF(OR($B389="",N(O389)=0),"",R389/O389)</f>
        <v/>
      </c>
      <c r="T389" s="14"/>
      <c r="U389" s="19" t="n">
        <f aca="false">IF(OR($B389="",$A389=""),0,IF(COUNTIFS($A$5:$A389,$A389,$B$5:$B389,$B389)=1,1,0))</f>
        <v>0</v>
      </c>
    </row>
    <row r="390" customFormat="false" ht="15" hidden="false" customHeight="false" outlineLevel="0" collapsed="false">
      <c r="A390" s="17"/>
      <c r="B390" s="13"/>
      <c r="C390" s="20" t="str">
        <f aca="false">IF($B390="","",IFERROR(INDEX(고객사!$B$5:$B$104,MATCH($B390,고객사!$A$5:$A$104,0)),"코드 확인"))</f>
        <v/>
      </c>
      <c r="D390" s="15"/>
      <c r="E390" s="15"/>
      <c r="F390" s="16"/>
      <c r="G390" s="16"/>
      <c r="H390" s="21" t="str">
        <f aca="false">IF(OR($B390="",F390=0),"",G390/F390)</f>
        <v/>
      </c>
      <c r="I390" s="22" t="str">
        <f aca="false">IF($B390="","",MAX(F390-G390,0))</f>
        <v/>
      </c>
      <c r="J390" s="23" t="str">
        <f aca="false">IF($B390="","",IFERROR(INDEX(고객사!$G$5:$G$104,MATCH($B390,고객사!$A$5:$A$104,0)),""))</f>
        <v/>
      </c>
      <c r="K390" s="16"/>
      <c r="L390" s="22" t="str">
        <f aca="false">IF($B390="","",K390*IFERROR(INDEX(고객사!$L$5:$L$104,MATCH($B390,고객사!$A$5:$A$104,0)),0))</f>
        <v/>
      </c>
      <c r="M390" s="23" t="str">
        <f aca="false">IF($B390="","",IF(AND(J390="N",G390&gt;0,K390=0,IFERROR(INDEX(고객사!$H$5:$H$104,MATCH($B390,고객사!$A$5:$A$104,0)),"")="자사 차량 운행"),"차량 미배정",""))</f>
        <v/>
      </c>
      <c r="N390" s="22" t="str">
        <f aca="false">IF($B390="","",IFERROR(INDEX(고객사!$J$5:$J$104,MATCH($B390,고객사!$A$5:$A$104,0)),0))</f>
        <v/>
      </c>
      <c r="O390" s="22" t="str">
        <f aca="false">IF($B390="","",G390*N390)</f>
        <v/>
      </c>
      <c r="P390" s="22" t="str">
        <f aca="false">IF($B390="","",IFERROR(INDEX(고객사!$K$5:$K$104,MATCH($B390,고객사!$A$5:$A$104,0)),0))</f>
        <v/>
      </c>
      <c r="Q390" s="22" t="str">
        <f aca="false">IF($B390="","",G390*P390)</f>
        <v/>
      </c>
      <c r="R390" s="22" t="str">
        <f aca="false">IF($B390="","",O390-Q390-L390)</f>
        <v/>
      </c>
      <c r="S390" s="21" t="str">
        <f aca="false">IF(OR($B390="",N(O390)=0),"",R390/O390)</f>
        <v/>
      </c>
      <c r="T390" s="14"/>
      <c r="U390" s="19" t="n">
        <f aca="false">IF(OR($B390="",$A390=""),0,IF(COUNTIFS($A$5:$A390,$A390,$B$5:$B390,$B390)=1,1,0))</f>
        <v>0</v>
      </c>
    </row>
    <row r="391" customFormat="false" ht="15" hidden="false" customHeight="false" outlineLevel="0" collapsed="false">
      <c r="A391" s="17"/>
      <c r="B391" s="13"/>
      <c r="C391" s="20" t="str">
        <f aca="false">IF($B391="","",IFERROR(INDEX(고객사!$B$5:$B$104,MATCH($B391,고객사!$A$5:$A$104,0)),"코드 확인"))</f>
        <v/>
      </c>
      <c r="D391" s="15"/>
      <c r="E391" s="15"/>
      <c r="F391" s="16"/>
      <c r="G391" s="16"/>
      <c r="H391" s="21" t="str">
        <f aca="false">IF(OR($B391="",F391=0),"",G391/F391)</f>
        <v/>
      </c>
      <c r="I391" s="22" t="str">
        <f aca="false">IF($B391="","",MAX(F391-G391,0))</f>
        <v/>
      </c>
      <c r="J391" s="23" t="str">
        <f aca="false">IF($B391="","",IFERROR(INDEX(고객사!$G$5:$G$104,MATCH($B391,고객사!$A$5:$A$104,0)),""))</f>
        <v/>
      </c>
      <c r="K391" s="16"/>
      <c r="L391" s="22" t="str">
        <f aca="false">IF($B391="","",K391*IFERROR(INDEX(고객사!$L$5:$L$104,MATCH($B391,고객사!$A$5:$A$104,0)),0))</f>
        <v/>
      </c>
      <c r="M391" s="23" t="str">
        <f aca="false">IF($B391="","",IF(AND(J391="N",G391&gt;0,K391=0,IFERROR(INDEX(고객사!$H$5:$H$104,MATCH($B391,고객사!$A$5:$A$104,0)),"")="자사 차량 운행"),"차량 미배정",""))</f>
        <v/>
      </c>
      <c r="N391" s="22" t="str">
        <f aca="false">IF($B391="","",IFERROR(INDEX(고객사!$J$5:$J$104,MATCH($B391,고객사!$A$5:$A$104,0)),0))</f>
        <v/>
      </c>
      <c r="O391" s="22" t="str">
        <f aca="false">IF($B391="","",G391*N391)</f>
        <v/>
      </c>
      <c r="P391" s="22" t="str">
        <f aca="false">IF($B391="","",IFERROR(INDEX(고객사!$K$5:$K$104,MATCH($B391,고객사!$A$5:$A$104,0)),0))</f>
        <v/>
      </c>
      <c r="Q391" s="22" t="str">
        <f aca="false">IF($B391="","",G391*P391)</f>
        <v/>
      </c>
      <c r="R391" s="22" t="str">
        <f aca="false">IF($B391="","",O391-Q391-L391)</f>
        <v/>
      </c>
      <c r="S391" s="21" t="str">
        <f aca="false">IF(OR($B391="",N(O391)=0),"",R391/O391)</f>
        <v/>
      </c>
      <c r="T391" s="14"/>
      <c r="U391" s="19" t="n">
        <f aca="false">IF(OR($B391="",$A391=""),0,IF(COUNTIFS($A$5:$A391,$A391,$B$5:$B391,$B391)=1,1,0))</f>
        <v>0</v>
      </c>
    </row>
    <row r="392" customFormat="false" ht="15" hidden="false" customHeight="false" outlineLevel="0" collapsed="false">
      <c r="A392" s="17"/>
      <c r="B392" s="13"/>
      <c r="C392" s="20" t="str">
        <f aca="false">IF($B392="","",IFERROR(INDEX(고객사!$B$5:$B$104,MATCH($B392,고객사!$A$5:$A$104,0)),"코드 확인"))</f>
        <v/>
      </c>
      <c r="D392" s="15"/>
      <c r="E392" s="15"/>
      <c r="F392" s="16"/>
      <c r="G392" s="16"/>
      <c r="H392" s="21" t="str">
        <f aca="false">IF(OR($B392="",F392=0),"",G392/F392)</f>
        <v/>
      </c>
      <c r="I392" s="22" t="str">
        <f aca="false">IF($B392="","",MAX(F392-G392,0))</f>
        <v/>
      </c>
      <c r="J392" s="23" t="str">
        <f aca="false">IF($B392="","",IFERROR(INDEX(고객사!$G$5:$G$104,MATCH($B392,고객사!$A$5:$A$104,0)),""))</f>
        <v/>
      </c>
      <c r="K392" s="16"/>
      <c r="L392" s="22" t="str">
        <f aca="false">IF($B392="","",K392*IFERROR(INDEX(고객사!$L$5:$L$104,MATCH($B392,고객사!$A$5:$A$104,0)),0))</f>
        <v/>
      </c>
      <c r="M392" s="23" t="str">
        <f aca="false">IF($B392="","",IF(AND(J392="N",G392&gt;0,K392=0,IFERROR(INDEX(고객사!$H$5:$H$104,MATCH($B392,고객사!$A$5:$A$104,0)),"")="자사 차량 운행"),"차량 미배정",""))</f>
        <v/>
      </c>
      <c r="N392" s="22" t="str">
        <f aca="false">IF($B392="","",IFERROR(INDEX(고객사!$J$5:$J$104,MATCH($B392,고객사!$A$5:$A$104,0)),0))</f>
        <v/>
      </c>
      <c r="O392" s="22" t="str">
        <f aca="false">IF($B392="","",G392*N392)</f>
        <v/>
      </c>
      <c r="P392" s="22" t="str">
        <f aca="false">IF($B392="","",IFERROR(INDEX(고객사!$K$5:$K$104,MATCH($B392,고객사!$A$5:$A$104,0)),0))</f>
        <v/>
      </c>
      <c r="Q392" s="22" t="str">
        <f aca="false">IF($B392="","",G392*P392)</f>
        <v/>
      </c>
      <c r="R392" s="22" t="str">
        <f aca="false">IF($B392="","",O392-Q392-L392)</f>
        <v/>
      </c>
      <c r="S392" s="21" t="str">
        <f aca="false">IF(OR($B392="",N(O392)=0),"",R392/O392)</f>
        <v/>
      </c>
      <c r="T392" s="14"/>
      <c r="U392" s="19" t="n">
        <f aca="false">IF(OR($B392="",$A392=""),0,IF(COUNTIFS($A$5:$A392,$A392,$B$5:$B392,$B392)=1,1,0))</f>
        <v>0</v>
      </c>
    </row>
    <row r="393" customFormat="false" ht="15" hidden="false" customHeight="false" outlineLevel="0" collapsed="false">
      <c r="A393" s="17"/>
      <c r="B393" s="13"/>
      <c r="C393" s="20" t="str">
        <f aca="false">IF($B393="","",IFERROR(INDEX(고객사!$B$5:$B$104,MATCH($B393,고객사!$A$5:$A$104,0)),"코드 확인"))</f>
        <v/>
      </c>
      <c r="D393" s="15"/>
      <c r="E393" s="15"/>
      <c r="F393" s="16"/>
      <c r="G393" s="16"/>
      <c r="H393" s="21" t="str">
        <f aca="false">IF(OR($B393="",F393=0),"",G393/F393)</f>
        <v/>
      </c>
      <c r="I393" s="22" t="str">
        <f aca="false">IF($B393="","",MAX(F393-G393,0))</f>
        <v/>
      </c>
      <c r="J393" s="23" t="str">
        <f aca="false">IF($B393="","",IFERROR(INDEX(고객사!$G$5:$G$104,MATCH($B393,고객사!$A$5:$A$104,0)),""))</f>
        <v/>
      </c>
      <c r="K393" s="16"/>
      <c r="L393" s="22" t="str">
        <f aca="false">IF($B393="","",K393*IFERROR(INDEX(고객사!$L$5:$L$104,MATCH($B393,고객사!$A$5:$A$104,0)),0))</f>
        <v/>
      </c>
      <c r="M393" s="23" t="str">
        <f aca="false">IF($B393="","",IF(AND(J393="N",G393&gt;0,K393=0,IFERROR(INDEX(고객사!$H$5:$H$104,MATCH($B393,고객사!$A$5:$A$104,0)),"")="자사 차량 운행"),"차량 미배정",""))</f>
        <v/>
      </c>
      <c r="N393" s="22" t="str">
        <f aca="false">IF($B393="","",IFERROR(INDEX(고객사!$J$5:$J$104,MATCH($B393,고객사!$A$5:$A$104,0)),0))</f>
        <v/>
      </c>
      <c r="O393" s="22" t="str">
        <f aca="false">IF($B393="","",G393*N393)</f>
        <v/>
      </c>
      <c r="P393" s="22" t="str">
        <f aca="false">IF($B393="","",IFERROR(INDEX(고객사!$K$5:$K$104,MATCH($B393,고객사!$A$5:$A$104,0)),0))</f>
        <v/>
      </c>
      <c r="Q393" s="22" t="str">
        <f aca="false">IF($B393="","",G393*P393)</f>
        <v/>
      </c>
      <c r="R393" s="22" t="str">
        <f aca="false">IF($B393="","",O393-Q393-L393)</f>
        <v/>
      </c>
      <c r="S393" s="21" t="str">
        <f aca="false">IF(OR($B393="",N(O393)=0),"",R393/O393)</f>
        <v/>
      </c>
      <c r="T393" s="14"/>
      <c r="U393" s="19" t="n">
        <f aca="false">IF(OR($B393="",$A393=""),0,IF(COUNTIFS($A$5:$A393,$A393,$B$5:$B393,$B393)=1,1,0))</f>
        <v>0</v>
      </c>
    </row>
    <row r="394" customFormat="false" ht="15" hidden="false" customHeight="false" outlineLevel="0" collapsed="false">
      <c r="A394" s="17"/>
      <c r="B394" s="13"/>
      <c r="C394" s="20" t="str">
        <f aca="false">IF($B394="","",IFERROR(INDEX(고객사!$B$5:$B$104,MATCH($B394,고객사!$A$5:$A$104,0)),"코드 확인"))</f>
        <v/>
      </c>
      <c r="D394" s="15"/>
      <c r="E394" s="15"/>
      <c r="F394" s="16"/>
      <c r="G394" s="16"/>
      <c r="H394" s="21" t="str">
        <f aca="false">IF(OR($B394="",F394=0),"",G394/F394)</f>
        <v/>
      </c>
      <c r="I394" s="22" t="str">
        <f aca="false">IF($B394="","",MAX(F394-G394,0))</f>
        <v/>
      </c>
      <c r="J394" s="23" t="str">
        <f aca="false">IF($B394="","",IFERROR(INDEX(고객사!$G$5:$G$104,MATCH($B394,고객사!$A$5:$A$104,0)),""))</f>
        <v/>
      </c>
      <c r="K394" s="16"/>
      <c r="L394" s="22" t="str">
        <f aca="false">IF($B394="","",K394*IFERROR(INDEX(고객사!$L$5:$L$104,MATCH($B394,고객사!$A$5:$A$104,0)),0))</f>
        <v/>
      </c>
      <c r="M394" s="23" t="str">
        <f aca="false">IF($B394="","",IF(AND(J394="N",G394&gt;0,K394=0,IFERROR(INDEX(고객사!$H$5:$H$104,MATCH($B394,고객사!$A$5:$A$104,0)),"")="자사 차량 운행"),"차량 미배정",""))</f>
        <v/>
      </c>
      <c r="N394" s="22" t="str">
        <f aca="false">IF($B394="","",IFERROR(INDEX(고객사!$J$5:$J$104,MATCH($B394,고객사!$A$5:$A$104,0)),0))</f>
        <v/>
      </c>
      <c r="O394" s="22" t="str">
        <f aca="false">IF($B394="","",G394*N394)</f>
        <v/>
      </c>
      <c r="P394" s="22" t="str">
        <f aca="false">IF($B394="","",IFERROR(INDEX(고객사!$K$5:$K$104,MATCH($B394,고객사!$A$5:$A$104,0)),0))</f>
        <v/>
      </c>
      <c r="Q394" s="22" t="str">
        <f aca="false">IF($B394="","",G394*P394)</f>
        <v/>
      </c>
      <c r="R394" s="22" t="str">
        <f aca="false">IF($B394="","",O394-Q394-L394)</f>
        <v/>
      </c>
      <c r="S394" s="21" t="str">
        <f aca="false">IF(OR($B394="",N(O394)=0),"",R394/O394)</f>
        <v/>
      </c>
      <c r="T394" s="14"/>
      <c r="U394" s="19" t="n">
        <f aca="false">IF(OR($B394="",$A394=""),0,IF(COUNTIFS($A$5:$A394,$A394,$B$5:$B394,$B394)=1,1,0))</f>
        <v>0</v>
      </c>
    </row>
    <row r="395" customFormat="false" ht="15" hidden="false" customHeight="false" outlineLevel="0" collapsed="false">
      <c r="A395" s="17"/>
      <c r="B395" s="13"/>
      <c r="C395" s="20" t="str">
        <f aca="false">IF($B395="","",IFERROR(INDEX(고객사!$B$5:$B$104,MATCH($B395,고객사!$A$5:$A$104,0)),"코드 확인"))</f>
        <v/>
      </c>
      <c r="D395" s="15"/>
      <c r="E395" s="15"/>
      <c r="F395" s="16"/>
      <c r="G395" s="16"/>
      <c r="H395" s="21" t="str">
        <f aca="false">IF(OR($B395="",F395=0),"",G395/F395)</f>
        <v/>
      </c>
      <c r="I395" s="22" t="str">
        <f aca="false">IF($B395="","",MAX(F395-G395,0))</f>
        <v/>
      </c>
      <c r="J395" s="23" t="str">
        <f aca="false">IF($B395="","",IFERROR(INDEX(고객사!$G$5:$G$104,MATCH($B395,고객사!$A$5:$A$104,0)),""))</f>
        <v/>
      </c>
      <c r="K395" s="16"/>
      <c r="L395" s="22" t="str">
        <f aca="false">IF($B395="","",K395*IFERROR(INDEX(고객사!$L$5:$L$104,MATCH($B395,고객사!$A$5:$A$104,0)),0))</f>
        <v/>
      </c>
      <c r="M395" s="23" t="str">
        <f aca="false">IF($B395="","",IF(AND(J395="N",G395&gt;0,K395=0,IFERROR(INDEX(고객사!$H$5:$H$104,MATCH($B395,고객사!$A$5:$A$104,0)),"")="자사 차량 운행"),"차량 미배정",""))</f>
        <v/>
      </c>
      <c r="N395" s="22" t="str">
        <f aca="false">IF($B395="","",IFERROR(INDEX(고객사!$J$5:$J$104,MATCH($B395,고객사!$A$5:$A$104,0)),0))</f>
        <v/>
      </c>
      <c r="O395" s="22" t="str">
        <f aca="false">IF($B395="","",G395*N395)</f>
        <v/>
      </c>
      <c r="P395" s="22" t="str">
        <f aca="false">IF($B395="","",IFERROR(INDEX(고객사!$K$5:$K$104,MATCH($B395,고객사!$A$5:$A$104,0)),0))</f>
        <v/>
      </c>
      <c r="Q395" s="22" t="str">
        <f aca="false">IF($B395="","",G395*P395)</f>
        <v/>
      </c>
      <c r="R395" s="22" t="str">
        <f aca="false">IF($B395="","",O395-Q395-L395)</f>
        <v/>
      </c>
      <c r="S395" s="21" t="str">
        <f aca="false">IF(OR($B395="",N(O395)=0),"",R395/O395)</f>
        <v/>
      </c>
      <c r="T395" s="14"/>
      <c r="U395" s="19" t="n">
        <f aca="false">IF(OR($B395="",$A395=""),0,IF(COUNTIFS($A$5:$A395,$A395,$B$5:$B395,$B395)=1,1,0))</f>
        <v>0</v>
      </c>
    </row>
    <row r="396" customFormat="false" ht="15" hidden="false" customHeight="false" outlineLevel="0" collapsed="false">
      <c r="A396" s="17"/>
      <c r="B396" s="13"/>
      <c r="C396" s="20" t="str">
        <f aca="false">IF($B396="","",IFERROR(INDEX(고객사!$B$5:$B$104,MATCH($B396,고객사!$A$5:$A$104,0)),"코드 확인"))</f>
        <v/>
      </c>
      <c r="D396" s="15"/>
      <c r="E396" s="15"/>
      <c r="F396" s="16"/>
      <c r="G396" s="16"/>
      <c r="H396" s="21" t="str">
        <f aca="false">IF(OR($B396="",F396=0),"",G396/F396)</f>
        <v/>
      </c>
      <c r="I396" s="22" t="str">
        <f aca="false">IF($B396="","",MAX(F396-G396,0))</f>
        <v/>
      </c>
      <c r="J396" s="23" t="str">
        <f aca="false">IF($B396="","",IFERROR(INDEX(고객사!$G$5:$G$104,MATCH($B396,고객사!$A$5:$A$104,0)),""))</f>
        <v/>
      </c>
      <c r="K396" s="16"/>
      <c r="L396" s="22" t="str">
        <f aca="false">IF($B396="","",K396*IFERROR(INDEX(고객사!$L$5:$L$104,MATCH($B396,고객사!$A$5:$A$104,0)),0))</f>
        <v/>
      </c>
      <c r="M396" s="23" t="str">
        <f aca="false">IF($B396="","",IF(AND(J396="N",G396&gt;0,K396=0,IFERROR(INDEX(고객사!$H$5:$H$104,MATCH($B396,고객사!$A$5:$A$104,0)),"")="자사 차량 운행"),"차량 미배정",""))</f>
        <v/>
      </c>
      <c r="N396" s="22" t="str">
        <f aca="false">IF($B396="","",IFERROR(INDEX(고객사!$J$5:$J$104,MATCH($B396,고객사!$A$5:$A$104,0)),0))</f>
        <v/>
      </c>
      <c r="O396" s="22" t="str">
        <f aca="false">IF($B396="","",G396*N396)</f>
        <v/>
      </c>
      <c r="P396" s="22" t="str">
        <f aca="false">IF($B396="","",IFERROR(INDEX(고객사!$K$5:$K$104,MATCH($B396,고객사!$A$5:$A$104,0)),0))</f>
        <v/>
      </c>
      <c r="Q396" s="22" t="str">
        <f aca="false">IF($B396="","",G396*P396)</f>
        <v/>
      </c>
      <c r="R396" s="22" t="str">
        <f aca="false">IF($B396="","",O396-Q396-L396)</f>
        <v/>
      </c>
      <c r="S396" s="21" t="str">
        <f aca="false">IF(OR($B396="",N(O396)=0),"",R396/O396)</f>
        <v/>
      </c>
      <c r="T396" s="14"/>
      <c r="U396" s="19" t="n">
        <f aca="false">IF(OR($B396="",$A396=""),0,IF(COUNTIFS($A$5:$A396,$A396,$B$5:$B396,$B396)=1,1,0))</f>
        <v>0</v>
      </c>
    </row>
    <row r="397" customFormat="false" ht="15" hidden="false" customHeight="false" outlineLevel="0" collapsed="false">
      <c r="A397" s="17"/>
      <c r="B397" s="13"/>
      <c r="C397" s="20" t="str">
        <f aca="false">IF($B397="","",IFERROR(INDEX(고객사!$B$5:$B$104,MATCH($B397,고객사!$A$5:$A$104,0)),"코드 확인"))</f>
        <v/>
      </c>
      <c r="D397" s="15"/>
      <c r="E397" s="15"/>
      <c r="F397" s="16"/>
      <c r="G397" s="16"/>
      <c r="H397" s="21" t="str">
        <f aca="false">IF(OR($B397="",F397=0),"",G397/F397)</f>
        <v/>
      </c>
      <c r="I397" s="22" t="str">
        <f aca="false">IF($B397="","",MAX(F397-G397,0))</f>
        <v/>
      </c>
      <c r="J397" s="23" t="str">
        <f aca="false">IF($B397="","",IFERROR(INDEX(고객사!$G$5:$G$104,MATCH($B397,고객사!$A$5:$A$104,0)),""))</f>
        <v/>
      </c>
      <c r="K397" s="16"/>
      <c r="L397" s="22" t="str">
        <f aca="false">IF($B397="","",K397*IFERROR(INDEX(고객사!$L$5:$L$104,MATCH($B397,고객사!$A$5:$A$104,0)),0))</f>
        <v/>
      </c>
      <c r="M397" s="23" t="str">
        <f aca="false">IF($B397="","",IF(AND(J397="N",G397&gt;0,K397=0,IFERROR(INDEX(고객사!$H$5:$H$104,MATCH($B397,고객사!$A$5:$A$104,0)),"")="자사 차량 운행"),"차량 미배정",""))</f>
        <v/>
      </c>
      <c r="N397" s="22" t="str">
        <f aca="false">IF($B397="","",IFERROR(INDEX(고객사!$J$5:$J$104,MATCH($B397,고객사!$A$5:$A$104,0)),0))</f>
        <v/>
      </c>
      <c r="O397" s="22" t="str">
        <f aca="false">IF($B397="","",G397*N397)</f>
        <v/>
      </c>
      <c r="P397" s="22" t="str">
        <f aca="false">IF($B397="","",IFERROR(INDEX(고객사!$K$5:$K$104,MATCH($B397,고객사!$A$5:$A$104,0)),0))</f>
        <v/>
      </c>
      <c r="Q397" s="22" t="str">
        <f aca="false">IF($B397="","",G397*P397)</f>
        <v/>
      </c>
      <c r="R397" s="22" t="str">
        <f aca="false">IF($B397="","",O397-Q397-L397)</f>
        <v/>
      </c>
      <c r="S397" s="21" t="str">
        <f aca="false">IF(OR($B397="",N(O397)=0),"",R397/O397)</f>
        <v/>
      </c>
      <c r="T397" s="14"/>
      <c r="U397" s="19" t="n">
        <f aca="false">IF(OR($B397="",$A397=""),0,IF(COUNTIFS($A$5:$A397,$A397,$B$5:$B397,$B397)=1,1,0))</f>
        <v>0</v>
      </c>
    </row>
    <row r="398" customFormat="false" ht="15" hidden="false" customHeight="false" outlineLevel="0" collapsed="false">
      <c r="A398" s="17"/>
      <c r="B398" s="13"/>
      <c r="C398" s="20" t="str">
        <f aca="false">IF($B398="","",IFERROR(INDEX(고객사!$B$5:$B$104,MATCH($B398,고객사!$A$5:$A$104,0)),"코드 확인"))</f>
        <v/>
      </c>
      <c r="D398" s="15"/>
      <c r="E398" s="15"/>
      <c r="F398" s="16"/>
      <c r="G398" s="16"/>
      <c r="H398" s="21" t="str">
        <f aca="false">IF(OR($B398="",F398=0),"",G398/F398)</f>
        <v/>
      </c>
      <c r="I398" s="22" t="str">
        <f aca="false">IF($B398="","",MAX(F398-G398,0))</f>
        <v/>
      </c>
      <c r="J398" s="23" t="str">
        <f aca="false">IF($B398="","",IFERROR(INDEX(고객사!$G$5:$G$104,MATCH($B398,고객사!$A$5:$A$104,0)),""))</f>
        <v/>
      </c>
      <c r="K398" s="16"/>
      <c r="L398" s="22" t="str">
        <f aca="false">IF($B398="","",K398*IFERROR(INDEX(고객사!$L$5:$L$104,MATCH($B398,고객사!$A$5:$A$104,0)),0))</f>
        <v/>
      </c>
      <c r="M398" s="23" t="str">
        <f aca="false">IF($B398="","",IF(AND(J398="N",G398&gt;0,K398=0,IFERROR(INDEX(고객사!$H$5:$H$104,MATCH($B398,고객사!$A$5:$A$104,0)),"")="자사 차량 운행"),"차량 미배정",""))</f>
        <v/>
      </c>
      <c r="N398" s="22" t="str">
        <f aca="false">IF($B398="","",IFERROR(INDEX(고객사!$J$5:$J$104,MATCH($B398,고객사!$A$5:$A$104,0)),0))</f>
        <v/>
      </c>
      <c r="O398" s="22" t="str">
        <f aca="false">IF($B398="","",G398*N398)</f>
        <v/>
      </c>
      <c r="P398" s="22" t="str">
        <f aca="false">IF($B398="","",IFERROR(INDEX(고객사!$K$5:$K$104,MATCH($B398,고객사!$A$5:$A$104,0)),0))</f>
        <v/>
      </c>
      <c r="Q398" s="22" t="str">
        <f aca="false">IF($B398="","",G398*P398)</f>
        <v/>
      </c>
      <c r="R398" s="22" t="str">
        <f aca="false">IF($B398="","",O398-Q398-L398)</f>
        <v/>
      </c>
      <c r="S398" s="21" t="str">
        <f aca="false">IF(OR($B398="",N(O398)=0),"",R398/O398)</f>
        <v/>
      </c>
      <c r="T398" s="14"/>
      <c r="U398" s="19" t="n">
        <f aca="false">IF(OR($B398="",$A398=""),0,IF(COUNTIFS($A$5:$A398,$A398,$B$5:$B398,$B398)=1,1,0))</f>
        <v>0</v>
      </c>
    </row>
    <row r="399" customFormat="false" ht="15" hidden="false" customHeight="false" outlineLevel="0" collapsed="false">
      <c r="A399" s="17"/>
      <c r="B399" s="13"/>
      <c r="C399" s="20" t="str">
        <f aca="false">IF($B399="","",IFERROR(INDEX(고객사!$B$5:$B$104,MATCH($B399,고객사!$A$5:$A$104,0)),"코드 확인"))</f>
        <v/>
      </c>
      <c r="D399" s="15"/>
      <c r="E399" s="15"/>
      <c r="F399" s="16"/>
      <c r="G399" s="16"/>
      <c r="H399" s="21" t="str">
        <f aca="false">IF(OR($B399="",F399=0),"",G399/F399)</f>
        <v/>
      </c>
      <c r="I399" s="22" t="str">
        <f aca="false">IF($B399="","",MAX(F399-G399,0))</f>
        <v/>
      </c>
      <c r="J399" s="23" t="str">
        <f aca="false">IF($B399="","",IFERROR(INDEX(고객사!$G$5:$G$104,MATCH($B399,고객사!$A$5:$A$104,0)),""))</f>
        <v/>
      </c>
      <c r="K399" s="16"/>
      <c r="L399" s="22" t="str">
        <f aca="false">IF($B399="","",K399*IFERROR(INDEX(고객사!$L$5:$L$104,MATCH($B399,고객사!$A$5:$A$104,0)),0))</f>
        <v/>
      </c>
      <c r="M399" s="23" t="str">
        <f aca="false">IF($B399="","",IF(AND(J399="N",G399&gt;0,K399=0,IFERROR(INDEX(고객사!$H$5:$H$104,MATCH($B399,고객사!$A$5:$A$104,0)),"")="자사 차량 운행"),"차량 미배정",""))</f>
        <v/>
      </c>
      <c r="N399" s="22" t="str">
        <f aca="false">IF($B399="","",IFERROR(INDEX(고객사!$J$5:$J$104,MATCH($B399,고객사!$A$5:$A$104,0)),0))</f>
        <v/>
      </c>
      <c r="O399" s="22" t="str">
        <f aca="false">IF($B399="","",G399*N399)</f>
        <v/>
      </c>
      <c r="P399" s="22" t="str">
        <f aca="false">IF($B399="","",IFERROR(INDEX(고객사!$K$5:$K$104,MATCH($B399,고객사!$A$5:$A$104,0)),0))</f>
        <v/>
      </c>
      <c r="Q399" s="22" t="str">
        <f aca="false">IF($B399="","",G399*P399)</f>
        <v/>
      </c>
      <c r="R399" s="22" t="str">
        <f aca="false">IF($B399="","",O399-Q399-L399)</f>
        <v/>
      </c>
      <c r="S399" s="21" t="str">
        <f aca="false">IF(OR($B399="",N(O399)=0),"",R399/O399)</f>
        <v/>
      </c>
      <c r="T399" s="14"/>
      <c r="U399" s="19" t="n">
        <f aca="false">IF(OR($B399="",$A399=""),0,IF(COUNTIFS($A$5:$A399,$A399,$B$5:$B399,$B399)=1,1,0))</f>
        <v>0</v>
      </c>
    </row>
    <row r="400" customFormat="false" ht="15" hidden="false" customHeight="false" outlineLevel="0" collapsed="false">
      <c r="A400" s="17"/>
      <c r="B400" s="13"/>
      <c r="C400" s="20" t="str">
        <f aca="false">IF($B400="","",IFERROR(INDEX(고객사!$B$5:$B$104,MATCH($B400,고객사!$A$5:$A$104,0)),"코드 확인"))</f>
        <v/>
      </c>
      <c r="D400" s="15"/>
      <c r="E400" s="15"/>
      <c r="F400" s="16"/>
      <c r="G400" s="16"/>
      <c r="H400" s="21" t="str">
        <f aca="false">IF(OR($B400="",F400=0),"",G400/F400)</f>
        <v/>
      </c>
      <c r="I400" s="22" t="str">
        <f aca="false">IF($B400="","",MAX(F400-G400,0))</f>
        <v/>
      </c>
      <c r="J400" s="23" t="str">
        <f aca="false">IF($B400="","",IFERROR(INDEX(고객사!$G$5:$G$104,MATCH($B400,고객사!$A$5:$A$104,0)),""))</f>
        <v/>
      </c>
      <c r="K400" s="16"/>
      <c r="L400" s="22" t="str">
        <f aca="false">IF($B400="","",K400*IFERROR(INDEX(고객사!$L$5:$L$104,MATCH($B400,고객사!$A$5:$A$104,0)),0))</f>
        <v/>
      </c>
      <c r="M400" s="23" t="str">
        <f aca="false">IF($B400="","",IF(AND(J400="N",G400&gt;0,K400=0,IFERROR(INDEX(고객사!$H$5:$H$104,MATCH($B400,고객사!$A$5:$A$104,0)),"")="자사 차량 운행"),"차량 미배정",""))</f>
        <v/>
      </c>
      <c r="N400" s="22" t="str">
        <f aca="false">IF($B400="","",IFERROR(INDEX(고객사!$J$5:$J$104,MATCH($B400,고객사!$A$5:$A$104,0)),0))</f>
        <v/>
      </c>
      <c r="O400" s="22" t="str">
        <f aca="false">IF($B400="","",G400*N400)</f>
        <v/>
      </c>
      <c r="P400" s="22" t="str">
        <f aca="false">IF($B400="","",IFERROR(INDEX(고객사!$K$5:$K$104,MATCH($B400,고객사!$A$5:$A$104,0)),0))</f>
        <v/>
      </c>
      <c r="Q400" s="22" t="str">
        <f aca="false">IF($B400="","",G400*P400)</f>
        <v/>
      </c>
      <c r="R400" s="22" t="str">
        <f aca="false">IF($B400="","",O400-Q400-L400)</f>
        <v/>
      </c>
      <c r="S400" s="21" t="str">
        <f aca="false">IF(OR($B400="",N(O400)=0),"",R400/O400)</f>
        <v/>
      </c>
      <c r="T400" s="14"/>
      <c r="U400" s="19" t="n">
        <f aca="false">IF(OR($B400="",$A400=""),0,IF(COUNTIFS($A$5:$A400,$A400,$B$5:$B400,$B400)=1,1,0))</f>
        <v>0</v>
      </c>
    </row>
    <row r="401" customFormat="false" ht="15" hidden="false" customHeight="false" outlineLevel="0" collapsed="false">
      <c r="A401" s="17"/>
      <c r="B401" s="13"/>
      <c r="C401" s="20" t="str">
        <f aca="false">IF($B401="","",IFERROR(INDEX(고객사!$B$5:$B$104,MATCH($B401,고객사!$A$5:$A$104,0)),"코드 확인"))</f>
        <v/>
      </c>
      <c r="D401" s="15"/>
      <c r="E401" s="15"/>
      <c r="F401" s="16"/>
      <c r="G401" s="16"/>
      <c r="H401" s="21" t="str">
        <f aca="false">IF(OR($B401="",F401=0),"",G401/F401)</f>
        <v/>
      </c>
      <c r="I401" s="22" t="str">
        <f aca="false">IF($B401="","",MAX(F401-G401,0))</f>
        <v/>
      </c>
      <c r="J401" s="23" t="str">
        <f aca="false">IF($B401="","",IFERROR(INDEX(고객사!$G$5:$G$104,MATCH($B401,고객사!$A$5:$A$104,0)),""))</f>
        <v/>
      </c>
      <c r="K401" s="16"/>
      <c r="L401" s="22" t="str">
        <f aca="false">IF($B401="","",K401*IFERROR(INDEX(고객사!$L$5:$L$104,MATCH($B401,고객사!$A$5:$A$104,0)),0))</f>
        <v/>
      </c>
      <c r="M401" s="23" t="str">
        <f aca="false">IF($B401="","",IF(AND(J401="N",G401&gt;0,K401=0,IFERROR(INDEX(고객사!$H$5:$H$104,MATCH($B401,고객사!$A$5:$A$104,0)),"")="자사 차량 운행"),"차량 미배정",""))</f>
        <v/>
      </c>
      <c r="N401" s="22" t="str">
        <f aca="false">IF($B401="","",IFERROR(INDEX(고객사!$J$5:$J$104,MATCH($B401,고객사!$A$5:$A$104,0)),0))</f>
        <v/>
      </c>
      <c r="O401" s="22" t="str">
        <f aca="false">IF($B401="","",G401*N401)</f>
        <v/>
      </c>
      <c r="P401" s="22" t="str">
        <f aca="false">IF($B401="","",IFERROR(INDEX(고객사!$K$5:$K$104,MATCH($B401,고객사!$A$5:$A$104,0)),0))</f>
        <v/>
      </c>
      <c r="Q401" s="22" t="str">
        <f aca="false">IF($B401="","",G401*P401)</f>
        <v/>
      </c>
      <c r="R401" s="22" t="str">
        <f aca="false">IF($B401="","",O401-Q401-L401)</f>
        <v/>
      </c>
      <c r="S401" s="21" t="str">
        <f aca="false">IF(OR($B401="",N(O401)=0),"",R401/O401)</f>
        <v/>
      </c>
      <c r="T401" s="14"/>
      <c r="U401" s="19" t="n">
        <f aca="false">IF(OR($B401="",$A401=""),0,IF(COUNTIFS($A$5:$A401,$A401,$B$5:$B401,$B401)=1,1,0))</f>
        <v>0</v>
      </c>
    </row>
    <row r="402" customFormat="false" ht="15" hidden="false" customHeight="false" outlineLevel="0" collapsed="false">
      <c r="A402" s="17"/>
      <c r="B402" s="13"/>
      <c r="C402" s="20" t="str">
        <f aca="false">IF($B402="","",IFERROR(INDEX(고객사!$B$5:$B$104,MATCH($B402,고객사!$A$5:$A$104,0)),"코드 확인"))</f>
        <v/>
      </c>
      <c r="D402" s="15"/>
      <c r="E402" s="15"/>
      <c r="F402" s="16"/>
      <c r="G402" s="16"/>
      <c r="H402" s="21" t="str">
        <f aca="false">IF(OR($B402="",F402=0),"",G402/F402)</f>
        <v/>
      </c>
      <c r="I402" s="22" t="str">
        <f aca="false">IF($B402="","",MAX(F402-G402,0))</f>
        <v/>
      </c>
      <c r="J402" s="23" t="str">
        <f aca="false">IF($B402="","",IFERROR(INDEX(고객사!$G$5:$G$104,MATCH($B402,고객사!$A$5:$A$104,0)),""))</f>
        <v/>
      </c>
      <c r="K402" s="16"/>
      <c r="L402" s="22" t="str">
        <f aca="false">IF($B402="","",K402*IFERROR(INDEX(고객사!$L$5:$L$104,MATCH($B402,고객사!$A$5:$A$104,0)),0))</f>
        <v/>
      </c>
      <c r="M402" s="23" t="str">
        <f aca="false">IF($B402="","",IF(AND(J402="N",G402&gt;0,K402=0,IFERROR(INDEX(고객사!$H$5:$H$104,MATCH($B402,고객사!$A$5:$A$104,0)),"")="자사 차량 운행"),"차량 미배정",""))</f>
        <v/>
      </c>
      <c r="N402" s="22" t="str">
        <f aca="false">IF($B402="","",IFERROR(INDEX(고객사!$J$5:$J$104,MATCH($B402,고객사!$A$5:$A$104,0)),0))</f>
        <v/>
      </c>
      <c r="O402" s="22" t="str">
        <f aca="false">IF($B402="","",G402*N402)</f>
        <v/>
      </c>
      <c r="P402" s="22" t="str">
        <f aca="false">IF($B402="","",IFERROR(INDEX(고객사!$K$5:$K$104,MATCH($B402,고객사!$A$5:$A$104,0)),0))</f>
        <v/>
      </c>
      <c r="Q402" s="22" t="str">
        <f aca="false">IF($B402="","",G402*P402)</f>
        <v/>
      </c>
      <c r="R402" s="22" t="str">
        <f aca="false">IF($B402="","",O402-Q402-L402)</f>
        <v/>
      </c>
      <c r="S402" s="21" t="str">
        <f aca="false">IF(OR($B402="",N(O402)=0),"",R402/O402)</f>
        <v/>
      </c>
      <c r="T402" s="14"/>
      <c r="U402" s="19" t="n">
        <f aca="false">IF(OR($B402="",$A402=""),0,IF(COUNTIFS($A$5:$A402,$A402,$B$5:$B402,$B402)=1,1,0))</f>
        <v>0</v>
      </c>
    </row>
    <row r="403" customFormat="false" ht="15" hidden="false" customHeight="false" outlineLevel="0" collapsed="false">
      <c r="A403" s="17"/>
      <c r="B403" s="13"/>
      <c r="C403" s="20" t="str">
        <f aca="false">IF($B403="","",IFERROR(INDEX(고객사!$B$5:$B$104,MATCH($B403,고객사!$A$5:$A$104,0)),"코드 확인"))</f>
        <v/>
      </c>
      <c r="D403" s="15"/>
      <c r="E403" s="15"/>
      <c r="F403" s="16"/>
      <c r="G403" s="16"/>
      <c r="H403" s="21" t="str">
        <f aca="false">IF(OR($B403="",F403=0),"",G403/F403)</f>
        <v/>
      </c>
      <c r="I403" s="22" t="str">
        <f aca="false">IF($B403="","",MAX(F403-G403,0))</f>
        <v/>
      </c>
      <c r="J403" s="23" t="str">
        <f aca="false">IF($B403="","",IFERROR(INDEX(고객사!$G$5:$G$104,MATCH($B403,고객사!$A$5:$A$104,0)),""))</f>
        <v/>
      </c>
      <c r="K403" s="16"/>
      <c r="L403" s="22" t="str">
        <f aca="false">IF($B403="","",K403*IFERROR(INDEX(고객사!$L$5:$L$104,MATCH($B403,고객사!$A$5:$A$104,0)),0))</f>
        <v/>
      </c>
      <c r="M403" s="23" t="str">
        <f aca="false">IF($B403="","",IF(AND(J403="N",G403&gt;0,K403=0,IFERROR(INDEX(고객사!$H$5:$H$104,MATCH($B403,고객사!$A$5:$A$104,0)),"")="자사 차량 운행"),"차량 미배정",""))</f>
        <v/>
      </c>
      <c r="N403" s="22" t="str">
        <f aca="false">IF($B403="","",IFERROR(INDEX(고객사!$J$5:$J$104,MATCH($B403,고객사!$A$5:$A$104,0)),0))</f>
        <v/>
      </c>
      <c r="O403" s="22" t="str">
        <f aca="false">IF($B403="","",G403*N403)</f>
        <v/>
      </c>
      <c r="P403" s="22" t="str">
        <f aca="false">IF($B403="","",IFERROR(INDEX(고객사!$K$5:$K$104,MATCH($B403,고객사!$A$5:$A$104,0)),0))</f>
        <v/>
      </c>
      <c r="Q403" s="22" t="str">
        <f aca="false">IF($B403="","",G403*P403)</f>
        <v/>
      </c>
      <c r="R403" s="22" t="str">
        <f aca="false">IF($B403="","",O403-Q403-L403)</f>
        <v/>
      </c>
      <c r="S403" s="21" t="str">
        <f aca="false">IF(OR($B403="",N(O403)=0),"",R403/O403)</f>
        <v/>
      </c>
      <c r="T403" s="14"/>
      <c r="U403" s="19" t="n">
        <f aca="false">IF(OR($B403="",$A403=""),0,IF(COUNTIFS($A$5:$A403,$A403,$B$5:$B403,$B403)=1,1,0))</f>
        <v>0</v>
      </c>
    </row>
    <row r="404" customFormat="false" ht="15" hidden="false" customHeight="false" outlineLevel="0" collapsed="false">
      <c r="A404" s="17"/>
      <c r="B404" s="13"/>
      <c r="C404" s="20" t="str">
        <f aca="false">IF($B404="","",IFERROR(INDEX(고객사!$B$5:$B$104,MATCH($B404,고객사!$A$5:$A$104,0)),"코드 확인"))</f>
        <v/>
      </c>
      <c r="D404" s="15"/>
      <c r="E404" s="15"/>
      <c r="F404" s="16"/>
      <c r="G404" s="16"/>
      <c r="H404" s="21" t="str">
        <f aca="false">IF(OR($B404="",F404=0),"",G404/F404)</f>
        <v/>
      </c>
      <c r="I404" s="22" t="str">
        <f aca="false">IF($B404="","",MAX(F404-G404,0))</f>
        <v/>
      </c>
      <c r="J404" s="23" t="str">
        <f aca="false">IF($B404="","",IFERROR(INDEX(고객사!$G$5:$G$104,MATCH($B404,고객사!$A$5:$A$104,0)),""))</f>
        <v/>
      </c>
      <c r="K404" s="16"/>
      <c r="L404" s="22" t="str">
        <f aca="false">IF($B404="","",K404*IFERROR(INDEX(고객사!$L$5:$L$104,MATCH($B404,고객사!$A$5:$A$104,0)),0))</f>
        <v/>
      </c>
      <c r="M404" s="23" t="str">
        <f aca="false">IF($B404="","",IF(AND(J404="N",G404&gt;0,K404=0,IFERROR(INDEX(고객사!$H$5:$H$104,MATCH($B404,고객사!$A$5:$A$104,0)),"")="자사 차량 운행"),"차량 미배정",""))</f>
        <v/>
      </c>
      <c r="N404" s="22" t="str">
        <f aca="false">IF($B404="","",IFERROR(INDEX(고객사!$J$5:$J$104,MATCH($B404,고객사!$A$5:$A$104,0)),0))</f>
        <v/>
      </c>
      <c r="O404" s="22" t="str">
        <f aca="false">IF($B404="","",G404*N404)</f>
        <v/>
      </c>
      <c r="P404" s="22" t="str">
        <f aca="false">IF($B404="","",IFERROR(INDEX(고객사!$K$5:$K$104,MATCH($B404,고객사!$A$5:$A$104,0)),0))</f>
        <v/>
      </c>
      <c r="Q404" s="22" t="str">
        <f aca="false">IF($B404="","",G404*P404)</f>
        <v/>
      </c>
      <c r="R404" s="22" t="str">
        <f aca="false">IF($B404="","",O404-Q404-L404)</f>
        <v/>
      </c>
      <c r="S404" s="21" t="str">
        <f aca="false">IF(OR($B404="",N(O404)=0),"",R404/O404)</f>
        <v/>
      </c>
      <c r="T404" s="14"/>
      <c r="U404" s="19" t="n">
        <f aca="false">IF(OR($B404="",$A404=""),0,IF(COUNTIFS($A$5:$A404,$A404,$B$5:$B404,$B404)=1,1,0))</f>
        <v>0</v>
      </c>
    </row>
    <row r="405" customFormat="false" ht="15" hidden="false" customHeight="false" outlineLevel="0" collapsed="false">
      <c r="A405" s="17"/>
      <c r="B405" s="13"/>
      <c r="C405" s="20" t="str">
        <f aca="false">IF($B405="","",IFERROR(INDEX(고객사!$B$5:$B$104,MATCH($B405,고객사!$A$5:$A$104,0)),"코드 확인"))</f>
        <v/>
      </c>
      <c r="D405" s="15"/>
      <c r="E405" s="15"/>
      <c r="F405" s="16"/>
      <c r="G405" s="16"/>
      <c r="H405" s="21" t="str">
        <f aca="false">IF(OR($B405="",F405=0),"",G405/F405)</f>
        <v/>
      </c>
      <c r="I405" s="22" t="str">
        <f aca="false">IF($B405="","",MAX(F405-G405,0))</f>
        <v/>
      </c>
      <c r="J405" s="23" t="str">
        <f aca="false">IF($B405="","",IFERROR(INDEX(고객사!$G$5:$G$104,MATCH($B405,고객사!$A$5:$A$104,0)),""))</f>
        <v/>
      </c>
      <c r="K405" s="16"/>
      <c r="L405" s="22" t="str">
        <f aca="false">IF($B405="","",K405*IFERROR(INDEX(고객사!$L$5:$L$104,MATCH($B405,고객사!$A$5:$A$104,0)),0))</f>
        <v/>
      </c>
      <c r="M405" s="23" t="str">
        <f aca="false">IF($B405="","",IF(AND(J405="N",G405&gt;0,K405=0,IFERROR(INDEX(고객사!$H$5:$H$104,MATCH($B405,고객사!$A$5:$A$104,0)),"")="자사 차량 운행"),"차량 미배정",""))</f>
        <v/>
      </c>
      <c r="N405" s="22" t="str">
        <f aca="false">IF($B405="","",IFERROR(INDEX(고객사!$J$5:$J$104,MATCH($B405,고객사!$A$5:$A$104,0)),0))</f>
        <v/>
      </c>
      <c r="O405" s="22" t="str">
        <f aca="false">IF($B405="","",G405*N405)</f>
        <v/>
      </c>
      <c r="P405" s="22" t="str">
        <f aca="false">IF($B405="","",IFERROR(INDEX(고객사!$K$5:$K$104,MATCH($B405,고객사!$A$5:$A$104,0)),0))</f>
        <v/>
      </c>
      <c r="Q405" s="22" t="str">
        <f aca="false">IF($B405="","",G405*P405)</f>
        <v/>
      </c>
      <c r="R405" s="22" t="str">
        <f aca="false">IF($B405="","",O405-Q405-L405)</f>
        <v/>
      </c>
      <c r="S405" s="21" t="str">
        <f aca="false">IF(OR($B405="",N(O405)=0),"",R405/O405)</f>
        <v/>
      </c>
      <c r="T405" s="14"/>
      <c r="U405" s="19" t="n">
        <f aca="false">IF(OR($B405="",$A405=""),0,IF(COUNTIFS($A$5:$A405,$A405,$B$5:$B405,$B405)=1,1,0))</f>
        <v>0</v>
      </c>
    </row>
    <row r="406" customFormat="false" ht="15" hidden="false" customHeight="false" outlineLevel="0" collapsed="false">
      <c r="A406" s="17"/>
      <c r="B406" s="13"/>
      <c r="C406" s="20" t="str">
        <f aca="false">IF($B406="","",IFERROR(INDEX(고객사!$B$5:$B$104,MATCH($B406,고객사!$A$5:$A$104,0)),"코드 확인"))</f>
        <v/>
      </c>
      <c r="D406" s="15"/>
      <c r="E406" s="15"/>
      <c r="F406" s="16"/>
      <c r="G406" s="16"/>
      <c r="H406" s="21" t="str">
        <f aca="false">IF(OR($B406="",F406=0),"",G406/F406)</f>
        <v/>
      </c>
      <c r="I406" s="22" t="str">
        <f aca="false">IF($B406="","",MAX(F406-G406,0))</f>
        <v/>
      </c>
      <c r="J406" s="23" t="str">
        <f aca="false">IF($B406="","",IFERROR(INDEX(고객사!$G$5:$G$104,MATCH($B406,고객사!$A$5:$A$104,0)),""))</f>
        <v/>
      </c>
      <c r="K406" s="16"/>
      <c r="L406" s="22" t="str">
        <f aca="false">IF($B406="","",K406*IFERROR(INDEX(고객사!$L$5:$L$104,MATCH($B406,고객사!$A$5:$A$104,0)),0))</f>
        <v/>
      </c>
      <c r="M406" s="23" t="str">
        <f aca="false">IF($B406="","",IF(AND(J406="N",G406&gt;0,K406=0,IFERROR(INDEX(고객사!$H$5:$H$104,MATCH($B406,고객사!$A$5:$A$104,0)),"")="자사 차량 운행"),"차량 미배정",""))</f>
        <v/>
      </c>
      <c r="N406" s="22" t="str">
        <f aca="false">IF($B406="","",IFERROR(INDEX(고객사!$J$5:$J$104,MATCH($B406,고객사!$A$5:$A$104,0)),0))</f>
        <v/>
      </c>
      <c r="O406" s="22" t="str">
        <f aca="false">IF($B406="","",G406*N406)</f>
        <v/>
      </c>
      <c r="P406" s="22" t="str">
        <f aca="false">IF($B406="","",IFERROR(INDEX(고객사!$K$5:$K$104,MATCH($B406,고객사!$A$5:$A$104,0)),0))</f>
        <v/>
      </c>
      <c r="Q406" s="22" t="str">
        <f aca="false">IF($B406="","",G406*P406)</f>
        <v/>
      </c>
      <c r="R406" s="22" t="str">
        <f aca="false">IF($B406="","",O406-Q406-L406)</f>
        <v/>
      </c>
      <c r="S406" s="21" t="str">
        <f aca="false">IF(OR($B406="",N(O406)=0),"",R406/O406)</f>
        <v/>
      </c>
      <c r="T406" s="14"/>
      <c r="U406" s="19" t="n">
        <f aca="false">IF(OR($B406="",$A406=""),0,IF(COUNTIFS($A$5:$A406,$A406,$B$5:$B406,$B406)=1,1,0))</f>
        <v>0</v>
      </c>
    </row>
    <row r="407" customFormat="false" ht="15" hidden="false" customHeight="false" outlineLevel="0" collapsed="false">
      <c r="A407" s="17"/>
      <c r="B407" s="13"/>
      <c r="C407" s="20" t="str">
        <f aca="false">IF($B407="","",IFERROR(INDEX(고객사!$B$5:$B$104,MATCH($B407,고객사!$A$5:$A$104,0)),"코드 확인"))</f>
        <v/>
      </c>
      <c r="D407" s="15"/>
      <c r="E407" s="15"/>
      <c r="F407" s="16"/>
      <c r="G407" s="16"/>
      <c r="H407" s="21" t="str">
        <f aca="false">IF(OR($B407="",F407=0),"",G407/F407)</f>
        <v/>
      </c>
      <c r="I407" s="22" t="str">
        <f aca="false">IF($B407="","",MAX(F407-G407,0))</f>
        <v/>
      </c>
      <c r="J407" s="23" t="str">
        <f aca="false">IF($B407="","",IFERROR(INDEX(고객사!$G$5:$G$104,MATCH($B407,고객사!$A$5:$A$104,0)),""))</f>
        <v/>
      </c>
      <c r="K407" s="16"/>
      <c r="L407" s="22" t="str">
        <f aca="false">IF($B407="","",K407*IFERROR(INDEX(고객사!$L$5:$L$104,MATCH($B407,고객사!$A$5:$A$104,0)),0))</f>
        <v/>
      </c>
      <c r="M407" s="23" t="str">
        <f aca="false">IF($B407="","",IF(AND(J407="N",G407&gt;0,K407=0,IFERROR(INDEX(고객사!$H$5:$H$104,MATCH($B407,고객사!$A$5:$A$104,0)),"")="자사 차량 운행"),"차량 미배정",""))</f>
        <v/>
      </c>
      <c r="N407" s="22" t="str">
        <f aca="false">IF($B407="","",IFERROR(INDEX(고객사!$J$5:$J$104,MATCH($B407,고객사!$A$5:$A$104,0)),0))</f>
        <v/>
      </c>
      <c r="O407" s="22" t="str">
        <f aca="false">IF($B407="","",G407*N407)</f>
        <v/>
      </c>
      <c r="P407" s="22" t="str">
        <f aca="false">IF($B407="","",IFERROR(INDEX(고객사!$K$5:$K$104,MATCH($B407,고객사!$A$5:$A$104,0)),0))</f>
        <v/>
      </c>
      <c r="Q407" s="22" t="str">
        <f aca="false">IF($B407="","",G407*P407)</f>
        <v/>
      </c>
      <c r="R407" s="22" t="str">
        <f aca="false">IF($B407="","",O407-Q407-L407)</f>
        <v/>
      </c>
      <c r="S407" s="21" t="str">
        <f aca="false">IF(OR($B407="",N(O407)=0),"",R407/O407)</f>
        <v/>
      </c>
      <c r="T407" s="14"/>
      <c r="U407" s="19" t="n">
        <f aca="false">IF(OR($B407="",$A407=""),0,IF(COUNTIFS($A$5:$A407,$A407,$B$5:$B407,$B407)=1,1,0))</f>
        <v>0</v>
      </c>
    </row>
    <row r="408" customFormat="false" ht="15" hidden="false" customHeight="false" outlineLevel="0" collapsed="false">
      <c r="A408" s="17"/>
      <c r="B408" s="13"/>
      <c r="C408" s="20" t="str">
        <f aca="false">IF($B408="","",IFERROR(INDEX(고객사!$B$5:$B$104,MATCH($B408,고객사!$A$5:$A$104,0)),"코드 확인"))</f>
        <v/>
      </c>
      <c r="D408" s="15"/>
      <c r="E408" s="15"/>
      <c r="F408" s="16"/>
      <c r="G408" s="16"/>
      <c r="H408" s="21" t="str">
        <f aca="false">IF(OR($B408="",F408=0),"",G408/F408)</f>
        <v/>
      </c>
      <c r="I408" s="22" t="str">
        <f aca="false">IF($B408="","",MAX(F408-G408,0))</f>
        <v/>
      </c>
      <c r="J408" s="23" t="str">
        <f aca="false">IF($B408="","",IFERROR(INDEX(고객사!$G$5:$G$104,MATCH($B408,고객사!$A$5:$A$104,0)),""))</f>
        <v/>
      </c>
      <c r="K408" s="16"/>
      <c r="L408" s="22" t="str">
        <f aca="false">IF($B408="","",K408*IFERROR(INDEX(고객사!$L$5:$L$104,MATCH($B408,고객사!$A$5:$A$104,0)),0))</f>
        <v/>
      </c>
      <c r="M408" s="23" t="str">
        <f aca="false">IF($B408="","",IF(AND(J408="N",G408&gt;0,K408=0,IFERROR(INDEX(고객사!$H$5:$H$104,MATCH($B408,고객사!$A$5:$A$104,0)),"")="자사 차량 운행"),"차량 미배정",""))</f>
        <v/>
      </c>
      <c r="N408" s="22" t="str">
        <f aca="false">IF($B408="","",IFERROR(INDEX(고객사!$J$5:$J$104,MATCH($B408,고객사!$A$5:$A$104,0)),0))</f>
        <v/>
      </c>
      <c r="O408" s="22" t="str">
        <f aca="false">IF($B408="","",G408*N408)</f>
        <v/>
      </c>
      <c r="P408" s="22" t="str">
        <f aca="false">IF($B408="","",IFERROR(INDEX(고객사!$K$5:$K$104,MATCH($B408,고객사!$A$5:$A$104,0)),0))</f>
        <v/>
      </c>
      <c r="Q408" s="22" t="str">
        <f aca="false">IF($B408="","",G408*P408)</f>
        <v/>
      </c>
      <c r="R408" s="22" t="str">
        <f aca="false">IF($B408="","",O408-Q408-L408)</f>
        <v/>
      </c>
      <c r="S408" s="21" t="str">
        <f aca="false">IF(OR($B408="",N(O408)=0),"",R408/O408)</f>
        <v/>
      </c>
      <c r="T408" s="14"/>
      <c r="U408" s="19" t="n">
        <f aca="false">IF(OR($B408="",$A408=""),0,IF(COUNTIFS($A$5:$A408,$A408,$B$5:$B408,$B408)=1,1,0))</f>
        <v>0</v>
      </c>
    </row>
    <row r="409" customFormat="false" ht="15" hidden="false" customHeight="false" outlineLevel="0" collapsed="false">
      <c r="A409" s="17"/>
      <c r="B409" s="13"/>
      <c r="C409" s="20" t="str">
        <f aca="false">IF($B409="","",IFERROR(INDEX(고객사!$B$5:$B$104,MATCH($B409,고객사!$A$5:$A$104,0)),"코드 확인"))</f>
        <v/>
      </c>
      <c r="D409" s="15"/>
      <c r="E409" s="15"/>
      <c r="F409" s="16"/>
      <c r="G409" s="16"/>
      <c r="H409" s="21" t="str">
        <f aca="false">IF(OR($B409="",F409=0),"",G409/F409)</f>
        <v/>
      </c>
      <c r="I409" s="22" t="str">
        <f aca="false">IF($B409="","",MAX(F409-G409,0))</f>
        <v/>
      </c>
      <c r="J409" s="23" t="str">
        <f aca="false">IF($B409="","",IFERROR(INDEX(고객사!$G$5:$G$104,MATCH($B409,고객사!$A$5:$A$104,0)),""))</f>
        <v/>
      </c>
      <c r="K409" s="16"/>
      <c r="L409" s="22" t="str">
        <f aca="false">IF($B409="","",K409*IFERROR(INDEX(고객사!$L$5:$L$104,MATCH($B409,고객사!$A$5:$A$104,0)),0))</f>
        <v/>
      </c>
      <c r="M409" s="23" t="str">
        <f aca="false">IF($B409="","",IF(AND(J409="N",G409&gt;0,K409=0,IFERROR(INDEX(고객사!$H$5:$H$104,MATCH($B409,고객사!$A$5:$A$104,0)),"")="자사 차량 운행"),"차량 미배정",""))</f>
        <v/>
      </c>
      <c r="N409" s="22" t="str">
        <f aca="false">IF($B409="","",IFERROR(INDEX(고객사!$J$5:$J$104,MATCH($B409,고객사!$A$5:$A$104,0)),0))</f>
        <v/>
      </c>
      <c r="O409" s="22" t="str">
        <f aca="false">IF($B409="","",G409*N409)</f>
        <v/>
      </c>
      <c r="P409" s="22" t="str">
        <f aca="false">IF($B409="","",IFERROR(INDEX(고객사!$K$5:$K$104,MATCH($B409,고객사!$A$5:$A$104,0)),0))</f>
        <v/>
      </c>
      <c r="Q409" s="22" t="str">
        <f aca="false">IF($B409="","",G409*P409)</f>
        <v/>
      </c>
      <c r="R409" s="22" t="str">
        <f aca="false">IF($B409="","",O409-Q409-L409)</f>
        <v/>
      </c>
      <c r="S409" s="21" t="str">
        <f aca="false">IF(OR($B409="",N(O409)=0),"",R409/O409)</f>
        <v/>
      </c>
      <c r="T409" s="14"/>
      <c r="U409" s="19" t="n">
        <f aca="false">IF(OR($B409="",$A409=""),0,IF(COUNTIFS($A$5:$A409,$A409,$B$5:$B409,$B409)=1,1,0))</f>
        <v>0</v>
      </c>
    </row>
    <row r="410" customFormat="false" ht="15" hidden="false" customHeight="false" outlineLevel="0" collapsed="false">
      <c r="A410" s="17"/>
      <c r="B410" s="13"/>
      <c r="C410" s="20" t="str">
        <f aca="false">IF($B410="","",IFERROR(INDEX(고객사!$B$5:$B$104,MATCH($B410,고객사!$A$5:$A$104,0)),"코드 확인"))</f>
        <v/>
      </c>
      <c r="D410" s="15"/>
      <c r="E410" s="15"/>
      <c r="F410" s="16"/>
      <c r="G410" s="16"/>
      <c r="H410" s="21" t="str">
        <f aca="false">IF(OR($B410="",F410=0),"",G410/F410)</f>
        <v/>
      </c>
      <c r="I410" s="22" t="str">
        <f aca="false">IF($B410="","",MAX(F410-G410,0))</f>
        <v/>
      </c>
      <c r="J410" s="23" t="str">
        <f aca="false">IF($B410="","",IFERROR(INDEX(고객사!$G$5:$G$104,MATCH($B410,고객사!$A$5:$A$104,0)),""))</f>
        <v/>
      </c>
      <c r="K410" s="16"/>
      <c r="L410" s="22" t="str">
        <f aca="false">IF($B410="","",K410*IFERROR(INDEX(고객사!$L$5:$L$104,MATCH($B410,고객사!$A$5:$A$104,0)),0))</f>
        <v/>
      </c>
      <c r="M410" s="23" t="str">
        <f aca="false">IF($B410="","",IF(AND(J410="N",G410&gt;0,K410=0,IFERROR(INDEX(고객사!$H$5:$H$104,MATCH($B410,고객사!$A$5:$A$104,0)),"")="자사 차량 운행"),"차량 미배정",""))</f>
        <v/>
      </c>
      <c r="N410" s="22" t="str">
        <f aca="false">IF($B410="","",IFERROR(INDEX(고객사!$J$5:$J$104,MATCH($B410,고객사!$A$5:$A$104,0)),0))</f>
        <v/>
      </c>
      <c r="O410" s="22" t="str">
        <f aca="false">IF($B410="","",G410*N410)</f>
        <v/>
      </c>
      <c r="P410" s="22" t="str">
        <f aca="false">IF($B410="","",IFERROR(INDEX(고객사!$K$5:$K$104,MATCH($B410,고객사!$A$5:$A$104,0)),0))</f>
        <v/>
      </c>
      <c r="Q410" s="22" t="str">
        <f aca="false">IF($B410="","",G410*P410)</f>
        <v/>
      </c>
      <c r="R410" s="22" t="str">
        <f aca="false">IF($B410="","",O410-Q410-L410)</f>
        <v/>
      </c>
      <c r="S410" s="21" t="str">
        <f aca="false">IF(OR($B410="",N(O410)=0),"",R410/O410)</f>
        <v/>
      </c>
      <c r="T410" s="14"/>
      <c r="U410" s="19" t="n">
        <f aca="false">IF(OR($B410="",$A410=""),0,IF(COUNTIFS($A$5:$A410,$A410,$B$5:$B410,$B410)=1,1,0))</f>
        <v>0</v>
      </c>
    </row>
    <row r="411" customFormat="false" ht="15" hidden="false" customHeight="false" outlineLevel="0" collapsed="false">
      <c r="A411" s="17"/>
      <c r="B411" s="13"/>
      <c r="C411" s="20" t="str">
        <f aca="false">IF($B411="","",IFERROR(INDEX(고객사!$B$5:$B$104,MATCH($B411,고객사!$A$5:$A$104,0)),"코드 확인"))</f>
        <v/>
      </c>
      <c r="D411" s="15"/>
      <c r="E411" s="15"/>
      <c r="F411" s="16"/>
      <c r="G411" s="16"/>
      <c r="H411" s="21" t="str">
        <f aca="false">IF(OR($B411="",F411=0),"",G411/F411)</f>
        <v/>
      </c>
      <c r="I411" s="22" t="str">
        <f aca="false">IF($B411="","",MAX(F411-G411,0))</f>
        <v/>
      </c>
      <c r="J411" s="23" t="str">
        <f aca="false">IF($B411="","",IFERROR(INDEX(고객사!$G$5:$G$104,MATCH($B411,고객사!$A$5:$A$104,0)),""))</f>
        <v/>
      </c>
      <c r="K411" s="16"/>
      <c r="L411" s="22" t="str">
        <f aca="false">IF($B411="","",K411*IFERROR(INDEX(고객사!$L$5:$L$104,MATCH($B411,고객사!$A$5:$A$104,0)),0))</f>
        <v/>
      </c>
      <c r="M411" s="23" t="str">
        <f aca="false">IF($B411="","",IF(AND(J411="N",G411&gt;0,K411=0,IFERROR(INDEX(고객사!$H$5:$H$104,MATCH($B411,고객사!$A$5:$A$104,0)),"")="자사 차량 운행"),"차량 미배정",""))</f>
        <v/>
      </c>
      <c r="N411" s="22" t="str">
        <f aca="false">IF($B411="","",IFERROR(INDEX(고객사!$J$5:$J$104,MATCH($B411,고객사!$A$5:$A$104,0)),0))</f>
        <v/>
      </c>
      <c r="O411" s="22" t="str">
        <f aca="false">IF($B411="","",G411*N411)</f>
        <v/>
      </c>
      <c r="P411" s="22" t="str">
        <f aca="false">IF($B411="","",IFERROR(INDEX(고객사!$K$5:$K$104,MATCH($B411,고객사!$A$5:$A$104,0)),0))</f>
        <v/>
      </c>
      <c r="Q411" s="22" t="str">
        <f aca="false">IF($B411="","",G411*P411)</f>
        <v/>
      </c>
      <c r="R411" s="22" t="str">
        <f aca="false">IF($B411="","",O411-Q411-L411)</f>
        <v/>
      </c>
      <c r="S411" s="21" t="str">
        <f aca="false">IF(OR($B411="",N(O411)=0),"",R411/O411)</f>
        <v/>
      </c>
      <c r="T411" s="14"/>
      <c r="U411" s="19" t="n">
        <f aca="false">IF(OR($B411="",$A411=""),0,IF(COUNTIFS($A$5:$A411,$A411,$B$5:$B411,$B411)=1,1,0))</f>
        <v>0</v>
      </c>
    </row>
    <row r="412" customFormat="false" ht="15" hidden="false" customHeight="false" outlineLevel="0" collapsed="false">
      <c r="A412" s="17"/>
      <c r="B412" s="13"/>
      <c r="C412" s="20" t="str">
        <f aca="false">IF($B412="","",IFERROR(INDEX(고객사!$B$5:$B$104,MATCH($B412,고객사!$A$5:$A$104,0)),"코드 확인"))</f>
        <v/>
      </c>
      <c r="D412" s="15"/>
      <c r="E412" s="15"/>
      <c r="F412" s="16"/>
      <c r="G412" s="16"/>
      <c r="H412" s="21" t="str">
        <f aca="false">IF(OR($B412="",F412=0),"",G412/F412)</f>
        <v/>
      </c>
      <c r="I412" s="22" t="str">
        <f aca="false">IF($B412="","",MAX(F412-G412,0))</f>
        <v/>
      </c>
      <c r="J412" s="23" t="str">
        <f aca="false">IF($B412="","",IFERROR(INDEX(고객사!$G$5:$G$104,MATCH($B412,고객사!$A$5:$A$104,0)),""))</f>
        <v/>
      </c>
      <c r="K412" s="16"/>
      <c r="L412" s="22" t="str">
        <f aca="false">IF($B412="","",K412*IFERROR(INDEX(고객사!$L$5:$L$104,MATCH($B412,고객사!$A$5:$A$104,0)),0))</f>
        <v/>
      </c>
      <c r="M412" s="23" t="str">
        <f aca="false">IF($B412="","",IF(AND(J412="N",G412&gt;0,K412=0,IFERROR(INDEX(고객사!$H$5:$H$104,MATCH($B412,고객사!$A$5:$A$104,0)),"")="자사 차량 운행"),"차량 미배정",""))</f>
        <v/>
      </c>
      <c r="N412" s="22" t="str">
        <f aca="false">IF($B412="","",IFERROR(INDEX(고객사!$J$5:$J$104,MATCH($B412,고객사!$A$5:$A$104,0)),0))</f>
        <v/>
      </c>
      <c r="O412" s="22" t="str">
        <f aca="false">IF($B412="","",G412*N412)</f>
        <v/>
      </c>
      <c r="P412" s="22" t="str">
        <f aca="false">IF($B412="","",IFERROR(INDEX(고객사!$K$5:$K$104,MATCH($B412,고객사!$A$5:$A$104,0)),0))</f>
        <v/>
      </c>
      <c r="Q412" s="22" t="str">
        <f aca="false">IF($B412="","",G412*P412)</f>
        <v/>
      </c>
      <c r="R412" s="22" t="str">
        <f aca="false">IF($B412="","",O412-Q412-L412)</f>
        <v/>
      </c>
      <c r="S412" s="21" t="str">
        <f aca="false">IF(OR($B412="",N(O412)=0),"",R412/O412)</f>
        <v/>
      </c>
      <c r="T412" s="14"/>
      <c r="U412" s="19" t="n">
        <f aca="false">IF(OR($B412="",$A412=""),0,IF(COUNTIFS($A$5:$A412,$A412,$B$5:$B412,$B412)=1,1,0))</f>
        <v>0</v>
      </c>
    </row>
    <row r="413" customFormat="false" ht="15" hidden="false" customHeight="false" outlineLevel="0" collapsed="false">
      <c r="A413" s="17"/>
      <c r="B413" s="13"/>
      <c r="C413" s="20" t="str">
        <f aca="false">IF($B413="","",IFERROR(INDEX(고객사!$B$5:$B$104,MATCH($B413,고객사!$A$5:$A$104,0)),"코드 확인"))</f>
        <v/>
      </c>
      <c r="D413" s="15"/>
      <c r="E413" s="15"/>
      <c r="F413" s="16"/>
      <c r="G413" s="16"/>
      <c r="H413" s="21" t="str">
        <f aca="false">IF(OR($B413="",F413=0),"",G413/F413)</f>
        <v/>
      </c>
      <c r="I413" s="22" t="str">
        <f aca="false">IF($B413="","",MAX(F413-G413,0))</f>
        <v/>
      </c>
      <c r="J413" s="23" t="str">
        <f aca="false">IF($B413="","",IFERROR(INDEX(고객사!$G$5:$G$104,MATCH($B413,고객사!$A$5:$A$104,0)),""))</f>
        <v/>
      </c>
      <c r="K413" s="16"/>
      <c r="L413" s="22" t="str">
        <f aca="false">IF($B413="","",K413*IFERROR(INDEX(고객사!$L$5:$L$104,MATCH($B413,고객사!$A$5:$A$104,0)),0))</f>
        <v/>
      </c>
      <c r="M413" s="23" t="str">
        <f aca="false">IF($B413="","",IF(AND(J413="N",G413&gt;0,K413=0,IFERROR(INDEX(고객사!$H$5:$H$104,MATCH($B413,고객사!$A$5:$A$104,0)),"")="자사 차량 운행"),"차량 미배정",""))</f>
        <v/>
      </c>
      <c r="N413" s="22" t="str">
        <f aca="false">IF($B413="","",IFERROR(INDEX(고객사!$J$5:$J$104,MATCH($B413,고객사!$A$5:$A$104,0)),0))</f>
        <v/>
      </c>
      <c r="O413" s="22" t="str">
        <f aca="false">IF($B413="","",G413*N413)</f>
        <v/>
      </c>
      <c r="P413" s="22" t="str">
        <f aca="false">IF($B413="","",IFERROR(INDEX(고객사!$K$5:$K$104,MATCH($B413,고객사!$A$5:$A$104,0)),0))</f>
        <v/>
      </c>
      <c r="Q413" s="22" t="str">
        <f aca="false">IF($B413="","",G413*P413)</f>
        <v/>
      </c>
      <c r="R413" s="22" t="str">
        <f aca="false">IF($B413="","",O413-Q413-L413)</f>
        <v/>
      </c>
      <c r="S413" s="21" t="str">
        <f aca="false">IF(OR($B413="",N(O413)=0),"",R413/O413)</f>
        <v/>
      </c>
      <c r="T413" s="14"/>
      <c r="U413" s="19" t="n">
        <f aca="false">IF(OR($B413="",$A413=""),0,IF(COUNTIFS($A$5:$A413,$A413,$B$5:$B413,$B413)=1,1,0))</f>
        <v>0</v>
      </c>
    </row>
    <row r="414" customFormat="false" ht="15" hidden="false" customHeight="false" outlineLevel="0" collapsed="false">
      <c r="A414" s="17"/>
      <c r="B414" s="13"/>
      <c r="C414" s="20" t="str">
        <f aca="false">IF($B414="","",IFERROR(INDEX(고객사!$B$5:$B$104,MATCH($B414,고객사!$A$5:$A$104,0)),"코드 확인"))</f>
        <v/>
      </c>
      <c r="D414" s="15"/>
      <c r="E414" s="15"/>
      <c r="F414" s="16"/>
      <c r="G414" s="16"/>
      <c r="H414" s="21" t="str">
        <f aca="false">IF(OR($B414="",F414=0),"",G414/F414)</f>
        <v/>
      </c>
      <c r="I414" s="22" t="str">
        <f aca="false">IF($B414="","",MAX(F414-G414,0))</f>
        <v/>
      </c>
      <c r="J414" s="23" t="str">
        <f aca="false">IF($B414="","",IFERROR(INDEX(고객사!$G$5:$G$104,MATCH($B414,고객사!$A$5:$A$104,0)),""))</f>
        <v/>
      </c>
      <c r="K414" s="16"/>
      <c r="L414" s="22" t="str">
        <f aca="false">IF($B414="","",K414*IFERROR(INDEX(고객사!$L$5:$L$104,MATCH($B414,고객사!$A$5:$A$104,0)),0))</f>
        <v/>
      </c>
      <c r="M414" s="23" t="str">
        <f aca="false">IF($B414="","",IF(AND(J414="N",G414&gt;0,K414=0,IFERROR(INDEX(고객사!$H$5:$H$104,MATCH($B414,고객사!$A$5:$A$104,0)),"")="자사 차량 운행"),"차량 미배정",""))</f>
        <v/>
      </c>
      <c r="N414" s="22" t="str">
        <f aca="false">IF($B414="","",IFERROR(INDEX(고객사!$J$5:$J$104,MATCH($B414,고객사!$A$5:$A$104,0)),0))</f>
        <v/>
      </c>
      <c r="O414" s="22" t="str">
        <f aca="false">IF($B414="","",G414*N414)</f>
        <v/>
      </c>
      <c r="P414" s="22" t="str">
        <f aca="false">IF($B414="","",IFERROR(INDEX(고객사!$K$5:$K$104,MATCH($B414,고객사!$A$5:$A$104,0)),0))</f>
        <v/>
      </c>
      <c r="Q414" s="22" t="str">
        <f aca="false">IF($B414="","",G414*P414)</f>
        <v/>
      </c>
      <c r="R414" s="22" t="str">
        <f aca="false">IF($B414="","",O414-Q414-L414)</f>
        <v/>
      </c>
      <c r="S414" s="21" t="str">
        <f aca="false">IF(OR($B414="",N(O414)=0),"",R414/O414)</f>
        <v/>
      </c>
      <c r="T414" s="14"/>
      <c r="U414" s="19" t="n">
        <f aca="false">IF(OR($B414="",$A414=""),0,IF(COUNTIFS($A$5:$A414,$A414,$B$5:$B414,$B414)=1,1,0))</f>
        <v>0</v>
      </c>
    </row>
    <row r="415" customFormat="false" ht="15" hidden="false" customHeight="false" outlineLevel="0" collapsed="false">
      <c r="A415" s="17"/>
      <c r="B415" s="13"/>
      <c r="C415" s="20" t="str">
        <f aca="false">IF($B415="","",IFERROR(INDEX(고객사!$B$5:$B$104,MATCH($B415,고객사!$A$5:$A$104,0)),"코드 확인"))</f>
        <v/>
      </c>
      <c r="D415" s="15"/>
      <c r="E415" s="15"/>
      <c r="F415" s="16"/>
      <c r="G415" s="16"/>
      <c r="H415" s="21" t="str">
        <f aca="false">IF(OR($B415="",F415=0),"",G415/F415)</f>
        <v/>
      </c>
      <c r="I415" s="22" t="str">
        <f aca="false">IF($B415="","",MAX(F415-G415,0))</f>
        <v/>
      </c>
      <c r="J415" s="23" t="str">
        <f aca="false">IF($B415="","",IFERROR(INDEX(고객사!$G$5:$G$104,MATCH($B415,고객사!$A$5:$A$104,0)),""))</f>
        <v/>
      </c>
      <c r="K415" s="16"/>
      <c r="L415" s="22" t="str">
        <f aca="false">IF($B415="","",K415*IFERROR(INDEX(고객사!$L$5:$L$104,MATCH($B415,고객사!$A$5:$A$104,0)),0))</f>
        <v/>
      </c>
      <c r="M415" s="23" t="str">
        <f aca="false">IF($B415="","",IF(AND(J415="N",G415&gt;0,K415=0,IFERROR(INDEX(고객사!$H$5:$H$104,MATCH($B415,고객사!$A$5:$A$104,0)),"")="자사 차량 운행"),"차량 미배정",""))</f>
        <v/>
      </c>
      <c r="N415" s="22" t="str">
        <f aca="false">IF($B415="","",IFERROR(INDEX(고객사!$J$5:$J$104,MATCH($B415,고객사!$A$5:$A$104,0)),0))</f>
        <v/>
      </c>
      <c r="O415" s="22" t="str">
        <f aca="false">IF($B415="","",G415*N415)</f>
        <v/>
      </c>
      <c r="P415" s="22" t="str">
        <f aca="false">IF($B415="","",IFERROR(INDEX(고객사!$K$5:$K$104,MATCH($B415,고객사!$A$5:$A$104,0)),0))</f>
        <v/>
      </c>
      <c r="Q415" s="22" t="str">
        <f aca="false">IF($B415="","",G415*P415)</f>
        <v/>
      </c>
      <c r="R415" s="22" t="str">
        <f aca="false">IF($B415="","",O415-Q415-L415)</f>
        <v/>
      </c>
      <c r="S415" s="21" t="str">
        <f aca="false">IF(OR($B415="",N(O415)=0),"",R415/O415)</f>
        <v/>
      </c>
      <c r="T415" s="14"/>
      <c r="U415" s="19" t="n">
        <f aca="false">IF(OR($B415="",$A415=""),0,IF(COUNTIFS($A$5:$A415,$A415,$B$5:$B415,$B415)=1,1,0))</f>
        <v>0</v>
      </c>
    </row>
    <row r="416" customFormat="false" ht="15" hidden="false" customHeight="false" outlineLevel="0" collapsed="false">
      <c r="A416" s="17"/>
      <c r="B416" s="13"/>
      <c r="C416" s="20" t="str">
        <f aca="false">IF($B416="","",IFERROR(INDEX(고객사!$B$5:$B$104,MATCH($B416,고객사!$A$5:$A$104,0)),"코드 확인"))</f>
        <v/>
      </c>
      <c r="D416" s="15"/>
      <c r="E416" s="15"/>
      <c r="F416" s="16"/>
      <c r="G416" s="16"/>
      <c r="H416" s="21" t="str">
        <f aca="false">IF(OR($B416="",F416=0),"",G416/F416)</f>
        <v/>
      </c>
      <c r="I416" s="22" t="str">
        <f aca="false">IF($B416="","",MAX(F416-G416,0))</f>
        <v/>
      </c>
      <c r="J416" s="23" t="str">
        <f aca="false">IF($B416="","",IFERROR(INDEX(고객사!$G$5:$G$104,MATCH($B416,고객사!$A$5:$A$104,0)),""))</f>
        <v/>
      </c>
      <c r="K416" s="16"/>
      <c r="L416" s="22" t="str">
        <f aca="false">IF($B416="","",K416*IFERROR(INDEX(고객사!$L$5:$L$104,MATCH($B416,고객사!$A$5:$A$104,0)),0))</f>
        <v/>
      </c>
      <c r="M416" s="23" t="str">
        <f aca="false">IF($B416="","",IF(AND(J416="N",G416&gt;0,K416=0,IFERROR(INDEX(고객사!$H$5:$H$104,MATCH($B416,고객사!$A$5:$A$104,0)),"")="자사 차량 운행"),"차량 미배정",""))</f>
        <v/>
      </c>
      <c r="N416" s="22" t="str">
        <f aca="false">IF($B416="","",IFERROR(INDEX(고객사!$J$5:$J$104,MATCH($B416,고객사!$A$5:$A$104,0)),0))</f>
        <v/>
      </c>
      <c r="O416" s="22" t="str">
        <f aca="false">IF($B416="","",G416*N416)</f>
        <v/>
      </c>
      <c r="P416" s="22" t="str">
        <f aca="false">IF($B416="","",IFERROR(INDEX(고객사!$K$5:$K$104,MATCH($B416,고객사!$A$5:$A$104,0)),0))</f>
        <v/>
      </c>
      <c r="Q416" s="22" t="str">
        <f aca="false">IF($B416="","",G416*P416)</f>
        <v/>
      </c>
      <c r="R416" s="22" t="str">
        <f aca="false">IF($B416="","",O416-Q416-L416)</f>
        <v/>
      </c>
      <c r="S416" s="21" t="str">
        <f aca="false">IF(OR($B416="",N(O416)=0),"",R416/O416)</f>
        <v/>
      </c>
      <c r="T416" s="14"/>
      <c r="U416" s="19" t="n">
        <f aca="false">IF(OR($B416="",$A416=""),0,IF(COUNTIFS($A$5:$A416,$A416,$B$5:$B416,$B416)=1,1,0))</f>
        <v>0</v>
      </c>
    </row>
    <row r="417" customFormat="false" ht="15" hidden="false" customHeight="false" outlineLevel="0" collapsed="false">
      <c r="A417" s="17"/>
      <c r="B417" s="13"/>
      <c r="C417" s="20" t="str">
        <f aca="false">IF($B417="","",IFERROR(INDEX(고객사!$B$5:$B$104,MATCH($B417,고객사!$A$5:$A$104,0)),"코드 확인"))</f>
        <v/>
      </c>
      <c r="D417" s="15"/>
      <c r="E417" s="15"/>
      <c r="F417" s="16"/>
      <c r="G417" s="16"/>
      <c r="H417" s="21" t="str">
        <f aca="false">IF(OR($B417="",F417=0),"",G417/F417)</f>
        <v/>
      </c>
      <c r="I417" s="22" t="str">
        <f aca="false">IF($B417="","",MAX(F417-G417,0))</f>
        <v/>
      </c>
      <c r="J417" s="23" t="str">
        <f aca="false">IF($B417="","",IFERROR(INDEX(고객사!$G$5:$G$104,MATCH($B417,고객사!$A$5:$A$104,0)),""))</f>
        <v/>
      </c>
      <c r="K417" s="16"/>
      <c r="L417" s="22" t="str">
        <f aca="false">IF($B417="","",K417*IFERROR(INDEX(고객사!$L$5:$L$104,MATCH($B417,고객사!$A$5:$A$104,0)),0))</f>
        <v/>
      </c>
      <c r="M417" s="23" t="str">
        <f aca="false">IF($B417="","",IF(AND(J417="N",G417&gt;0,K417=0,IFERROR(INDEX(고객사!$H$5:$H$104,MATCH($B417,고객사!$A$5:$A$104,0)),"")="자사 차량 운행"),"차량 미배정",""))</f>
        <v/>
      </c>
      <c r="N417" s="22" t="str">
        <f aca="false">IF($B417="","",IFERROR(INDEX(고객사!$J$5:$J$104,MATCH($B417,고객사!$A$5:$A$104,0)),0))</f>
        <v/>
      </c>
      <c r="O417" s="22" t="str">
        <f aca="false">IF($B417="","",G417*N417)</f>
        <v/>
      </c>
      <c r="P417" s="22" t="str">
        <f aca="false">IF($B417="","",IFERROR(INDEX(고객사!$K$5:$K$104,MATCH($B417,고객사!$A$5:$A$104,0)),0))</f>
        <v/>
      </c>
      <c r="Q417" s="22" t="str">
        <f aca="false">IF($B417="","",G417*P417)</f>
        <v/>
      </c>
      <c r="R417" s="22" t="str">
        <f aca="false">IF($B417="","",O417-Q417-L417)</f>
        <v/>
      </c>
      <c r="S417" s="21" t="str">
        <f aca="false">IF(OR($B417="",N(O417)=0),"",R417/O417)</f>
        <v/>
      </c>
      <c r="T417" s="14"/>
      <c r="U417" s="19" t="n">
        <f aca="false">IF(OR($B417="",$A417=""),0,IF(COUNTIFS($A$5:$A417,$A417,$B$5:$B417,$B417)=1,1,0))</f>
        <v>0</v>
      </c>
    </row>
    <row r="418" customFormat="false" ht="15" hidden="false" customHeight="false" outlineLevel="0" collapsed="false">
      <c r="A418" s="17"/>
      <c r="B418" s="13"/>
      <c r="C418" s="20" t="str">
        <f aca="false">IF($B418="","",IFERROR(INDEX(고객사!$B$5:$B$104,MATCH($B418,고객사!$A$5:$A$104,0)),"코드 확인"))</f>
        <v/>
      </c>
      <c r="D418" s="15"/>
      <c r="E418" s="15"/>
      <c r="F418" s="16"/>
      <c r="G418" s="16"/>
      <c r="H418" s="21" t="str">
        <f aca="false">IF(OR($B418="",F418=0),"",G418/F418)</f>
        <v/>
      </c>
      <c r="I418" s="22" t="str">
        <f aca="false">IF($B418="","",MAX(F418-G418,0))</f>
        <v/>
      </c>
      <c r="J418" s="23" t="str">
        <f aca="false">IF($B418="","",IFERROR(INDEX(고객사!$G$5:$G$104,MATCH($B418,고객사!$A$5:$A$104,0)),""))</f>
        <v/>
      </c>
      <c r="K418" s="16"/>
      <c r="L418" s="22" t="str">
        <f aca="false">IF($B418="","",K418*IFERROR(INDEX(고객사!$L$5:$L$104,MATCH($B418,고객사!$A$5:$A$104,0)),0))</f>
        <v/>
      </c>
      <c r="M418" s="23" t="str">
        <f aca="false">IF($B418="","",IF(AND(J418="N",G418&gt;0,K418=0,IFERROR(INDEX(고객사!$H$5:$H$104,MATCH($B418,고객사!$A$5:$A$104,0)),"")="자사 차량 운행"),"차량 미배정",""))</f>
        <v/>
      </c>
      <c r="N418" s="22" t="str">
        <f aca="false">IF($B418="","",IFERROR(INDEX(고객사!$J$5:$J$104,MATCH($B418,고객사!$A$5:$A$104,0)),0))</f>
        <v/>
      </c>
      <c r="O418" s="22" t="str">
        <f aca="false">IF($B418="","",G418*N418)</f>
        <v/>
      </c>
      <c r="P418" s="22" t="str">
        <f aca="false">IF($B418="","",IFERROR(INDEX(고객사!$K$5:$K$104,MATCH($B418,고객사!$A$5:$A$104,0)),0))</f>
        <v/>
      </c>
      <c r="Q418" s="22" t="str">
        <f aca="false">IF($B418="","",G418*P418)</f>
        <v/>
      </c>
      <c r="R418" s="22" t="str">
        <f aca="false">IF($B418="","",O418-Q418-L418)</f>
        <v/>
      </c>
      <c r="S418" s="21" t="str">
        <f aca="false">IF(OR($B418="",N(O418)=0),"",R418/O418)</f>
        <v/>
      </c>
      <c r="T418" s="14"/>
      <c r="U418" s="19" t="n">
        <f aca="false">IF(OR($B418="",$A418=""),0,IF(COUNTIFS($A$5:$A418,$A418,$B$5:$B418,$B418)=1,1,0))</f>
        <v>0</v>
      </c>
    </row>
    <row r="419" customFormat="false" ht="15" hidden="false" customHeight="false" outlineLevel="0" collapsed="false">
      <c r="A419" s="17"/>
      <c r="B419" s="13"/>
      <c r="C419" s="20" t="str">
        <f aca="false">IF($B419="","",IFERROR(INDEX(고객사!$B$5:$B$104,MATCH($B419,고객사!$A$5:$A$104,0)),"코드 확인"))</f>
        <v/>
      </c>
      <c r="D419" s="15"/>
      <c r="E419" s="15"/>
      <c r="F419" s="16"/>
      <c r="G419" s="16"/>
      <c r="H419" s="21" t="str">
        <f aca="false">IF(OR($B419="",F419=0),"",G419/F419)</f>
        <v/>
      </c>
      <c r="I419" s="22" t="str">
        <f aca="false">IF($B419="","",MAX(F419-G419,0))</f>
        <v/>
      </c>
      <c r="J419" s="23" t="str">
        <f aca="false">IF($B419="","",IFERROR(INDEX(고객사!$G$5:$G$104,MATCH($B419,고객사!$A$5:$A$104,0)),""))</f>
        <v/>
      </c>
      <c r="K419" s="16"/>
      <c r="L419" s="22" t="str">
        <f aca="false">IF($B419="","",K419*IFERROR(INDEX(고객사!$L$5:$L$104,MATCH($B419,고객사!$A$5:$A$104,0)),0))</f>
        <v/>
      </c>
      <c r="M419" s="23" t="str">
        <f aca="false">IF($B419="","",IF(AND(J419="N",G419&gt;0,K419=0,IFERROR(INDEX(고객사!$H$5:$H$104,MATCH($B419,고객사!$A$5:$A$104,0)),"")="자사 차량 운행"),"차량 미배정",""))</f>
        <v/>
      </c>
      <c r="N419" s="22" t="str">
        <f aca="false">IF($B419="","",IFERROR(INDEX(고객사!$J$5:$J$104,MATCH($B419,고객사!$A$5:$A$104,0)),0))</f>
        <v/>
      </c>
      <c r="O419" s="22" t="str">
        <f aca="false">IF($B419="","",G419*N419)</f>
        <v/>
      </c>
      <c r="P419" s="22" t="str">
        <f aca="false">IF($B419="","",IFERROR(INDEX(고객사!$K$5:$K$104,MATCH($B419,고객사!$A$5:$A$104,0)),0))</f>
        <v/>
      </c>
      <c r="Q419" s="22" t="str">
        <f aca="false">IF($B419="","",G419*P419)</f>
        <v/>
      </c>
      <c r="R419" s="22" t="str">
        <f aca="false">IF($B419="","",O419-Q419-L419)</f>
        <v/>
      </c>
      <c r="S419" s="21" t="str">
        <f aca="false">IF(OR($B419="",N(O419)=0),"",R419/O419)</f>
        <v/>
      </c>
      <c r="T419" s="14"/>
      <c r="U419" s="19" t="n">
        <f aca="false">IF(OR($B419="",$A419=""),0,IF(COUNTIFS($A$5:$A419,$A419,$B$5:$B419,$B419)=1,1,0))</f>
        <v>0</v>
      </c>
    </row>
    <row r="420" customFormat="false" ht="15" hidden="false" customHeight="false" outlineLevel="0" collapsed="false">
      <c r="A420" s="17"/>
      <c r="B420" s="13"/>
      <c r="C420" s="20" t="str">
        <f aca="false">IF($B420="","",IFERROR(INDEX(고객사!$B$5:$B$104,MATCH($B420,고객사!$A$5:$A$104,0)),"코드 확인"))</f>
        <v/>
      </c>
      <c r="D420" s="15"/>
      <c r="E420" s="15"/>
      <c r="F420" s="16"/>
      <c r="G420" s="16"/>
      <c r="H420" s="21" t="str">
        <f aca="false">IF(OR($B420="",F420=0),"",G420/F420)</f>
        <v/>
      </c>
      <c r="I420" s="22" t="str">
        <f aca="false">IF($B420="","",MAX(F420-G420,0))</f>
        <v/>
      </c>
      <c r="J420" s="23" t="str">
        <f aca="false">IF($B420="","",IFERROR(INDEX(고객사!$G$5:$G$104,MATCH($B420,고객사!$A$5:$A$104,0)),""))</f>
        <v/>
      </c>
      <c r="K420" s="16"/>
      <c r="L420" s="22" t="str">
        <f aca="false">IF($B420="","",K420*IFERROR(INDEX(고객사!$L$5:$L$104,MATCH($B420,고객사!$A$5:$A$104,0)),0))</f>
        <v/>
      </c>
      <c r="M420" s="23" t="str">
        <f aca="false">IF($B420="","",IF(AND(J420="N",G420&gt;0,K420=0,IFERROR(INDEX(고객사!$H$5:$H$104,MATCH($B420,고객사!$A$5:$A$104,0)),"")="자사 차량 운행"),"차량 미배정",""))</f>
        <v/>
      </c>
      <c r="N420" s="22" t="str">
        <f aca="false">IF($B420="","",IFERROR(INDEX(고객사!$J$5:$J$104,MATCH($B420,고객사!$A$5:$A$104,0)),0))</f>
        <v/>
      </c>
      <c r="O420" s="22" t="str">
        <f aca="false">IF($B420="","",G420*N420)</f>
        <v/>
      </c>
      <c r="P420" s="22" t="str">
        <f aca="false">IF($B420="","",IFERROR(INDEX(고객사!$K$5:$K$104,MATCH($B420,고객사!$A$5:$A$104,0)),0))</f>
        <v/>
      </c>
      <c r="Q420" s="22" t="str">
        <f aca="false">IF($B420="","",G420*P420)</f>
        <v/>
      </c>
      <c r="R420" s="22" t="str">
        <f aca="false">IF($B420="","",O420-Q420-L420)</f>
        <v/>
      </c>
      <c r="S420" s="21" t="str">
        <f aca="false">IF(OR($B420="",N(O420)=0),"",R420/O420)</f>
        <v/>
      </c>
      <c r="T420" s="14"/>
      <c r="U420" s="19" t="n">
        <f aca="false">IF(OR($B420="",$A420=""),0,IF(COUNTIFS($A$5:$A420,$A420,$B$5:$B420,$B420)=1,1,0))</f>
        <v>0</v>
      </c>
    </row>
    <row r="421" customFormat="false" ht="15" hidden="false" customHeight="false" outlineLevel="0" collapsed="false">
      <c r="A421" s="17"/>
      <c r="B421" s="13"/>
      <c r="C421" s="20" t="str">
        <f aca="false">IF($B421="","",IFERROR(INDEX(고객사!$B$5:$B$104,MATCH($B421,고객사!$A$5:$A$104,0)),"코드 확인"))</f>
        <v/>
      </c>
      <c r="D421" s="15"/>
      <c r="E421" s="15"/>
      <c r="F421" s="16"/>
      <c r="G421" s="16"/>
      <c r="H421" s="21" t="str">
        <f aca="false">IF(OR($B421="",F421=0),"",G421/F421)</f>
        <v/>
      </c>
      <c r="I421" s="22" t="str">
        <f aca="false">IF($B421="","",MAX(F421-G421,0))</f>
        <v/>
      </c>
      <c r="J421" s="23" t="str">
        <f aca="false">IF($B421="","",IFERROR(INDEX(고객사!$G$5:$G$104,MATCH($B421,고객사!$A$5:$A$104,0)),""))</f>
        <v/>
      </c>
      <c r="K421" s="16"/>
      <c r="L421" s="22" t="str">
        <f aca="false">IF($B421="","",K421*IFERROR(INDEX(고객사!$L$5:$L$104,MATCH($B421,고객사!$A$5:$A$104,0)),0))</f>
        <v/>
      </c>
      <c r="M421" s="23" t="str">
        <f aca="false">IF($B421="","",IF(AND(J421="N",G421&gt;0,K421=0,IFERROR(INDEX(고객사!$H$5:$H$104,MATCH($B421,고객사!$A$5:$A$104,0)),"")="자사 차량 운행"),"차량 미배정",""))</f>
        <v/>
      </c>
      <c r="N421" s="22" t="str">
        <f aca="false">IF($B421="","",IFERROR(INDEX(고객사!$J$5:$J$104,MATCH($B421,고객사!$A$5:$A$104,0)),0))</f>
        <v/>
      </c>
      <c r="O421" s="22" t="str">
        <f aca="false">IF($B421="","",G421*N421)</f>
        <v/>
      </c>
      <c r="P421" s="22" t="str">
        <f aca="false">IF($B421="","",IFERROR(INDEX(고객사!$K$5:$K$104,MATCH($B421,고객사!$A$5:$A$104,0)),0))</f>
        <v/>
      </c>
      <c r="Q421" s="22" t="str">
        <f aca="false">IF($B421="","",G421*P421)</f>
        <v/>
      </c>
      <c r="R421" s="22" t="str">
        <f aca="false">IF($B421="","",O421-Q421-L421)</f>
        <v/>
      </c>
      <c r="S421" s="21" t="str">
        <f aca="false">IF(OR($B421="",N(O421)=0),"",R421/O421)</f>
        <v/>
      </c>
      <c r="T421" s="14"/>
      <c r="U421" s="19" t="n">
        <f aca="false">IF(OR($B421="",$A421=""),0,IF(COUNTIFS($A$5:$A421,$A421,$B$5:$B421,$B421)=1,1,0))</f>
        <v>0</v>
      </c>
    </row>
    <row r="422" customFormat="false" ht="15" hidden="false" customHeight="false" outlineLevel="0" collapsed="false">
      <c r="A422" s="17"/>
      <c r="B422" s="13"/>
      <c r="C422" s="20" t="str">
        <f aca="false">IF($B422="","",IFERROR(INDEX(고객사!$B$5:$B$104,MATCH($B422,고객사!$A$5:$A$104,0)),"코드 확인"))</f>
        <v/>
      </c>
      <c r="D422" s="15"/>
      <c r="E422" s="15"/>
      <c r="F422" s="16"/>
      <c r="G422" s="16"/>
      <c r="H422" s="21" t="str">
        <f aca="false">IF(OR($B422="",F422=0),"",G422/F422)</f>
        <v/>
      </c>
      <c r="I422" s="22" t="str">
        <f aca="false">IF($B422="","",MAX(F422-G422,0))</f>
        <v/>
      </c>
      <c r="J422" s="23" t="str">
        <f aca="false">IF($B422="","",IFERROR(INDEX(고객사!$G$5:$G$104,MATCH($B422,고객사!$A$5:$A$104,0)),""))</f>
        <v/>
      </c>
      <c r="K422" s="16"/>
      <c r="L422" s="22" t="str">
        <f aca="false">IF($B422="","",K422*IFERROR(INDEX(고객사!$L$5:$L$104,MATCH($B422,고객사!$A$5:$A$104,0)),0))</f>
        <v/>
      </c>
      <c r="M422" s="23" t="str">
        <f aca="false">IF($B422="","",IF(AND(J422="N",G422&gt;0,K422=0,IFERROR(INDEX(고객사!$H$5:$H$104,MATCH($B422,고객사!$A$5:$A$104,0)),"")="자사 차량 운행"),"차량 미배정",""))</f>
        <v/>
      </c>
      <c r="N422" s="22" t="str">
        <f aca="false">IF($B422="","",IFERROR(INDEX(고객사!$J$5:$J$104,MATCH($B422,고객사!$A$5:$A$104,0)),0))</f>
        <v/>
      </c>
      <c r="O422" s="22" t="str">
        <f aca="false">IF($B422="","",G422*N422)</f>
        <v/>
      </c>
      <c r="P422" s="22" t="str">
        <f aca="false">IF($B422="","",IFERROR(INDEX(고객사!$K$5:$K$104,MATCH($B422,고객사!$A$5:$A$104,0)),0))</f>
        <v/>
      </c>
      <c r="Q422" s="22" t="str">
        <f aca="false">IF($B422="","",G422*P422)</f>
        <v/>
      </c>
      <c r="R422" s="22" t="str">
        <f aca="false">IF($B422="","",O422-Q422-L422)</f>
        <v/>
      </c>
      <c r="S422" s="21" t="str">
        <f aca="false">IF(OR($B422="",N(O422)=0),"",R422/O422)</f>
        <v/>
      </c>
      <c r="T422" s="14"/>
      <c r="U422" s="19" t="n">
        <f aca="false">IF(OR($B422="",$A422=""),0,IF(COUNTIFS($A$5:$A422,$A422,$B$5:$B422,$B422)=1,1,0))</f>
        <v>0</v>
      </c>
    </row>
    <row r="423" customFormat="false" ht="15" hidden="false" customHeight="false" outlineLevel="0" collapsed="false">
      <c r="A423" s="17"/>
      <c r="B423" s="13"/>
      <c r="C423" s="20" t="str">
        <f aca="false">IF($B423="","",IFERROR(INDEX(고객사!$B$5:$B$104,MATCH($B423,고객사!$A$5:$A$104,0)),"코드 확인"))</f>
        <v/>
      </c>
      <c r="D423" s="15"/>
      <c r="E423" s="15"/>
      <c r="F423" s="16"/>
      <c r="G423" s="16"/>
      <c r="H423" s="21" t="str">
        <f aca="false">IF(OR($B423="",F423=0),"",G423/F423)</f>
        <v/>
      </c>
      <c r="I423" s="22" t="str">
        <f aca="false">IF($B423="","",MAX(F423-G423,0))</f>
        <v/>
      </c>
      <c r="J423" s="23" t="str">
        <f aca="false">IF($B423="","",IFERROR(INDEX(고객사!$G$5:$G$104,MATCH($B423,고객사!$A$5:$A$104,0)),""))</f>
        <v/>
      </c>
      <c r="K423" s="16"/>
      <c r="L423" s="22" t="str">
        <f aca="false">IF($B423="","",K423*IFERROR(INDEX(고객사!$L$5:$L$104,MATCH($B423,고객사!$A$5:$A$104,0)),0))</f>
        <v/>
      </c>
      <c r="M423" s="23" t="str">
        <f aca="false">IF($B423="","",IF(AND(J423="N",G423&gt;0,K423=0,IFERROR(INDEX(고객사!$H$5:$H$104,MATCH($B423,고객사!$A$5:$A$104,0)),"")="자사 차량 운행"),"차량 미배정",""))</f>
        <v/>
      </c>
      <c r="N423" s="22" t="str">
        <f aca="false">IF($B423="","",IFERROR(INDEX(고객사!$J$5:$J$104,MATCH($B423,고객사!$A$5:$A$104,0)),0))</f>
        <v/>
      </c>
      <c r="O423" s="22" t="str">
        <f aca="false">IF($B423="","",G423*N423)</f>
        <v/>
      </c>
      <c r="P423" s="22" t="str">
        <f aca="false">IF($B423="","",IFERROR(INDEX(고객사!$K$5:$K$104,MATCH($B423,고객사!$A$5:$A$104,0)),0))</f>
        <v/>
      </c>
      <c r="Q423" s="22" t="str">
        <f aca="false">IF($B423="","",G423*P423)</f>
        <v/>
      </c>
      <c r="R423" s="22" t="str">
        <f aca="false">IF($B423="","",O423-Q423-L423)</f>
        <v/>
      </c>
      <c r="S423" s="21" t="str">
        <f aca="false">IF(OR($B423="",N(O423)=0),"",R423/O423)</f>
        <v/>
      </c>
      <c r="T423" s="14"/>
      <c r="U423" s="19" t="n">
        <f aca="false">IF(OR($B423="",$A423=""),0,IF(COUNTIFS($A$5:$A423,$A423,$B$5:$B423,$B423)=1,1,0))</f>
        <v>0</v>
      </c>
    </row>
    <row r="424" customFormat="false" ht="15" hidden="false" customHeight="false" outlineLevel="0" collapsed="false">
      <c r="A424" s="17"/>
      <c r="B424" s="13"/>
      <c r="C424" s="20" t="str">
        <f aca="false">IF($B424="","",IFERROR(INDEX(고객사!$B$5:$B$104,MATCH($B424,고객사!$A$5:$A$104,0)),"코드 확인"))</f>
        <v/>
      </c>
      <c r="D424" s="15"/>
      <c r="E424" s="15"/>
      <c r="F424" s="16"/>
      <c r="G424" s="16"/>
      <c r="H424" s="21" t="str">
        <f aca="false">IF(OR($B424="",F424=0),"",G424/F424)</f>
        <v/>
      </c>
      <c r="I424" s="22" t="str">
        <f aca="false">IF($B424="","",MAX(F424-G424,0))</f>
        <v/>
      </c>
      <c r="J424" s="23" t="str">
        <f aca="false">IF($B424="","",IFERROR(INDEX(고객사!$G$5:$G$104,MATCH($B424,고객사!$A$5:$A$104,0)),""))</f>
        <v/>
      </c>
      <c r="K424" s="16"/>
      <c r="L424" s="22" t="str">
        <f aca="false">IF($B424="","",K424*IFERROR(INDEX(고객사!$L$5:$L$104,MATCH($B424,고객사!$A$5:$A$104,0)),0))</f>
        <v/>
      </c>
      <c r="M424" s="23" t="str">
        <f aca="false">IF($B424="","",IF(AND(J424="N",G424&gt;0,K424=0,IFERROR(INDEX(고객사!$H$5:$H$104,MATCH($B424,고객사!$A$5:$A$104,0)),"")="자사 차량 운행"),"차량 미배정",""))</f>
        <v/>
      </c>
      <c r="N424" s="22" t="str">
        <f aca="false">IF($B424="","",IFERROR(INDEX(고객사!$J$5:$J$104,MATCH($B424,고객사!$A$5:$A$104,0)),0))</f>
        <v/>
      </c>
      <c r="O424" s="22" t="str">
        <f aca="false">IF($B424="","",G424*N424)</f>
        <v/>
      </c>
      <c r="P424" s="22" t="str">
        <f aca="false">IF($B424="","",IFERROR(INDEX(고객사!$K$5:$K$104,MATCH($B424,고객사!$A$5:$A$104,0)),0))</f>
        <v/>
      </c>
      <c r="Q424" s="22" t="str">
        <f aca="false">IF($B424="","",G424*P424)</f>
        <v/>
      </c>
      <c r="R424" s="22" t="str">
        <f aca="false">IF($B424="","",O424-Q424-L424)</f>
        <v/>
      </c>
      <c r="S424" s="21" t="str">
        <f aca="false">IF(OR($B424="",N(O424)=0),"",R424/O424)</f>
        <v/>
      </c>
      <c r="T424" s="14"/>
      <c r="U424" s="19" t="n">
        <f aca="false">IF(OR($B424="",$A424=""),0,IF(COUNTIFS($A$5:$A424,$A424,$B$5:$B424,$B424)=1,1,0))</f>
        <v>0</v>
      </c>
    </row>
    <row r="425" customFormat="false" ht="15" hidden="false" customHeight="false" outlineLevel="0" collapsed="false">
      <c r="A425" s="17"/>
      <c r="B425" s="13"/>
      <c r="C425" s="20" t="str">
        <f aca="false">IF($B425="","",IFERROR(INDEX(고객사!$B$5:$B$104,MATCH($B425,고객사!$A$5:$A$104,0)),"코드 확인"))</f>
        <v/>
      </c>
      <c r="D425" s="15"/>
      <c r="E425" s="15"/>
      <c r="F425" s="16"/>
      <c r="G425" s="16"/>
      <c r="H425" s="21" t="str">
        <f aca="false">IF(OR($B425="",F425=0),"",G425/F425)</f>
        <v/>
      </c>
      <c r="I425" s="22" t="str">
        <f aca="false">IF($B425="","",MAX(F425-G425,0))</f>
        <v/>
      </c>
      <c r="J425" s="23" t="str">
        <f aca="false">IF($B425="","",IFERROR(INDEX(고객사!$G$5:$G$104,MATCH($B425,고객사!$A$5:$A$104,0)),""))</f>
        <v/>
      </c>
      <c r="K425" s="16"/>
      <c r="L425" s="22" t="str">
        <f aca="false">IF($B425="","",K425*IFERROR(INDEX(고객사!$L$5:$L$104,MATCH($B425,고객사!$A$5:$A$104,0)),0))</f>
        <v/>
      </c>
      <c r="M425" s="23" t="str">
        <f aca="false">IF($B425="","",IF(AND(J425="N",G425&gt;0,K425=0,IFERROR(INDEX(고객사!$H$5:$H$104,MATCH($B425,고객사!$A$5:$A$104,0)),"")="자사 차량 운행"),"차량 미배정",""))</f>
        <v/>
      </c>
      <c r="N425" s="22" t="str">
        <f aca="false">IF($B425="","",IFERROR(INDEX(고객사!$J$5:$J$104,MATCH($B425,고객사!$A$5:$A$104,0)),0))</f>
        <v/>
      </c>
      <c r="O425" s="22" t="str">
        <f aca="false">IF($B425="","",G425*N425)</f>
        <v/>
      </c>
      <c r="P425" s="22" t="str">
        <f aca="false">IF($B425="","",IFERROR(INDEX(고객사!$K$5:$K$104,MATCH($B425,고객사!$A$5:$A$104,0)),0))</f>
        <v/>
      </c>
      <c r="Q425" s="22" t="str">
        <f aca="false">IF($B425="","",G425*P425)</f>
        <v/>
      </c>
      <c r="R425" s="22" t="str">
        <f aca="false">IF($B425="","",O425-Q425-L425)</f>
        <v/>
      </c>
      <c r="S425" s="21" t="str">
        <f aca="false">IF(OR($B425="",N(O425)=0),"",R425/O425)</f>
        <v/>
      </c>
      <c r="T425" s="14"/>
      <c r="U425" s="19" t="n">
        <f aca="false">IF(OR($B425="",$A425=""),0,IF(COUNTIFS($A$5:$A425,$A425,$B$5:$B425,$B425)=1,1,0))</f>
        <v>0</v>
      </c>
    </row>
    <row r="426" customFormat="false" ht="15" hidden="false" customHeight="false" outlineLevel="0" collapsed="false">
      <c r="A426" s="17"/>
      <c r="B426" s="13"/>
      <c r="C426" s="20" t="str">
        <f aca="false">IF($B426="","",IFERROR(INDEX(고객사!$B$5:$B$104,MATCH($B426,고객사!$A$5:$A$104,0)),"코드 확인"))</f>
        <v/>
      </c>
      <c r="D426" s="15"/>
      <c r="E426" s="15"/>
      <c r="F426" s="16"/>
      <c r="G426" s="16"/>
      <c r="H426" s="21" t="str">
        <f aca="false">IF(OR($B426="",F426=0),"",G426/F426)</f>
        <v/>
      </c>
      <c r="I426" s="22" t="str">
        <f aca="false">IF($B426="","",MAX(F426-G426,0))</f>
        <v/>
      </c>
      <c r="J426" s="23" t="str">
        <f aca="false">IF($B426="","",IFERROR(INDEX(고객사!$G$5:$G$104,MATCH($B426,고객사!$A$5:$A$104,0)),""))</f>
        <v/>
      </c>
      <c r="K426" s="16"/>
      <c r="L426" s="22" t="str">
        <f aca="false">IF($B426="","",K426*IFERROR(INDEX(고객사!$L$5:$L$104,MATCH($B426,고객사!$A$5:$A$104,0)),0))</f>
        <v/>
      </c>
      <c r="M426" s="23" t="str">
        <f aca="false">IF($B426="","",IF(AND(J426="N",G426&gt;0,K426=0,IFERROR(INDEX(고객사!$H$5:$H$104,MATCH($B426,고객사!$A$5:$A$104,0)),"")="자사 차량 운행"),"차량 미배정",""))</f>
        <v/>
      </c>
      <c r="N426" s="22" t="str">
        <f aca="false">IF($B426="","",IFERROR(INDEX(고객사!$J$5:$J$104,MATCH($B426,고객사!$A$5:$A$104,0)),0))</f>
        <v/>
      </c>
      <c r="O426" s="22" t="str">
        <f aca="false">IF($B426="","",G426*N426)</f>
        <v/>
      </c>
      <c r="P426" s="22" t="str">
        <f aca="false">IF($B426="","",IFERROR(INDEX(고객사!$K$5:$K$104,MATCH($B426,고객사!$A$5:$A$104,0)),0))</f>
        <v/>
      </c>
      <c r="Q426" s="22" t="str">
        <f aca="false">IF($B426="","",G426*P426)</f>
        <v/>
      </c>
      <c r="R426" s="22" t="str">
        <f aca="false">IF($B426="","",O426-Q426-L426)</f>
        <v/>
      </c>
      <c r="S426" s="21" t="str">
        <f aca="false">IF(OR($B426="",N(O426)=0),"",R426/O426)</f>
        <v/>
      </c>
      <c r="T426" s="14"/>
      <c r="U426" s="19" t="n">
        <f aca="false">IF(OR($B426="",$A426=""),0,IF(COUNTIFS($A$5:$A426,$A426,$B$5:$B426,$B426)=1,1,0))</f>
        <v>0</v>
      </c>
    </row>
    <row r="427" customFormat="false" ht="15" hidden="false" customHeight="false" outlineLevel="0" collapsed="false">
      <c r="A427" s="17"/>
      <c r="B427" s="13"/>
      <c r="C427" s="20" t="str">
        <f aca="false">IF($B427="","",IFERROR(INDEX(고객사!$B$5:$B$104,MATCH($B427,고객사!$A$5:$A$104,0)),"코드 확인"))</f>
        <v/>
      </c>
      <c r="D427" s="15"/>
      <c r="E427" s="15"/>
      <c r="F427" s="16"/>
      <c r="G427" s="16"/>
      <c r="H427" s="21" t="str">
        <f aca="false">IF(OR($B427="",F427=0),"",G427/F427)</f>
        <v/>
      </c>
      <c r="I427" s="22" t="str">
        <f aca="false">IF($B427="","",MAX(F427-G427,0))</f>
        <v/>
      </c>
      <c r="J427" s="23" t="str">
        <f aca="false">IF($B427="","",IFERROR(INDEX(고객사!$G$5:$G$104,MATCH($B427,고객사!$A$5:$A$104,0)),""))</f>
        <v/>
      </c>
      <c r="K427" s="16"/>
      <c r="L427" s="22" t="str">
        <f aca="false">IF($B427="","",K427*IFERROR(INDEX(고객사!$L$5:$L$104,MATCH($B427,고객사!$A$5:$A$104,0)),0))</f>
        <v/>
      </c>
      <c r="M427" s="23" t="str">
        <f aca="false">IF($B427="","",IF(AND(J427="N",G427&gt;0,K427=0,IFERROR(INDEX(고객사!$H$5:$H$104,MATCH($B427,고객사!$A$5:$A$104,0)),"")="자사 차량 운행"),"차량 미배정",""))</f>
        <v/>
      </c>
      <c r="N427" s="22" t="str">
        <f aca="false">IF($B427="","",IFERROR(INDEX(고객사!$J$5:$J$104,MATCH($B427,고객사!$A$5:$A$104,0)),0))</f>
        <v/>
      </c>
      <c r="O427" s="22" t="str">
        <f aca="false">IF($B427="","",G427*N427)</f>
        <v/>
      </c>
      <c r="P427" s="22" t="str">
        <f aca="false">IF($B427="","",IFERROR(INDEX(고객사!$K$5:$K$104,MATCH($B427,고객사!$A$5:$A$104,0)),0))</f>
        <v/>
      </c>
      <c r="Q427" s="22" t="str">
        <f aca="false">IF($B427="","",G427*P427)</f>
        <v/>
      </c>
      <c r="R427" s="22" t="str">
        <f aca="false">IF($B427="","",O427-Q427-L427)</f>
        <v/>
      </c>
      <c r="S427" s="21" t="str">
        <f aca="false">IF(OR($B427="",N(O427)=0),"",R427/O427)</f>
        <v/>
      </c>
      <c r="T427" s="14"/>
      <c r="U427" s="19" t="n">
        <f aca="false">IF(OR($B427="",$A427=""),0,IF(COUNTIFS($A$5:$A427,$A427,$B$5:$B427,$B427)=1,1,0))</f>
        <v>0</v>
      </c>
    </row>
    <row r="428" customFormat="false" ht="15" hidden="false" customHeight="false" outlineLevel="0" collapsed="false">
      <c r="A428" s="17"/>
      <c r="B428" s="13"/>
      <c r="C428" s="20" t="str">
        <f aca="false">IF($B428="","",IFERROR(INDEX(고객사!$B$5:$B$104,MATCH($B428,고객사!$A$5:$A$104,0)),"코드 확인"))</f>
        <v/>
      </c>
      <c r="D428" s="15"/>
      <c r="E428" s="15"/>
      <c r="F428" s="16"/>
      <c r="G428" s="16"/>
      <c r="H428" s="21" t="str">
        <f aca="false">IF(OR($B428="",F428=0),"",G428/F428)</f>
        <v/>
      </c>
      <c r="I428" s="22" t="str">
        <f aca="false">IF($B428="","",MAX(F428-G428,0))</f>
        <v/>
      </c>
      <c r="J428" s="23" t="str">
        <f aca="false">IF($B428="","",IFERROR(INDEX(고객사!$G$5:$G$104,MATCH($B428,고객사!$A$5:$A$104,0)),""))</f>
        <v/>
      </c>
      <c r="K428" s="16"/>
      <c r="L428" s="22" t="str">
        <f aca="false">IF($B428="","",K428*IFERROR(INDEX(고객사!$L$5:$L$104,MATCH($B428,고객사!$A$5:$A$104,0)),0))</f>
        <v/>
      </c>
      <c r="M428" s="23" t="str">
        <f aca="false">IF($B428="","",IF(AND(J428="N",G428&gt;0,K428=0,IFERROR(INDEX(고객사!$H$5:$H$104,MATCH($B428,고객사!$A$5:$A$104,0)),"")="자사 차량 운행"),"차량 미배정",""))</f>
        <v/>
      </c>
      <c r="N428" s="22" t="str">
        <f aca="false">IF($B428="","",IFERROR(INDEX(고객사!$J$5:$J$104,MATCH($B428,고객사!$A$5:$A$104,0)),0))</f>
        <v/>
      </c>
      <c r="O428" s="22" t="str">
        <f aca="false">IF($B428="","",G428*N428)</f>
        <v/>
      </c>
      <c r="P428" s="22" t="str">
        <f aca="false">IF($B428="","",IFERROR(INDEX(고객사!$K$5:$K$104,MATCH($B428,고객사!$A$5:$A$104,0)),0))</f>
        <v/>
      </c>
      <c r="Q428" s="22" t="str">
        <f aca="false">IF($B428="","",G428*P428)</f>
        <v/>
      </c>
      <c r="R428" s="22" t="str">
        <f aca="false">IF($B428="","",O428-Q428-L428)</f>
        <v/>
      </c>
      <c r="S428" s="21" t="str">
        <f aca="false">IF(OR($B428="",N(O428)=0),"",R428/O428)</f>
        <v/>
      </c>
      <c r="T428" s="14"/>
      <c r="U428" s="19" t="n">
        <f aca="false">IF(OR($B428="",$A428=""),0,IF(COUNTIFS($A$5:$A428,$A428,$B$5:$B428,$B428)=1,1,0))</f>
        <v>0</v>
      </c>
    </row>
    <row r="429" customFormat="false" ht="15" hidden="false" customHeight="false" outlineLevel="0" collapsed="false">
      <c r="A429" s="17"/>
      <c r="B429" s="13"/>
      <c r="C429" s="20" t="str">
        <f aca="false">IF($B429="","",IFERROR(INDEX(고객사!$B$5:$B$104,MATCH($B429,고객사!$A$5:$A$104,0)),"코드 확인"))</f>
        <v/>
      </c>
      <c r="D429" s="15"/>
      <c r="E429" s="15"/>
      <c r="F429" s="16"/>
      <c r="G429" s="16"/>
      <c r="H429" s="21" t="str">
        <f aca="false">IF(OR($B429="",F429=0),"",G429/F429)</f>
        <v/>
      </c>
      <c r="I429" s="22" t="str">
        <f aca="false">IF($B429="","",MAX(F429-G429,0))</f>
        <v/>
      </c>
      <c r="J429" s="23" t="str">
        <f aca="false">IF($B429="","",IFERROR(INDEX(고객사!$G$5:$G$104,MATCH($B429,고객사!$A$5:$A$104,0)),""))</f>
        <v/>
      </c>
      <c r="K429" s="16"/>
      <c r="L429" s="22" t="str">
        <f aca="false">IF($B429="","",K429*IFERROR(INDEX(고객사!$L$5:$L$104,MATCH($B429,고객사!$A$5:$A$104,0)),0))</f>
        <v/>
      </c>
      <c r="M429" s="23" t="str">
        <f aca="false">IF($B429="","",IF(AND(J429="N",G429&gt;0,K429=0,IFERROR(INDEX(고객사!$H$5:$H$104,MATCH($B429,고객사!$A$5:$A$104,0)),"")="자사 차량 운행"),"차량 미배정",""))</f>
        <v/>
      </c>
      <c r="N429" s="22" t="str">
        <f aca="false">IF($B429="","",IFERROR(INDEX(고객사!$J$5:$J$104,MATCH($B429,고객사!$A$5:$A$104,0)),0))</f>
        <v/>
      </c>
      <c r="O429" s="22" t="str">
        <f aca="false">IF($B429="","",G429*N429)</f>
        <v/>
      </c>
      <c r="P429" s="22" t="str">
        <f aca="false">IF($B429="","",IFERROR(INDEX(고객사!$K$5:$K$104,MATCH($B429,고객사!$A$5:$A$104,0)),0))</f>
        <v/>
      </c>
      <c r="Q429" s="22" t="str">
        <f aca="false">IF($B429="","",G429*P429)</f>
        <v/>
      </c>
      <c r="R429" s="22" t="str">
        <f aca="false">IF($B429="","",O429-Q429-L429)</f>
        <v/>
      </c>
      <c r="S429" s="21" t="str">
        <f aca="false">IF(OR($B429="",N(O429)=0),"",R429/O429)</f>
        <v/>
      </c>
      <c r="T429" s="14"/>
      <c r="U429" s="19" t="n">
        <f aca="false">IF(OR($B429="",$A429=""),0,IF(COUNTIFS($A$5:$A429,$A429,$B$5:$B429,$B429)=1,1,0))</f>
        <v>0</v>
      </c>
    </row>
    <row r="430" customFormat="false" ht="15" hidden="false" customHeight="false" outlineLevel="0" collapsed="false">
      <c r="A430" s="17"/>
      <c r="B430" s="13"/>
      <c r="C430" s="20" t="str">
        <f aca="false">IF($B430="","",IFERROR(INDEX(고객사!$B$5:$B$104,MATCH($B430,고객사!$A$5:$A$104,0)),"코드 확인"))</f>
        <v/>
      </c>
      <c r="D430" s="15"/>
      <c r="E430" s="15"/>
      <c r="F430" s="16"/>
      <c r="G430" s="16"/>
      <c r="H430" s="21" t="str">
        <f aca="false">IF(OR($B430="",F430=0),"",G430/F430)</f>
        <v/>
      </c>
      <c r="I430" s="22" t="str">
        <f aca="false">IF($B430="","",MAX(F430-G430,0))</f>
        <v/>
      </c>
      <c r="J430" s="23" t="str">
        <f aca="false">IF($B430="","",IFERROR(INDEX(고객사!$G$5:$G$104,MATCH($B430,고객사!$A$5:$A$104,0)),""))</f>
        <v/>
      </c>
      <c r="K430" s="16"/>
      <c r="L430" s="22" t="str">
        <f aca="false">IF($B430="","",K430*IFERROR(INDEX(고객사!$L$5:$L$104,MATCH($B430,고객사!$A$5:$A$104,0)),0))</f>
        <v/>
      </c>
      <c r="M430" s="23" t="str">
        <f aca="false">IF($B430="","",IF(AND(J430="N",G430&gt;0,K430=0,IFERROR(INDEX(고객사!$H$5:$H$104,MATCH($B430,고객사!$A$5:$A$104,0)),"")="자사 차량 운행"),"차량 미배정",""))</f>
        <v/>
      </c>
      <c r="N430" s="22" t="str">
        <f aca="false">IF($B430="","",IFERROR(INDEX(고객사!$J$5:$J$104,MATCH($B430,고객사!$A$5:$A$104,0)),0))</f>
        <v/>
      </c>
      <c r="O430" s="22" t="str">
        <f aca="false">IF($B430="","",G430*N430)</f>
        <v/>
      </c>
      <c r="P430" s="22" t="str">
        <f aca="false">IF($B430="","",IFERROR(INDEX(고객사!$K$5:$K$104,MATCH($B430,고객사!$A$5:$A$104,0)),0))</f>
        <v/>
      </c>
      <c r="Q430" s="22" t="str">
        <f aca="false">IF($B430="","",G430*P430)</f>
        <v/>
      </c>
      <c r="R430" s="22" t="str">
        <f aca="false">IF($B430="","",O430-Q430-L430)</f>
        <v/>
      </c>
      <c r="S430" s="21" t="str">
        <f aca="false">IF(OR($B430="",N(O430)=0),"",R430/O430)</f>
        <v/>
      </c>
      <c r="T430" s="14"/>
      <c r="U430" s="19" t="n">
        <f aca="false">IF(OR($B430="",$A430=""),0,IF(COUNTIFS($A$5:$A430,$A430,$B$5:$B430,$B430)=1,1,0))</f>
        <v>0</v>
      </c>
    </row>
    <row r="431" customFormat="false" ht="15" hidden="false" customHeight="false" outlineLevel="0" collapsed="false">
      <c r="A431" s="17"/>
      <c r="B431" s="13"/>
      <c r="C431" s="20" t="str">
        <f aca="false">IF($B431="","",IFERROR(INDEX(고객사!$B$5:$B$104,MATCH($B431,고객사!$A$5:$A$104,0)),"코드 확인"))</f>
        <v/>
      </c>
      <c r="D431" s="15"/>
      <c r="E431" s="15"/>
      <c r="F431" s="16"/>
      <c r="G431" s="16"/>
      <c r="H431" s="21" t="str">
        <f aca="false">IF(OR($B431="",F431=0),"",G431/F431)</f>
        <v/>
      </c>
      <c r="I431" s="22" t="str">
        <f aca="false">IF($B431="","",MAX(F431-G431,0))</f>
        <v/>
      </c>
      <c r="J431" s="23" t="str">
        <f aca="false">IF($B431="","",IFERROR(INDEX(고객사!$G$5:$G$104,MATCH($B431,고객사!$A$5:$A$104,0)),""))</f>
        <v/>
      </c>
      <c r="K431" s="16"/>
      <c r="L431" s="22" t="str">
        <f aca="false">IF($B431="","",K431*IFERROR(INDEX(고객사!$L$5:$L$104,MATCH($B431,고객사!$A$5:$A$104,0)),0))</f>
        <v/>
      </c>
      <c r="M431" s="23" t="str">
        <f aca="false">IF($B431="","",IF(AND(J431="N",G431&gt;0,K431=0,IFERROR(INDEX(고객사!$H$5:$H$104,MATCH($B431,고객사!$A$5:$A$104,0)),"")="자사 차량 운행"),"차량 미배정",""))</f>
        <v/>
      </c>
      <c r="N431" s="22" t="str">
        <f aca="false">IF($B431="","",IFERROR(INDEX(고객사!$J$5:$J$104,MATCH($B431,고객사!$A$5:$A$104,0)),0))</f>
        <v/>
      </c>
      <c r="O431" s="22" t="str">
        <f aca="false">IF($B431="","",G431*N431)</f>
        <v/>
      </c>
      <c r="P431" s="22" t="str">
        <f aca="false">IF($B431="","",IFERROR(INDEX(고객사!$K$5:$K$104,MATCH($B431,고객사!$A$5:$A$104,0)),0))</f>
        <v/>
      </c>
      <c r="Q431" s="22" t="str">
        <f aca="false">IF($B431="","",G431*P431)</f>
        <v/>
      </c>
      <c r="R431" s="22" t="str">
        <f aca="false">IF($B431="","",O431-Q431-L431)</f>
        <v/>
      </c>
      <c r="S431" s="21" t="str">
        <f aca="false">IF(OR($B431="",N(O431)=0),"",R431/O431)</f>
        <v/>
      </c>
      <c r="T431" s="14"/>
      <c r="U431" s="19" t="n">
        <f aca="false">IF(OR($B431="",$A431=""),0,IF(COUNTIFS($A$5:$A431,$A431,$B$5:$B431,$B431)=1,1,0))</f>
        <v>0</v>
      </c>
    </row>
    <row r="432" customFormat="false" ht="15" hidden="false" customHeight="false" outlineLevel="0" collapsed="false">
      <c r="A432" s="17"/>
      <c r="B432" s="13"/>
      <c r="C432" s="20" t="str">
        <f aca="false">IF($B432="","",IFERROR(INDEX(고객사!$B$5:$B$104,MATCH($B432,고객사!$A$5:$A$104,0)),"코드 확인"))</f>
        <v/>
      </c>
      <c r="D432" s="15"/>
      <c r="E432" s="15"/>
      <c r="F432" s="16"/>
      <c r="G432" s="16"/>
      <c r="H432" s="21" t="str">
        <f aca="false">IF(OR($B432="",F432=0),"",G432/F432)</f>
        <v/>
      </c>
      <c r="I432" s="22" t="str">
        <f aca="false">IF($B432="","",MAX(F432-G432,0))</f>
        <v/>
      </c>
      <c r="J432" s="23" t="str">
        <f aca="false">IF($B432="","",IFERROR(INDEX(고객사!$G$5:$G$104,MATCH($B432,고객사!$A$5:$A$104,0)),""))</f>
        <v/>
      </c>
      <c r="K432" s="16"/>
      <c r="L432" s="22" t="str">
        <f aca="false">IF($B432="","",K432*IFERROR(INDEX(고객사!$L$5:$L$104,MATCH($B432,고객사!$A$5:$A$104,0)),0))</f>
        <v/>
      </c>
      <c r="M432" s="23" t="str">
        <f aca="false">IF($B432="","",IF(AND(J432="N",G432&gt;0,K432=0,IFERROR(INDEX(고객사!$H$5:$H$104,MATCH($B432,고객사!$A$5:$A$104,0)),"")="자사 차량 운행"),"차량 미배정",""))</f>
        <v/>
      </c>
      <c r="N432" s="22" t="str">
        <f aca="false">IF($B432="","",IFERROR(INDEX(고객사!$J$5:$J$104,MATCH($B432,고객사!$A$5:$A$104,0)),0))</f>
        <v/>
      </c>
      <c r="O432" s="22" t="str">
        <f aca="false">IF($B432="","",G432*N432)</f>
        <v/>
      </c>
      <c r="P432" s="22" t="str">
        <f aca="false">IF($B432="","",IFERROR(INDEX(고객사!$K$5:$K$104,MATCH($B432,고객사!$A$5:$A$104,0)),0))</f>
        <v/>
      </c>
      <c r="Q432" s="22" t="str">
        <f aca="false">IF($B432="","",G432*P432)</f>
        <v/>
      </c>
      <c r="R432" s="22" t="str">
        <f aca="false">IF($B432="","",O432-Q432-L432)</f>
        <v/>
      </c>
      <c r="S432" s="21" t="str">
        <f aca="false">IF(OR($B432="",N(O432)=0),"",R432/O432)</f>
        <v/>
      </c>
      <c r="T432" s="14"/>
      <c r="U432" s="19" t="n">
        <f aca="false">IF(OR($B432="",$A432=""),0,IF(COUNTIFS($A$5:$A432,$A432,$B$5:$B432,$B432)=1,1,0))</f>
        <v>0</v>
      </c>
    </row>
    <row r="433" customFormat="false" ht="15" hidden="false" customHeight="false" outlineLevel="0" collapsed="false">
      <c r="A433" s="17"/>
      <c r="B433" s="13"/>
      <c r="C433" s="20" t="str">
        <f aca="false">IF($B433="","",IFERROR(INDEX(고객사!$B$5:$B$104,MATCH($B433,고객사!$A$5:$A$104,0)),"코드 확인"))</f>
        <v/>
      </c>
      <c r="D433" s="15"/>
      <c r="E433" s="15"/>
      <c r="F433" s="16"/>
      <c r="G433" s="16"/>
      <c r="H433" s="21" t="str">
        <f aca="false">IF(OR($B433="",F433=0),"",G433/F433)</f>
        <v/>
      </c>
      <c r="I433" s="22" t="str">
        <f aca="false">IF($B433="","",MAX(F433-G433,0))</f>
        <v/>
      </c>
      <c r="J433" s="23" t="str">
        <f aca="false">IF($B433="","",IFERROR(INDEX(고객사!$G$5:$G$104,MATCH($B433,고객사!$A$5:$A$104,0)),""))</f>
        <v/>
      </c>
      <c r="K433" s="16"/>
      <c r="L433" s="22" t="str">
        <f aca="false">IF($B433="","",K433*IFERROR(INDEX(고객사!$L$5:$L$104,MATCH($B433,고객사!$A$5:$A$104,0)),0))</f>
        <v/>
      </c>
      <c r="M433" s="23" t="str">
        <f aca="false">IF($B433="","",IF(AND(J433="N",G433&gt;0,K433=0,IFERROR(INDEX(고객사!$H$5:$H$104,MATCH($B433,고객사!$A$5:$A$104,0)),"")="자사 차량 운행"),"차량 미배정",""))</f>
        <v/>
      </c>
      <c r="N433" s="22" t="str">
        <f aca="false">IF($B433="","",IFERROR(INDEX(고객사!$J$5:$J$104,MATCH($B433,고객사!$A$5:$A$104,0)),0))</f>
        <v/>
      </c>
      <c r="O433" s="22" t="str">
        <f aca="false">IF($B433="","",G433*N433)</f>
        <v/>
      </c>
      <c r="P433" s="22" t="str">
        <f aca="false">IF($B433="","",IFERROR(INDEX(고객사!$K$5:$K$104,MATCH($B433,고객사!$A$5:$A$104,0)),0))</f>
        <v/>
      </c>
      <c r="Q433" s="22" t="str">
        <f aca="false">IF($B433="","",G433*P433)</f>
        <v/>
      </c>
      <c r="R433" s="22" t="str">
        <f aca="false">IF($B433="","",O433-Q433-L433)</f>
        <v/>
      </c>
      <c r="S433" s="21" t="str">
        <f aca="false">IF(OR($B433="",N(O433)=0),"",R433/O433)</f>
        <v/>
      </c>
      <c r="T433" s="14"/>
      <c r="U433" s="19" t="n">
        <f aca="false">IF(OR($B433="",$A433=""),0,IF(COUNTIFS($A$5:$A433,$A433,$B$5:$B433,$B433)=1,1,0))</f>
        <v>0</v>
      </c>
    </row>
    <row r="434" customFormat="false" ht="15" hidden="false" customHeight="false" outlineLevel="0" collapsed="false">
      <c r="A434" s="17"/>
      <c r="B434" s="13"/>
      <c r="C434" s="20" t="str">
        <f aca="false">IF($B434="","",IFERROR(INDEX(고객사!$B$5:$B$104,MATCH($B434,고객사!$A$5:$A$104,0)),"코드 확인"))</f>
        <v/>
      </c>
      <c r="D434" s="15"/>
      <c r="E434" s="15"/>
      <c r="F434" s="16"/>
      <c r="G434" s="16"/>
      <c r="H434" s="21" t="str">
        <f aca="false">IF(OR($B434="",F434=0),"",G434/F434)</f>
        <v/>
      </c>
      <c r="I434" s="22" t="str">
        <f aca="false">IF($B434="","",MAX(F434-G434,0))</f>
        <v/>
      </c>
      <c r="J434" s="23" t="str">
        <f aca="false">IF($B434="","",IFERROR(INDEX(고객사!$G$5:$G$104,MATCH($B434,고객사!$A$5:$A$104,0)),""))</f>
        <v/>
      </c>
      <c r="K434" s="16"/>
      <c r="L434" s="22" t="str">
        <f aca="false">IF($B434="","",K434*IFERROR(INDEX(고객사!$L$5:$L$104,MATCH($B434,고객사!$A$5:$A$104,0)),0))</f>
        <v/>
      </c>
      <c r="M434" s="23" t="str">
        <f aca="false">IF($B434="","",IF(AND(J434="N",G434&gt;0,K434=0,IFERROR(INDEX(고객사!$H$5:$H$104,MATCH($B434,고객사!$A$5:$A$104,0)),"")="자사 차량 운행"),"차량 미배정",""))</f>
        <v/>
      </c>
      <c r="N434" s="22" t="str">
        <f aca="false">IF($B434="","",IFERROR(INDEX(고객사!$J$5:$J$104,MATCH($B434,고객사!$A$5:$A$104,0)),0))</f>
        <v/>
      </c>
      <c r="O434" s="22" t="str">
        <f aca="false">IF($B434="","",G434*N434)</f>
        <v/>
      </c>
      <c r="P434" s="22" t="str">
        <f aca="false">IF($B434="","",IFERROR(INDEX(고객사!$K$5:$K$104,MATCH($B434,고객사!$A$5:$A$104,0)),0))</f>
        <v/>
      </c>
      <c r="Q434" s="22" t="str">
        <f aca="false">IF($B434="","",G434*P434)</f>
        <v/>
      </c>
      <c r="R434" s="22" t="str">
        <f aca="false">IF($B434="","",O434-Q434-L434)</f>
        <v/>
      </c>
      <c r="S434" s="21" t="str">
        <f aca="false">IF(OR($B434="",N(O434)=0),"",R434/O434)</f>
        <v/>
      </c>
      <c r="T434" s="14"/>
      <c r="U434" s="19" t="n">
        <f aca="false">IF(OR($B434="",$A434=""),0,IF(COUNTIFS($A$5:$A434,$A434,$B$5:$B434,$B434)=1,1,0))</f>
        <v>0</v>
      </c>
    </row>
    <row r="435" customFormat="false" ht="15" hidden="false" customHeight="false" outlineLevel="0" collapsed="false">
      <c r="A435" s="17"/>
      <c r="B435" s="13"/>
      <c r="C435" s="20" t="str">
        <f aca="false">IF($B435="","",IFERROR(INDEX(고객사!$B$5:$B$104,MATCH($B435,고객사!$A$5:$A$104,0)),"코드 확인"))</f>
        <v/>
      </c>
      <c r="D435" s="15"/>
      <c r="E435" s="15"/>
      <c r="F435" s="16"/>
      <c r="G435" s="16"/>
      <c r="H435" s="21" t="str">
        <f aca="false">IF(OR($B435="",F435=0),"",G435/F435)</f>
        <v/>
      </c>
      <c r="I435" s="22" t="str">
        <f aca="false">IF($B435="","",MAX(F435-G435,0))</f>
        <v/>
      </c>
      <c r="J435" s="23" t="str">
        <f aca="false">IF($B435="","",IFERROR(INDEX(고객사!$G$5:$G$104,MATCH($B435,고객사!$A$5:$A$104,0)),""))</f>
        <v/>
      </c>
      <c r="K435" s="16"/>
      <c r="L435" s="22" t="str">
        <f aca="false">IF($B435="","",K435*IFERROR(INDEX(고객사!$L$5:$L$104,MATCH($B435,고객사!$A$5:$A$104,0)),0))</f>
        <v/>
      </c>
      <c r="M435" s="23" t="str">
        <f aca="false">IF($B435="","",IF(AND(J435="N",G435&gt;0,K435=0,IFERROR(INDEX(고객사!$H$5:$H$104,MATCH($B435,고객사!$A$5:$A$104,0)),"")="자사 차량 운행"),"차량 미배정",""))</f>
        <v/>
      </c>
      <c r="N435" s="22" t="str">
        <f aca="false">IF($B435="","",IFERROR(INDEX(고객사!$J$5:$J$104,MATCH($B435,고객사!$A$5:$A$104,0)),0))</f>
        <v/>
      </c>
      <c r="O435" s="22" t="str">
        <f aca="false">IF($B435="","",G435*N435)</f>
        <v/>
      </c>
      <c r="P435" s="22" t="str">
        <f aca="false">IF($B435="","",IFERROR(INDEX(고객사!$K$5:$K$104,MATCH($B435,고객사!$A$5:$A$104,0)),0))</f>
        <v/>
      </c>
      <c r="Q435" s="22" t="str">
        <f aca="false">IF($B435="","",G435*P435)</f>
        <v/>
      </c>
      <c r="R435" s="22" t="str">
        <f aca="false">IF($B435="","",O435-Q435-L435)</f>
        <v/>
      </c>
      <c r="S435" s="21" t="str">
        <f aca="false">IF(OR($B435="",N(O435)=0),"",R435/O435)</f>
        <v/>
      </c>
      <c r="T435" s="14"/>
      <c r="U435" s="19" t="n">
        <f aca="false">IF(OR($B435="",$A435=""),0,IF(COUNTIFS($A$5:$A435,$A435,$B$5:$B435,$B435)=1,1,0))</f>
        <v>0</v>
      </c>
    </row>
    <row r="436" customFormat="false" ht="15" hidden="false" customHeight="false" outlineLevel="0" collapsed="false">
      <c r="A436" s="17"/>
      <c r="B436" s="13"/>
      <c r="C436" s="20" t="str">
        <f aca="false">IF($B436="","",IFERROR(INDEX(고객사!$B$5:$B$104,MATCH($B436,고객사!$A$5:$A$104,0)),"코드 확인"))</f>
        <v/>
      </c>
      <c r="D436" s="15"/>
      <c r="E436" s="15"/>
      <c r="F436" s="16"/>
      <c r="G436" s="16"/>
      <c r="H436" s="21" t="str">
        <f aca="false">IF(OR($B436="",F436=0),"",G436/F436)</f>
        <v/>
      </c>
      <c r="I436" s="22" t="str">
        <f aca="false">IF($B436="","",MAX(F436-G436,0))</f>
        <v/>
      </c>
      <c r="J436" s="23" t="str">
        <f aca="false">IF($B436="","",IFERROR(INDEX(고객사!$G$5:$G$104,MATCH($B436,고객사!$A$5:$A$104,0)),""))</f>
        <v/>
      </c>
      <c r="K436" s="16"/>
      <c r="L436" s="22" t="str">
        <f aca="false">IF($B436="","",K436*IFERROR(INDEX(고객사!$L$5:$L$104,MATCH($B436,고객사!$A$5:$A$104,0)),0))</f>
        <v/>
      </c>
      <c r="M436" s="23" t="str">
        <f aca="false">IF($B436="","",IF(AND(J436="N",G436&gt;0,K436=0,IFERROR(INDEX(고객사!$H$5:$H$104,MATCH($B436,고객사!$A$5:$A$104,0)),"")="자사 차량 운행"),"차량 미배정",""))</f>
        <v/>
      </c>
      <c r="N436" s="22" t="str">
        <f aca="false">IF($B436="","",IFERROR(INDEX(고객사!$J$5:$J$104,MATCH($B436,고객사!$A$5:$A$104,0)),0))</f>
        <v/>
      </c>
      <c r="O436" s="22" t="str">
        <f aca="false">IF($B436="","",G436*N436)</f>
        <v/>
      </c>
      <c r="P436" s="22" t="str">
        <f aca="false">IF($B436="","",IFERROR(INDEX(고객사!$K$5:$K$104,MATCH($B436,고객사!$A$5:$A$104,0)),0))</f>
        <v/>
      </c>
      <c r="Q436" s="22" t="str">
        <f aca="false">IF($B436="","",G436*P436)</f>
        <v/>
      </c>
      <c r="R436" s="22" t="str">
        <f aca="false">IF($B436="","",O436-Q436-L436)</f>
        <v/>
      </c>
      <c r="S436" s="21" t="str">
        <f aca="false">IF(OR($B436="",N(O436)=0),"",R436/O436)</f>
        <v/>
      </c>
      <c r="T436" s="14"/>
      <c r="U436" s="19" t="n">
        <f aca="false">IF(OR($B436="",$A436=""),0,IF(COUNTIFS($A$5:$A436,$A436,$B$5:$B436,$B436)=1,1,0))</f>
        <v>0</v>
      </c>
    </row>
    <row r="437" customFormat="false" ht="15" hidden="false" customHeight="false" outlineLevel="0" collapsed="false">
      <c r="A437" s="17"/>
      <c r="B437" s="13"/>
      <c r="C437" s="20" t="str">
        <f aca="false">IF($B437="","",IFERROR(INDEX(고객사!$B$5:$B$104,MATCH($B437,고객사!$A$5:$A$104,0)),"코드 확인"))</f>
        <v/>
      </c>
      <c r="D437" s="15"/>
      <c r="E437" s="15"/>
      <c r="F437" s="16"/>
      <c r="G437" s="16"/>
      <c r="H437" s="21" t="str">
        <f aca="false">IF(OR($B437="",F437=0),"",G437/F437)</f>
        <v/>
      </c>
      <c r="I437" s="22" t="str">
        <f aca="false">IF($B437="","",MAX(F437-G437,0))</f>
        <v/>
      </c>
      <c r="J437" s="23" t="str">
        <f aca="false">IF($B437="","",IFERROR(INDEX(고객사!$G$5:$G$104,MATCH($B437,고객사!$A$5:$A$104,0)),""))</f>
        <v/>
      </c>
      <c r="K437" s="16"/>
      <c r="L437" s="22" t="str">
        <f aca="false">IF($B437="","",K437*IFERROR(INDEX(고객사!$L$5:$L$104,MATCH($B437,고객사!$A$5:$A$104,0)),0))</f>
        <v/>
      </c>
      <c r="M437" s="23" t="str">
        <f aca="false">IF($B437="","",IF(AND(J437="N",G437&gt;0,K437=0,IFERROR(INDEX(고객사!$H$5:$H$104,MATCH($B437,고객사!$A$5:$A$104,0)),"")="자사 차량 운행"),"차량 미배정",""))</f>
        <v/>
      </c>
      <c r="N437" s="22" t="str">
        <f aca="false">IF($B437="","",IFERROR(INDEX(고객사!$J$5:$J$104,MATCH($B437,고객사!$A$5:$A$104,0)),0))</f>
        <v/>
      </c>
      <c r="O437" s="22" t="str">
        <f aca="false">IF($B437="","",G437*N437)</f>
        <v/>
      </c>
      <c r="P437" s="22" t="str">
        <f aca="false">IF($B437="","",IFERROR(INDEX(고객사!$K$5:$K$104,MATCH($B437,고객사!$A$5:$A$104,0)),0))</f>
        <v/>
      </c>
      <c r="Q437" s="22" t="str">
        <f aca="false">IF($B437="","",G437*P437)</f>
        <v/>
      </c>
      <c r="R437" s="22" t="str">
        <f aca="false">IF($B437="","",O437-Q437-L437)</f>
        <v/>
      </c>
      <c r="S437" s="21" t="str">
        <f aca="false">IF(OR($B437="",N(O437)=0),"",R437/O437)</f>
        <v/>
      </c>
      <c r="T437" s="14"/>
      <c r="U437" s="19" t="n">
        <f aca="false">IF(OR($B437="",$A437=""),0,IF(COUNTIFS($A$5:$A437,$A437,$B$5:$B437,$B437)=1,1,0))</f>
        <v>0</v>
      </c>
    </row>
    <row r="438" customFormat="false" ht="15" hidden="false" customHeight="false" outlineLevel="0" collapsed="false">
      <c r="A438" s="17"/>
      <c r="B438" s="13"/>
      <c r="C438" s="20" t="str">
        <f aca="false">IF($B438="","",IFERROR(INDEX(고객사!$B$5:$B$104,MATCH($B438,고객사!$A$5:$A$104,0)),"코드 확인"))</f>
        <v/>
      </c>
      <c r="D438" s="15"/>
      <c r="E438" s="15"/>
      <c r="F438" s="16"/>
      <c r="G438" s="16"/>
      <c r="H438" s="21" t="str">
        <f aca="false">IF(OR($B438="",F438=0),"",G438/F438)</f>
        <v/>
      </c>
      <c r="I438" s="22" t="str">
        <f aca="false">IF($B438="","",MAX(F438-G438,0))</f>
        <v/>
      </c>
      <c r="J438" s="23" t="str">
        <f aca="false">IF($B438="","",IFERROR(INDEX(고객사!$G$5:$G$104,MATCH($B438,고객사!$A$5:$A$104,0)),""))</f>
        <v/>
      </c>
      <c r="K438" s="16"/>
      <c r="L438" s="22" t="str">
        <f aca="false">IF($B438="","",K438*IFERROR(INDEX(고객사!$L$5:$L$104,MATCH($B438,고객사!$A$5:$A$104,0)),0))</f>
        <v/>
      </c>
      <c r="M438" s="23" t="str">
        <f aca="false">IF($B438="","",IF(AND(J438="N",G438&gt;0,K438=0,IFERROR(INDEX(고객사!$H$5:$H$104,MATCH($B438,고객사!$A$5:$A$104,0)),"")="자사 차량 운행"),"차량 미배정",""))</f>
        <v/>
      </c>
      <c r="N438" s="22" t="str">
        <f aca="false">IF($B438="","",IFERROR(INDEX(고객사!$J$5:$J$104,MATCH($B438,고객사!$A$5:$A$104,0)),0))</f>
        <v/>
      </c>
      <c r="O438" s="22" t="str">
        <f aca="false">IF($B438="","",G438*N438)</f>
        <v/>
      </c>
      <c r="P438" s="22" t="str">
        <f aca="false">IF($B438="","",IFERROR(INDEX(고객사!$K$5:$K$104,MATCH($B438,고객사!$A$5:$A$104,0)),0))</f>
        <v/>
      </c>
      <c r="Q438" s="22" t="str">
        <f aca="false">IF($B438="","",G438*P438)</f>
        <v/>
      </c>
      <c r="R438" s="22" t="str">
        <f aca="false">IF($B438="","",O438-Q438-L438)</f>
        <v/>
      </c>
      <c r="S438" s="21" t="str">
        <f aca="false">IF(OR($B438="",N(O438)=0),"",R438/O438)</f>
        <v/>
      </c>
      <c r="T438" s="14"/>
      <c r="U438" s="19" t="n">
        <f aca="false">IF(OR($B438="",$A438=""),0,IF(COUNTIFS($A$5:$A438,$A438,$B$5:$B438,$B438)=1,1,0))</f>
        <v>0</v>
      </c>
    </row>
    <row r="439" customFormat="false" ht="15" hidden="false" customHeight="false" outlineLevel="0" collapsed="false">
      <c r="A439" s="17"/>
      <c r="B439" s="13"/>
      <c r="C439" s="20" t="str">
        <f aca="false">IF($B439="","",IFERROR(INDEX(고객사!$B$5:$B$104,MATCH($B439,고객사!$A$5:$A$104,0)),"코드 확인"))</f>
        <v/>
      </c>
      <c r="D439" s="15"/>
      <c r="E439" s="15"/>
      <c r="F439" s="16"/>
      <c r="G439" s="16"/>
      <c r="H439" s="21" t="str">
        <f aca="false">IF(OR($B439="",F439=0),"",G439/F439)</f>
        <v/>
      </c>
      <c r="I439" s="22" t="str">
        <f aca="false">IF($B439="","",MAX(F439-G439,0))</f>
        <v/>
      </c>
      <c r="J439" s="23" t="str">
        <f aca="false">IF($B439="","",IFERROR(INDEX(고객사!$G$5:$G$104,MATCH($B439,고객사!$A$5:$A$104,0)),""))</f>
        <v/>
      </c>
      <c r="K439" s="16"/>
      <c r="L439" s="22" t="str">
        <f aca="false">IF($B439="","",K439*IFERROR(INDEX(고객사!$L$5:$L$104,MATCH($B439,고객사!$A$5:$A$104,0)),0))</f>
        <v/>
      </c>
      <c r="M439" s="23" t="str">
        <f aca="false">IF($B439="","",IF(AND(J439="N",G439&gt;0,K439=0,IFERROR(INDEX(고객사!$H$5:$H$104,MATCH($B439,고객사!$A$5:$A$104,0)),"")="자사 차량 운행"),"차량 미배정",""))</f>
        <v/>
      </c>
      <c r="N439" s="22" t="str">
        <f aca="false">IF($B439="","",IFERROR(INDEX(고객사!$J$5:$J$104,MATCH($B439,고객사!$A$5:$A$104,0)),0))</f>
        <v/>
      </c>
      <c r="O439" s="22" t="str">
        <f aca="false">IF($B439="","",G439*N439)</f>
        <v/>
      </c>
      <c r="P439" s="22" t="str">
        <f aca="false">IF($B439="","",IFERROR(INDEX(고객사!$K$5:$K$104,MATCH($B439,고객사!$A$5:$A$104,0)),0))</f>
        <v/>
      </c>
      <c r="Q439" s="22" t="str">
        <f aca="false">IF($B439="","",G439*P439)</f>
        <v/>
      </c>
      <c r="R439" s="22" t="str">
        <f aca="false">IF($B439="","",O439-Q439-L439)</f>
        <v/>
      </c>
      <c r="S439" s="21" t="str">
        <f aca="false">IF(OR($B439="",N(O439)=0),"",R439/O439)</f>
        <v/>
      </c>
      <c r="T439" s="14"/>
      <c r="U439" s="19" t="n">
        <f aca="false">IF(OR($B439="",$A439=""),0,IF(COUNTIFS($A$5:$A439,$A439,$B$5:$B439,$B439)=1,1,0))</f>
        <v>0</v>
      </c>
    </row>
    <row r="440" customFormat="false" ht="15" hidden="false" customHeight="false" outlineLevel="0" collapsed="false">
      <c r="A440" s="17"/>
      <c r="B440" s="13"/>
      <c r="C440" s="20" t="str">
        <f aca="false">IF($B440="","",IFERROR(INDEX(고객사!$B$5:$B$104,MATCH($B440,고객사!$A$5:$A$104,0)),"코드 확인"))</f>
        <v/>
      </c>
      <c r="D440" s="15"/>
      <c r="E440" s="15"/>
      <c r="F440" s="16"/>
      <c r="G440" s="16"/>
      <c r="H440" s="21" t="str">
        <f aca="false">IF(OR($B440="",F440=0),"",G440/F440)</f>
        <v/>
      </c>
      <c r="I440" s="22" t="str">
        <f aca="false">IF($B440="","",MAX(F440-G440,0))</f>
        <v/>
      </c>
      <c r="J440" s="23" t="str">
        <f aca="false">IF($B440="","",IFERROR(INDEX(고객사!$G$5:$G$104,MATCH($B440,고객사!$A$5:$A$104,0)),""))</f>
        <v/>
      </c>
      <c r="K440" s="16"/>
      <c r="L440" s="22" t="str">
        <f aca="false">IF($B440="","",K440*IFERROR(INDEX(고객사!$L$5:$L$104,MATCH($B440,고객사!$A$5:$A$104,0)),0))</f>
        <v/>
      </c>
      <c r="M440" s="23" t="str">
        <f aca="false">IF($B440="","",IF(AND(J440="N",G440&gt;0,K440=0,IFERROR(INDEX(고객사!$H$5:$H$104,MATCH($B440,고객사!$A$5:$A$104,0)),"")="자사 차량 운행"),"차량 미배정",""))</f>
        <v/>
      </c>
      <c r="N440" s="22" t="str">
        <f aca="false">IF($B440="","",IFERROR(INDEX(고객사!$J$5:$J$104,MATCH($B440,고객사!$A$5:$A$104,0)),0))</f>
        <v/>
      </c>
      <c r="O440" s="22" t="str">
        <f aca="false">IF($B440="","",G440*N440)</f>
        <v/>
      </c>
      <c r="P440" s="22" t="str">
        <f aca="false">IF($B440="","",IFERROR(INDEX(고객사!$K$5:$K$104,MATCH($B440,고객사!$A$5:$A$104,0)),0))</f>
        <v/>
      </c>
      <c r="Q440" s="22" t="str">
        <f aca="false">IF($B440="","",G440*P440)</f>
        <v/>
      </c>
      <c r="R440" s="22" t="str">
        <f aca="false">IF($B440="","",O440-Q440-L440)</f>
        <v/>
      </c>
      <c r="S440" s="21" t="str">
        <f aca="false">IF(OR($B440="",N(O440)=0),"",R440/O440)</f>
        <v/>
      </c>
      <c r="T440" s="14"/>
      <c r="U440" s="19" t="n">
        <f aca="false">IF(OR($B440="",$A440=""),0,IF(COUNTIFS($A$5:$A440,$A440,$B$5:$B440,$B440)=1,1,0))</f>
        <v>0</v>
      </c>
    </row>
    <row r="441" customFormat="false" ht="15" hidden="false" customHeight="false" outlineLevel="0" collapsed="false">
      <c r="A441" s="17"/>
      <c r="B441" s="13"/>
      <c r="C441" s="20" t="str">
        <f aca="false">IF($B441="","",IFERROR(INDEX(고객사!$B$5:$B$104,MATCH($B441,고객사!$A$5:$A$104,0)),"코드 확인"))</f>
        <v/>
      </c>
      <c r="D441" s="15"/>
      <c r="E441" s="15"/>
      <c r="F441" s="16"/>
      <c r="G441" s="16"/>
      <c r="H441" s="21" t="str">
        <f aca="false">IF(OR($B441="",F441=0),"",G441/F441)</f>
        <v/>
      </c>
      <c r="I441" s="22" t="str">
        <f aca="false">IF($B441="","",MAX(F441-G441,0))</f>
        <v/>
      </c>
      <c r="J441" s="23" t="str">
        <f aca="false">IF($B441="","",IFERROR(INDEX(고객사!$G$5:$G$104,MATCH($B441,고객사!$A$5:$A$104,0)),""))</f>
        <v/>
      </c>
      <c r="K441" s="16"/>
      <c r="L441" s="22" t="str">
        <f aca="false">IF($B441="","",K441*IFERROR(INDEX(고객사!$L$5:$L$104,MATCH($B441,고객사!$A$5:$A$104,0)),0))</f>
        <v/>
      </c>
      <c r="M441" s="23" t="str">
        <f aca="false">IF($B441="","",IF(AND(J441="N",G441&gt;0,K441=0,IFERROR(INDEX(고객사!$H$5:$H$104,MATCH($B441,고객사!$A$5:$A$104,0)),"")="자사 차량 운행"),"차량 미배정",""))</f>
        <v/>
      </c>
      <c r="N441" s="22" t="str">
        <f aca="false">IF($B441="","",IFERROR(INDEX(고객사!$J$5:$J$104,MATCH($B441,고객사!$A$5:$A$104,0)),0))</f>
        <v/>
      </c>
      <c r="O441" s="22" t="str">
        <f aca="false">IF($B441="","",G441*N441)</f>
        <v/>
      </c>
      <c r="P441" s="22" t="str">
        <f aca="false">IF($B441="","",IFERROR(INDEX(고객사!$K$5:$K$104,MATCH($B441,고객사!$A$5:$A$104,0)),0))</f>
        <v/>
      </c>
      <c r="Q441" s="22" t="str">
        <f aca="false">IF($B441="","",G441*P441)</f>
        <v/>
      </c>
      <c r="R441" s="22" t="str">
        <f aca="false">IF($B441="","",O441-Q441-L441)</f>
        <v/>
      </c>
      <c r="S441" s="21" t="str">
        <f aca="false">IF(OR($B441="",N(O441)=0),"",R441/O441)</f>
        <v/>
      </c>
      <c r="T441" s="14"/>
      <c r="U441" s="19" t="n">
        <f aca="false">IF(OR($B441="",$A441=""),0,IF(COUNTIFS($A$5:$A441,$A441,$B$5:$B441,$B441)=1,1,0))</f>
        <v>0</v>
      </c>
    </row>
    <row r="442" customFormat="false" ht="15" hidden="false" customHeight="false" outlineLevel="0" collapsed="false">
      <c r="A442" s="17"/>
      <c r="B442" s="13"/>
      <c r="C442" s="20" t="str">
        <f aca="false">IF($B442="","",IFERROR(INDEX(고객사!$B$5:$B$104,MATCH($B442,고객사!$A$5:$A$104,0)),"코드 확인"))</f>
        <v/>
      </c>
      <c r="D442" s="15"/>
      <c r="E442" s="15"/>
      <c r="F442" s="16"/>
      <c r="G442" s="16"/>
      <c r="H442" s="21" t="str">
        <f aca="false">IF(OR($B442="",F442=0),"",G442/F442)</f>
        <v/>
      </c>
      <c r="I442" s="22" t="str">
        <f aca="false">IF($B442="","",MAX(F442-G442,0))</f>
        <v/>
      </c>
      <c r="J442" s="23" t="str">
        <f aca="false">IF($B442="","",IFERROR(INDEX(고객사!$G$5:$G$104,MATCH($B442,고객사!$A$5:$A$104,0)),""))</f>
        <v/>
      </c>
      <c r="K442" s="16"/>
      <c r="L442" s="22" t="str">
        <f aca="false">IF($B442="","",K442*IFERROR(INDEX(고객사!$L$5:$L$104,MATCH($B442,고객사!$A$5:$A$104,0)),0))</f>
        <v/>
      </c>
      <c r="M442" s="23" t="str">
        <f aca="false">IF($B442="","",IF(AND(J442="N",G442&gt;0,K442=0,IFERROR(INDEX(고객사!$H$5:$H$104,MATCH($B442,고객사!$A$5:$A$104,0)),"")="자사 차량 운행"),"차량 미배정",""))</f>
        <v/>
      </c>
      <c r="N442" s="22" t="str">
        <f aca="false">IF($B442="","",IFERROR(INDEX(고객사!$J$5:$J$104,MATCH($B442,고객사!$A$5:$A$104,0)),0))</f>
        <v/>
      </c>
      <c r="O442" s="22" t="str">
        <f aca="false">IF($B442="","",G442*N442)</f>
        <v/>
      </c>
      <c r="P442" s="22" t="str">
        <f aca="false">IF($B442="","",IFERROR(INDEX(고객사!$K$5:$K$104,MATCH($B442,고객사!$A$5:$A$104,0)),0))</f>
        <v/>
      </c>
      <c r="Q442" s="22" t="str">
        <f aca="false">IF($B442="","",G442*P442)</f>
        <v/>
      </c>
      <c r="R442" s="22" t="str">
        <f aca="false">IF($B442="","",O442-Q442-L442)</f>
        <v/>
      </c>
      <c r="S442" s="21" t="str">
        <f aca="false">IF(OR($B442="",N(O442)=0),"",R442/O442)</f>
        <v/>
      </c>
      <c r="T442" s="14"/>
      <c r="U442" s="19" t="n">
        <f aca="false">IF(OR($B442="",$A442=""),0,IF(COUNTIFS($A$5:$A442,$A442,$B$5:$B442,$B442)=1,1,0))</f>
        <v>0</v>
      </c>
    </row>
    <row r="443" customFormat="false" ht="15" hidden="false" customHeight="false" outlineLevel="0" collapsed="false">
      <c r="A443" s="17"/>
      <c r="B443" s="13"/>
      <c r="C443" s="20" t="str">
        <f aca="false">IF($B443="","",IFERROR(INDEX(고객사!$B$5:$B$104,MATCH($B443,고객사!$A$5:$A$104,0)),"코드 확인"))</f>
        <v/>
      </c>
      <c r="D443" s="15"/>
      <c r="E443" s="15"/>
      <c r="F443" s="16"/>
      <c r="G443" s="16"/>
      <c r="H443" s="21" t="str">
        <f aca="false">IF(OR($B443="",F443=0),"",G443/F443)</f>
        <v/>
      </c>
      <c r="I443" s="22" t="str">
        <f aca="false">IF($B443="","",MAX(F443-G443,0))</f>
        <v/>
      </c>
      <c r="J443" s="23" t="str">
        <f aca="false">IF($B443="","",IFERROR(INDEX(고객사!$G$5:$G$104,MATCH($B443,고객사!$A$5:$A$104,0)),""))</f>
        <v/>
      </c>
      <c r="K443" s="16"/>
      <c r="L443" s="22" t="str">
        <f aca="false">IF($B443="","",K443*IFERROR(INDEX(고객사!$L$5:$L$104,MATCH($B443,고객사!$A$5:$A$104,0)),0))</f>
        <v/>
      </c>
      <c r="M443" s="23" t="str">
        <f aca="false">IF($B443="","",IF(AND(J443="N",G443&gt;0,K443=0,IFERROR(INDEX(고객사!$H$5:$H$104,MATCH($B443,고객사!$A$5:$A$104,0)),"")="자사 차량 운행"),"차량 미배정",""))</f>
        <v/>
      </c>
      <c r="N443" s="22" t="str">
        <f aca="false">IF($B443="","",IFERROR(INDEX(고객사!$J$5:$J$104,MATCH($B443,고객사!$A$5:$A$104,0)),0))</f>
        <v/>
      </c>
      <c r="O443" s="22" t="str">
        <f aca="false">IF($B443="","",G443*N443)</f>
        <v/>
      </c>
      <c r="P443" s="22" t="str">
        <f aca="false">IF($B443="","",IFERROR(INDEX(고객사!$K$5:$K$104,MATCH($B443,고객사!$A$5:$A$104,0)),0))</f>
        <v/>
      </c>
      <c r="Q443" s="22" t="str">
        <f aca="false">IF($B443="","",G443*P443)</f>
        <v/>
      </c>
      <c r="R443" s="22" t="str">
        <f aca="false">IF($B443="","",O443-Q443-L443)</f>
        <v/>
      </c>
      <c r="S443" s="21" t="str">
        <f aca="false">IF(OR($B443="",N(O443)=0),"",R443/O443)</f>
        <v/>
      </c>
      <c r="T443" s="14"/>
      <c r="U443" s="19" t="n">
        <f aca="false">IF(OR($B443="",$A443=""),0,IF(COUNTIFS($A$5:$A443,$A443,$B$5:$B443,$B443)=1,1,0))</f>
        <v>0</v>
      </c>
    </row>
    <row r="444" customFormat="false" ht="15" hidden="false" customHeight="false" outlineLevel="0" collapsed="false">
      <c r="A444" s="17"/>
      <c r="B444" s="13"/>
      <c r="C444" s="20" t="str">
        <f aca="false">IF($B444="","",IFERROR(INDEX(고객사!$B$5:$B$104,MATCH($B444,고객사!$A$5:$A$104,0)),"코드 확인"))</f>
        <v/>
      </c>
      <c r="D444" s="15"/>
      <c r="E444" s="15"/>
      <c r="F444" s="16"/>
      <c r="G444" s="16"/>
      <c r="H444" s="21" t="str">
        <f aca="false">IF(OR($B444="",F444=0),"",G444/F444)</f>
        <v/>
      </c>
      <c r="I444" s="22" t="str">
        <f aca="false">IF($B444="","",MAX(F444-G444,0))</f>
        <v/>
      </c>
      <c r="J444" s="23" t="str">
        <f aca="false">IF($B444="","",IFERROR(INDEX(고객사!$G$5:$G$104,MATCH($B444,고객사!$A$5:$A$104,0)),""))</f>
        <v/>
      </c>
      <c r="K444" s="16"/>
      <c r="L444" s="22" t="str">
        <f aca="false">IF($B444="","",K444*IFERROR(INDEX(고객사!$L$5:$L$104,MATCH($B444,고객사!$A$5:$A$104,0)),0))</f>
        <v/>
      </c>
      <c r="M444" s="23" t="str">
        <f aca="false">IF($B444="","",IF(AND(J444="N",G444&gt;0,K444=0,IFERROR(INDEX(고객사!$H$5:$H$104,MATCH($B444,고객사!$A$5:$A$104,0)),"")="자사 차량 운행"),"차량 미배정",""))</f>
        <v/>
      </c>
      <c r="N444" s="22" t="str">
        <f aca="false">IF($B444="","",IFERROR(INDEX(고객사!$J$5:$J$104,MATCH($B444,고객사!$A$5:$A$104,0)),0))</f>
        <v/>
      </c>
      <c r="O444" s="22" t="str">
        <f aca="false">IF($B444="","",G444*N444)</f>
        <v/>
      </c>
      <c r="P444" s="22" t="str">
        <f aca="false">IF($B444="","",IFERROR(INDEX(고객사!$K$5:$K$104,MATCH($B444,고객사!$A$5:$A$104,0)),0))</f>
        <v/>
      </c>
      <c r="Q444" s="22" t="str">
        <f aca="false">IF($B444="","",G444*P444)</f>
        <v/>
      </c>
      <c r="R444" s="22" t="str">
        <f aca="false">IF($B444="","",O444-Q444-L444)</f>
        <v/>
      </c>
      <c r="S444" s="21" t="str">
        <f aca="false">IF(OR($B444="",N(O444)=0),"",R444/O444)</f>
        <v/>
      </c>
      <c r="T444" s="14"/>
      <c r="U444" s="19" t="n">
        <f aca="false">IF(OR($B444="",$A444=""),0,IF(COUNTIFS($A$5:$A444,$A444,$B$5:$B444,$B444)=1,1,0))</f>
        <v>0</v>
      </c>
    </row>
    <row r="445" customFormat="false" ht="15" hidden="false" customHeight="false" outlineLevel="0" collapsed="false">
      <c r="A445" s="17"/>
      <c r="B445" s="13"/>
      <c r="C445" s="20" t="str">
        <f aca="false">IF($B445="","",IFERROR(INDEX(고객사!$B$5:$B$104,MATCH($B445,고객사!$A$5:$A$104,0)),"코드 확인"))</f>
        <v/>
      </c>
      <c r="D445" s="15"/>
      <c r="E445" s="15"/>
      <c r="F445" s="16"/>
      <c r="G445" s="16"/>
      <c r="H445" s="21" t="str">
        <f aca="false">IF(OR($B445="",F445=0),"",G445/F445)</f>
        <v/>
      </c>
      <c r="I445" s="22" t="str">
        <f aca="false">IF($B445="","",MAX(F445-G445,0))</f>
        <v/>
      </c>
      <c r="J445" s="23" t="str">
        <f aca="false">IF($B445="","",IFERROR(INDEX(고객사!$G$5:$G$104,MATCH($B445,고객사!$A$5:$A$104,0)),""))</f>
        <v/>
      </c>
      <c r="K445" s="16"/>
      <c r="L445" s="22" t="str">
        <f aca="false">IF($B445="","",K445*IFERROR(INDEX(고객사!$L$5:$L$104,MATCH($B445,고객사!$A$5:$A$104,0)),0))</f>
        <v/>
      </c>
      <c r="M445" s="23" t="str">
        <f aca="false">IF($B445="","",IF(AND(J445="N",G445&gt;0,K445=0,IFERROR(INDEX(고객사!$H$5:$H$104,MATCH($B445,고객사!$A$5:$A$104,0)),"")="자사 차량 운행"),"차량 미배정",""))</f>
        <v/>
      </c>
      <c r="N445" s="22" t="str">
        <f aca="false">IF($B445="","",IFERROR(INDEX(고객사!$J$5:$J$104,MATCH($B445,고객사!$A$5:$A$104,0)),0))</f>
        <v/>
      </c>
      <c r="O445" s="22" t="str">
        <f aca="false">IF($B445="","",G445*N445)</f>
        <v/>
      </c>
      <c r="P445" s="22" t="str">
        <f aca="false">IF($B445="","",IFERROR(INDEX(고객사!$K$5:$K$104,MATCH($B445,고객사!$A$5:$A$104,0)),0))</f>
        <v/>
      </c>
      <c r="Q445" s="22" t="str">
        <f aca="false">IF($B445="","",G445*P445)</f>
        <v/>
      </c>
      <c r="R445" s="22" t="str">
        <f aca="false">IF($B445="","",O445-Q445-L445)</f>
        <v/>
      </c>
      <c r="S445" s="21" t="str">
        <f aca="false">IF(OR($B445="",N(O445)=0),"",R445/O445)</f>
        <v/>
      </c>
      <c r="T445" s="14"/>
      <c r="U445" s="19" t="n">
        <f aca="false">IF(OR($B445="",$A445=""),0,IF(COUNTIFS($A$5:$A445,$A445,$B$5:$B445,$B445)=1,1,0))</f>
        <v>0</v>
      </c>
    </row>
    <row r="446" customFormat="false" ht="15" hidden="false" customHeight="false" outlineLevel="0" collapsed="false">
      <c r="A446" s="17"/>
      <c r="B446" s="13"/>
      <c r="C446" s="20" t="str">
        <f aca="false">IF($B446="","",IFERROR(INDEX(고객사!$B$5:$B$104,MATCH($B446,고객사!$A$5:$A$104,0)),"코드 확인"))</f>
        <v/>
      </c>
      <c r="D446" s="15"/>
      <c r="E446" s="15"/>
      <c r="F446" s="16"/>
      <c r="G446" s="16"/>
      <c r="H446" s="21" t="str">
        <f aca="false">IF(OR($B446="",F446=0),"",G446/F446)</f>
        <v/>
      </c>
      <c r="I446" s="22" t="str">
        <f aca="false">IF($B446="","",MAX(F446-G446,0))</f>
        <v/>
      </c>
      <c r="J446" s="23" t="str">
        <f aca="false">IF($B446="","",IFERROR(INDEX(고객사!$G$5:$G$104,MATCH($B446,고객사!$A$5:$A$104,0)),""))</f>
        <v/>
      </c>
      <c r="K446" s="16"/>
      <c r="L446" s="22" t="str">
        <f aca="false">IF($B446="","",K446*IFERROR(INDEX(고객사!$L$5:$L$104,MATCH($B446,고객사!$A$5:$A$104,0)),0))</f>
        <v/>
      </c>
      <c r="M446" s="23" t="str">
        <f aca="false">IF($B446="","",IF(AND(J446="N",G446&gt;0,K446=0,IFERROR(INDEX(고객사!$H$5:$H$104,MATCH($B446,고객사!$A$5:$A$104,0)),"")="자사 차량 운행"),"차량 미배정",""))</f>
        <v/>
      </c>
      <c r="N446" s="22" t="str">
        <f aca="false">IF($B446="","",IFERROR(INDEX(고객사!$J$5:$J$104,MATCH($B446,고객사!$A$5:$A$104,0)),0))</f>
        <v/>
      </c>
      <c r="O446" s="22" t="str">
        <f aca="false">IF($B446="","",G446*N446)</f>
        <v/>
      </c>
      <c r="P446" s="22" t="str">
        <f aca="false">IF($B446="","",IFERROR(INDEX(고객사!$K$5:$K$104,MATCH($B446,고객사!$A$5:$A$104,0)),0))</f>
        <v/>
      </c>
      <c r="Q446" s="22" t="str">
        <f aca="false">IF($B446="","",G446*P446)</f>
        <v/>
      </c>
      <c r="R446" s="22" t="str">
        <f aca="false">IF($B446="","",O446-Q446-L446)</f>
        <v/>
      </c>
      <c r="S446" s="21" t="str">
        <f aca="false">IF(OR($B446="",N(O446)=0),"",R446/O446)</f>
        <v/>
      </c>
      <c r="T446" s="14"/>
      <c r="U446" s="19" t="n">
        <f aca="false">IF(OR($B446="",$A446=""),0,IF(COUNTIFS($A$5:$A446,$A446,$B$5:$B446,$B446)=1,1,0))</f>
        <v>0</v>
      </c>
    </row>
    <row r="447" customFormat="false" ht="15" hidden="false" customHeight="false" outlineLevel="0" collapsed="false">
      <c r="A447" s="17"/>
      <c r="B447" s="13"/>
      <c r="C447" s="20" t="str">
        <f aca="false">IF($B447="","",IFERROR(INDEX(고객사!$B$5:$B$104,MATCH($B447,고객사!$A$5:$A$104,0)),"코드 확인"))</f>
        <v/>
      </c>
      <c r="D447" s="15"/>
      <c r="E447" s="15"/>
      <c r="F447" s="16"/>
      <c r="G447" s="16"/>
      <c r="H447" s="21" t="str">
        <f aca="false">IF(OR($B447="",F447=0),"",G447/F447)</f>
        <v/>
      </c>
      <c r="I447" s="22" t="str">
        <f aca="false">IF($B447="","",MAX(F447-G447,0))</f>
        <v/>
      </c>
      <c r="J447" s="23" t="str">
        <f aca="false">IF($B447="","",IFERROR(INDEX(고객사!$G$5:$G$104,MATCH($B447,고객사!$A$5:$A$104,0)),""))</f>
        <v/>
      </c>
      <c r="K447" s="16"/>
      <c r="L447" s="22" t="str">
        <f aca="false">IF($B447="","",K447*IFERROR(INDEX(고객사!$L$5:$L$104,MATCH($B447,고객사!$A$5:$A$104,0)),0))</f>
        <v/>
      </c>
      <c r="M447" s="23" t="str">
        <f aca="false">IF($B447="","",IF(AND(J447="N",G447&gt;0,K447=0,IFERROR(INDEX(고객사!$H$5:$H$104,MATCH($B447,고객사!$A$5:$A$104,0)),"")="자사 차량 운행"),"차량 미배정",""))</f>
        <v/>
      </c>
      <c r="N447" s="22" t="str">
        <f aca="false">IF($B447="","",IFERROR(INDEX(고객사!$J$5:$J$104,MATCH($B447,고객사!$A$5:$A$104,0)),0))</f>
        <v/>
      </c>
      <c r="O447" s="22" t="str">
        <f aca="false">IF($B447="","",G447*N447)</f>
        <v/>
      </c>
      <c r="P447" s="22" t="str">
        <f aca="false">IF($B447="","",IFERROR(INDEX(고객사!$K$5:$K$104,MATCH($B447,고객사!$A$5:$A$104,0)),0))</f>
        <v/>
      </c>
      <c r="Q447" s="22" t="str">
        <f aca="false">IF($B447="","",G447*P447)</f>
        <v/>
      </c>
      <c r="R447" s="22" t="str">
        <f aca="false">IF($B447="","",O447-Q447-L447)</f>
        <v/>
      </c>
      <c r="S447" s="21" t="str">
        <f aca="false">IF(OR($B447="",N(O447)=0),"",R447/O447)</f>
        <v/>
      </c>
      <c r="T447" s="14"/>
      <c r="U447" s="19" t="n">
        <f aca="false">IF(OR($B447="",$A447=""),0,IF(COUNTIFS($A$5:$A447,$A447,$B$5:$B447,$B447)=1,1,0))</f>
        <v>0</v>
      </c>
    </row>
    <row r="448" customFormat="false" ht="15" hidden="false" customHeight="false" outlineLevel="0" collapsed="false">
      <c r="A448" s="17"/>
      <c r="B448" s="13"/>
      <c r="C448" s="20" t="str">
        <f aca="false">IF($B448="","",IFERROR(INDEX(고객사!$B$5:$B$104,MATCH($B448,고객사!$A$5:$A$104,0)),"코드 확인"))</f>
        <v/>
      </c>
      <c r="D448" s="15"/>
      <c r="E448" s="15"/>
      <c r="F448" s="16"/>
      <c r="G448" s="16"/>
      <c r="H448" s="21" t="str">
        <f aca="false">IF(OR($B448="",F448=0),"",G448/F448)</f>
        <v/>
      </c>
      <c r="I448" s="22" t="str">
        <f aca="false">IF($B448="","",MAX(F448-G448,0))</f>
        <v/>
      </c>
      <c r="J448" s="23" t="str">
        <f aca="false">IF($B448="","",IFERROR(INDEX(고객사!$G$5:$G$104,MATCH($B448,고객사!$A$5:$A$104,0)),""))</f>
        <v/>
      </c>
      <c r="K448" s="16"/>
      <c r="L448" s="22" t="str">
        <f aca="false">IF($B448="","",K448*IFERROR(INDEX(고객사!$L$5:$L$104,MATCH($B448,고객사!$A$5:$A$104,0)),0))</f>
        <v/>
      </c>
      <c r="M448" s="23" t="str">
        <f aca="false">IF($B448="","",IF(AND(J448="N",G448&gt;0,K448=0,IFERROR(INDEX(고객사!$H$5:$H$104,MATCH($B448,고객사!$A$5:$A$104,0)),"")="자사 차량 운행"),"차량 미배정",""))</f>
        <v/>
      </c>
      <c r="N448" s="22" t="str">
        <f aca="false">IF($B448="","",IFERROR(INDEX(고객사!$J$5:$J$104,MATCH($B448,고객사!$A$5:$A$104,0)),0))</f>
        <v/>
      </c>
      <c r="O448" s="22" t="str">
        <f aca="false">IF($B448="","",G448*N448)</f>
        <v/>
      </c>
      <c r="P448" s="22" t="str">
        <f aca="false">IF($B448="","",IFERROR(INDEX(고객사!$K$5:$K$104,MATCH($B448,고객사!$A$5:$A$104,0)),0))</f>
        <v/>
      </c>
      <c r="Q448" s="22" t="str">
        <f aca="false">IF($B448="","",G448*P448)</f>
        <v/>
      </c>
      <c r="R448" s="22" t="str">
        <f aca="false">IF($B448="","",O448-Q448-L448)</f>
        <v/>
      </c>
      <c r="S448" s="21" t="str">
        <f aca="false">IF(OR($B448="",N(O448)=0),"",R448/O448)</f>
        <v/>
      </c>
      <c r="T448" s="14"/>
      <c r="U448" s="19" t="n">
        <f aca="false">IF(OR($B448="",$A448=""),0,IF(COUNTIFS($A$5:$A448,$A448,$B$5:$B448,$B448)=1,1,0))</f>
        <v>0</v>
      </c>
    </row>
    <row r="449" customFormat="false" ht="15" hidden="false" customHeight="false" outlineLevel="0" collapsed="false">
      <c r="A449" s="17"/>
      <c r="B449" s="13"/>
      <c r="C449" s="20" t="str">
        <f aca="false">IF($B449="","",IFERROR(INDEX(고객사!$B$5:$B$104,MATCH($B449,고객사!$A$5:$A$104,0)),"코드 확인"))</f>
        <v/>
      </c>
      <c r="D449" s="15"/>
      <c r="E449" s="15"/>
      <c r="F449" s="16"/>
      <c r="G449" s="16"/>
      <c r="H449" s="21" t="str">
        <f aca="false">IF(OR($B449="",F449=0),"",G449/F449)</f>
        <v/>
      </c>
      <c r="I449" s="22" t="str">
        <f aca="false">IF($B449="","",MAX(F449-G449,0))</f>
        <v/>
      </c>
      <c r="J449" s="23" t="str">
        <f aca="false">IF($B449="","",IFERROR(INDEX(고객사!$G$5:$G$104,MATCH($B449,고객사!$A$5:$A$104,0)),""))</f>
        <v/>
      </c>
      <c r="K449" s="16"/>
      <c r="L449" s="22" t="str">
        <f aca="false">IF($B449="","",K449*IFERROR(INDEX(고객사!$L$5:$L$104,MATCH($B449,고객사!$A$5:$A$104,0)),0))</f>
        <v/>
      </c>
      <c r="M449" s="23" t="str">
        <f aca="false">IF($B449="","",IF(AND(J449="N",G449&gt;0,K449=0,IFERROR(INDEX(고객사!$H$5:$H$104,MATCH($B449,고객사!$A$5:$A$104,0)),"")="자사 차량 운행"),"차량 미배정",""))</f>
        <v/>
      </c>
      <c r="N449" s="22" t="str">
        <f aca="false">IF($B449="","",IFERROR(INDEX(고객사!$J$5:$J$104,MATCH($B449,고객사!$A$5:$A$104,0)),0))</f>
        <v/>
      </c>
      <c r="O449" s="22" t="str">
        <f aca="false">IF($B449="","",G449*N449)</f>
        <v/>
      </c>
      <c r="P449" s="22" t="str">
        <f aca="false">IF($B449="","",IFERROR(INDEX(고객사!$K$5:$K$104,MATCH($B449,고객사!$A$5:$A$104,0)),0))</f>
        <v/>
      </c>
      <c r="Q449" s="22" t="str">
        <f aca="false">IF($B449="","",G449*P449)</f>
        <v/>
      </c>
      <c r="R449" s="22" t="str">
        <f aca="false">IF($B449="","",O449-Q449-L449)</f>
        <v/>
      </c>
      <c r="S449" s="21" t="str">
        <f aca="false">IF(OR($B449="",N(O449)=0),"",R449/O449)</f>
        <v/>
      </c>
      <c r="T449" s="14"/>
      <c r="U449" s="19" t="n">
        <f aca="false">IF(OR($B449="",$A449=""),0,IF(COUNTIFS($A$5:$A449,$A449,$B$5:$B449,$B449)=1,1,0))</f>
        <v>0</v>
      </c>
    </row>
    <row r="450" customFormat="false" ht="15" hidden="false" customHeight="false" outlineLevel="0" collapsed="false">
      <c r="A450" s="17"/>
      <c r="B450" s="13"/>
      <c r="C450" s="20" t="str">
        <f aca="false">IF($B450="","",IFERROR(INDEX(고객사!$B$5:$B$104,MATCH($B450,고객사!$A$5:$A$104,0)),"코드 확인"))</f>
        <v/>
      </c>
      <c r="D450" s="15"/>
      <c r="E450" s="15"/>
      <c r="F450" s="16"/>
      <c r="G450" s="16"/>
      <c r="H450" s="21" t="str">
        <f aca="false">IF(OR($B450="",F450=0),"",G450/F450)</f>
        <v/>
      </c>
      <c r="I450" s="22" t="str">
        <f aca="false">IF($B450="","",MAX(F450-G450,0))</f>
        <v/>
      </c>
      <c r="J450" s="23" t="str">
        <f aca="false">IF($B450="","",IFERROR(INDEX(고객사!$G$5:$G$104,MATCH($B450,고객사!$A$5:$A$104,0)),""))</f>
        <v/>
      </c>
      <c r="K450" s="16"/>
      <c r="L450" s="22" t="str">
        <f aca="false">IF($B450="","",K450*IFERROR(INDEX(고객사!$L$5:$L$104,MATCH($B450,고객사!$A$5:$A$104,0)),0))</f>
        <v/>
      </c>
      <c r="M450" s="23" t="str">
        <f aca="false">IF($B450="","",IF(AND(J450="N",G450&gt;0,K450=0,IFERROR(INDEX(고객사!$H$5:$H$104,MATCH($B450,고객사!$A$5:$A$104,0)),"")="자사 차량 운행"),"차량 미배정",""))</f>
        <v/>
      </c>
      <c r="N450" s="22" t="str">
        <f aca="false">IF($B450="","",IFERROR(INDEX(고객사!$J$5:$J$104,MATCH($B450,고객사!$A$5:$A$104,0)),0))</f>
        <v/>
      </c>
      <c r="O450" s="22" t="str">
        <f aca="false">IF($B450="","",G450*N450)</f>
        <v/>
      </c>
      <c r="P450" s="22" t="str">
        <f aca="false">IF($B450="","",IFERROR(INDEX(고객사!$K$5:$K$104,MATCH($B450,고객사!$A$5:$A$104,0)),0))</f>
        <v/>
      </c>
      <c r="Q450" s="22" t="str">
        <f aca="false">IF($B450="","",G450*P450)</f>
        <v/>
      </c>
      <c r="R450" s="22" t="str">
        <f aca="false">IF($B450="","",O450-Q450-L450)</f>
        <v/>
      </c>
      <c r="S450" s="21" t="str">
        <f aca="false">IF(OR($B450="",N(O450)=0),"",R450/O450)</f>
        <v/>
      </c>
      <c r="T450" s="14"/>
      <c r="U450" s="19" t="n">
        <f aca="false">IF(OR($B450="",$A450=""),0,IF(COUNTIFS($A$5:$A450,$A450,$B$5:$B450,$B450)=1,1,0))</f>
        <v>0</v>
      </c>
    </row>
    <row r="451" customFormat="false" ht="15" hidden="false" customHeight="false" outlineLevel="0" collapsed="false">
      <c r="A451" s="17"/>
      <c r="B451" s="13"/>
      <c r="C451" s="20" t="str">
        <f aca="false">IF($B451="","",IFERROR(INDEX(고객사!$B$5:$B$104,MATCH($B451,고객사!$A$5:$A$104,0)),"코드 확인"))</f>
        <v/>
      </c>
      <c r="D451" s="15"/>
      <c r="E451" s="15"/>
      <c r="F451" s="16"/>
      <c r="G451" s="16"/>
      <c r="H451" s="21" t="str">
        <f aca="false">IF(OR($B451="",F451=0),"",G451/F451)</f>
        <v/>
      </c>
      <c r="I451" s="22" t="str">
        <f aca="false">IF($B451="","",MAX(F451-G451,0))</f>
        <v/>
      </c>
      <c r="J451" s="23" t="str">
        <f aca="false">IF($B451="","",IFERROR(INDEX(고객사!$G$5:$G$104,MATCH($B451,고객사!$A$5:$A$104,0)),""))</f>
        <v/>
      </c>
      <c r="K451" s="16"/>
      <c r="L451" s="22" t="str">
        <f aca="false">IF($B451="","",K451*IFERROR(INDEX(고객사!$L$5:$L$104,MATCH($B451,고객사!$A$5:$A$104,0)),0))</f>
        <v/>
      </c>
      <c r="M451" s="23" t="str">
        <f aca="false">IF($B451="","",IF(AND(J451="N",G451&gt;0,K451=0,IFERROR(INDEX(고객사!$H$5:$H$104,MATCH($B451,고객사!$A$5:$A$104,0)),"")="자사 차량 운행"),"차량 미배정",""))</f>
        <v/>
      </c>
      <c r="N451" s="22" t="str">
        <f aca="false">IF($B451="","",IFERROR(INDEX(고객사!$J$5:$J$104,MATCH($B451,고객사!$A$5:$A$104,0)),0))</f>
        <v/>
      </c>
      <c r="O451" s="22" t="str">
        <f aca="false">IF($B451="","",G451*N451)</f>
        <v/>
      </c>
      <c r="P451" s="22" t="str">
        <f aca="false">IF($B451="","",IFERROR(INDEX(고객사!$K$5:$K$104,MATCH($B451,고객사!$A$5:$A$104,0)),0))</f>
        <v/>
      </c>
      <c r="Q451" s="22" t="str">
        <f aca="false">IF($B451="","",G451*P451)</f>
        <v/>
      </c>
      <c r="R451" s="22" t="str">
        <f aca="false">IF($B451="","",O451-Q451-L451)</f>
        <v/>
      </c>
      <c r="S451" s="21" t="str">
        <f aca="false">IF(OR($B451="",N(O451)=0),"",R451/O451)</f>
        <v/>
      </c>
      <c r="T451" s="14"/>
      <c r="U451" s="19" t="n">
        <f aca="false">IF(OR($B451="",$A451=""),0,IF(COUNTIFS($A$5:$A451,$A451,$B$5:$B451,$B451)=1,1,0))</f>
        <v>0</v>
      </c>
    </row>
    <row r="452" customFormat="false" ht="15" hidden="false" customHeight="false" outlineLevel="0" collapsed="false">
      <c r="A452" s="17"/>
      <c r="B452" s="13"/>
      <c r="C452" s="20" t="str">
        <f aca="false">IF($B452="","",IFERROR(INDEX(고객사!$B$5:$B$104,MATCH($B452,고객사!$A$5:$A$104,0)),"코드 확인"))</f>
        <v/>
      </c>
      <c r="D452" s="15"/>
      <c r="E452" s="15"/>
      <c r="F452" s="16"/>
      <c r="G452" s="16"/>
      <c r="H452" s="21" t="str">
        <f aca="false">IF(OR($B452="",F452=0),"",G452/F452)</f>
        <v/>
      </c>
      <c r="I452" s="22" t="str">
        <f aca="false">IF($B452="","",MAX(F452-G452,0))</f>
        <v/>
      </c>
      <c r="J452" s="23" t="str">
        <f aca="false">IF($B452="","",IFERROR(INDEX(고객사!$G$5:$G$104,MATCH($B452,고객사!$A$5:$A$104,0)),""))</f>
        <v/>
      </c>
      <c r="K452" s="16"/>
      <c r="L452" s="22" t="str">
        <f aca="false">IF($B452="","",K452*IFERROR(INDEX(고객사!$L$5:$L$104,MATCH($B452,고객사!$A$5:$A$104,0)),0))</f>
        <v/>
      </c>
      <c r="M452" s="23" t="str">
        <f aca="false">IF($B452="","",IF(AND(J452="N",G452&gt;0,K452=0,IFERROR(INDEX(고객사!$H$5:$H$104,MATCH($B452,고객사!$A$5:$A$104,0)),"")="자사 차량 운행"),"차량 미배정",""))</f>
        <v/>
      </c>
      <c r="N452" s="22" t="str">
        <f aca="false">IF($B452="","",IFERROR(INDEX(고객사!$J$5:$J$104,MATCH($B452,고객사!$A$5:$A$104,0)),0))</f>
        <v/>
      </c>
      <c r="O452" s="22" t="str">
        <f aca="false">IF($B452="","",G452*N452)</f>
        <v/>
      </c>
      <c r="P452" s="22" t="str">
        <f aca="false">IF($B452="","",IFERROR(INDEX(고객사!$K$5:$K$104,MATCH($B452,고객사!$A$5:$A$104,0)),0))</f>
        <v/>
      </c>
      <c r="Q452" s="22" t="str">
        <f aca="false">IF($B452="","",G452*P452)</f>
        <v/>
      </c>
      <c r="R452" s="22" t="str">
        <f aca="false">IF($B452="","",O452-Q452-L452)</f>
        <v/>
      </c>
      <c r="S452" s="21" t="str">
        <f aca="false">IF(OR($B452="",N(O452)=0),"",R452/O452)</f>
        <v/>
      </c>
      <c r="T452" s="14"/>
      <c r="U452" s="19" t="n">
        <f aca="false">IF(OR($B452="",$A452=""),0,IF(COUNTIFS($A$5:$A452,$A452,$B$5:$B452,$B452)=1,1,0))</f>
        <v>0</v>
      </c>
    </row>
    <row r="453" customFormat="false" ht="15" hidden="false" customHeight="false" outlineLevel="0" collapsed="false">
      <c r="A453" s="17"/>
      <c r="B453" s="13"/>
      <c r="C453" s="20" t="str">
        <f aca="false">IF($B453="","",IFERROR(INDEX(고객사!$B$5:$B$104,MATCH($B453,고객사!$A$5:$A$104,0)),"코드 확인"))</f>
        <v/>
      </c>
      <c r="D453" s="15"/>
      <c r="E453" s="15"/>
      <c r="F453" s="16"/>
      <c r="G453" s="16"/>
      <c r="H453" s="21" t="str">
        <f aca="false">IF(OR($B453="",F453=0),"",G453/F453)</f>
        <v/>
      </c>
      <c r="I453" s="22" t="str">
        <f aca="false">IF($B453="","",MAX(F453-G453,0))</f>
        <v/>
      </c>
      <c r="J453" s="23" t="str">
        <f aca="false">IF($B453="","",IFERROR(INDEX(고객사!$G$5:$G$104,MATCH($B453,고객사!$A$5:$A$104,0)),""))</f>
        <v/>
      </c>
      <c r="K453" s="16"/>
      <c r="L453" s="22" t="str">
        <f aca="false">IF($B453="","",K453*IFERROR(INDEX(고객사!$L$5:$L$104,MATCH($B453,고객사!$A$5:$A$104,0)),0))</f>
        <v/>
      </c>
      <c r="M453" s="23" t="str">
        <f aca="false">IF($B453="","",IF(AND(J453="N",G453&gt;0,K453=0,IFERROR(INDEX(고객사!$H$5:$H$104,MATCH($B453,고객사!$A$5:$A$104,0)),"")="자사 차량 운행"),"차량 미배정",""))</f>
        <v/>
      </c>
      <c r="N453" s="22" t="str">
        <f aca="false">IF($B453="","",IFERROR(INDEX(고객사!$J$5:$J$104,MATCH($B453,고객사!$A$5:$A$104,0)),0))</f>
        <v/>
      </c>
      <c r="O453" s="22" t="str">
        <f aca="false">IF($B453="","",G453*N453)</f>
        <v/>
      </c>
      <c r="P453" s="22" t="str">
        <f aca="false">IF($B453="","",IFERROR(INDEX(고객사!$K$5:$K$104,MATCH($B453,고객사!$A$5:$A$104,0)),0))</f>
        <v/>
      </c>
      <c r="Q453" s="22" t="str">
        <f aca="false">IF($B453="","",G453*P453)</f>
        <v/>
      </c>
      <c r="R453" s="22" t="str">
        <f aca="false">IF($B453="","",O453-Q453-L453)</f>
        <v/>
      </c>
      <c r="S453" s="21" t="str">
        <f aca="false">IF(OR($B453="",N(O453)=0),"",R453/O453)</f>
        <v/>
      </c>
      <c r="T453" s="14"/>
      <c r="U453" s="19" t="n">
        <f aca="false">IF(OR($B453="",$A453=""),0,IF(COUNTIFS($A$5:$A453,$A453,$B$5:$B453,$B453)=1,1,0))</f>
        <v>0</v>
      </c>
    </row>
    <row r="454" customFormat="false" ht="15" hidden="false" customHeight="false" outlineLevel="0" collapsed="false">
      <c r="A454" s="17"/>
      <c r="B454" s="13"/>
      <c r="C454" s="20" t="str">
        <f aca="false">IF($B454="","",IFERROR(INDEX(고객사!$B$5:$B$104,MATCH($B454,고객사!$A$5:$A$104,0)),"코드 확인"))</f>
        <v/>
      </c>
      <c r="D454" s="15"/>
      <c r="E454" s="15"/>
      <c r="F454" s="16"/>
      <c r="G454" s="16"/>
      <c r="H454" s="21" t="str">
        <f aca="false">IF(OR($B454="",F454=0),"",G454/F454)</f>
        <v/>
      </c>
      <c r="I454" s="22" t="str">
        <f aca="false">IF($B454="","",MAX(F454-G454,0))</f>
        <v/>
      </c>
      <c r="J454" s="23" t="str">
        <f aca="false">IF($B454="","",IFERROR(INDEX(고객사!$G$5:$G$104,MATCH($B454,고객사!$A$5:$A$104,0)),""))</f>
        <v/>
      </c>
      <c r="K454" s="16"/>
      <c r="L454" s="22" t="str">
        <f aca="false">IF($B454="","",K454*IFERROR(INDEX(고객사!$L$5:$L$104,MATCH($B454,고객사!$A$5:$A$104,0)),0))</f>
        <v/>
      </c>
      <c r="M454" s="23" t="str">
        <f aca="false">IF($B454="","",IF(AND(J454="N",G454&gt;0,K454=0,IFERROR(INDEX(고객사!$H$5:$H$104,MATCH($B454,고객사!$A$5:$A$104,0)),"")="자사 차량 운행"),"차량 미배정",""))</f>
        <v/>
      </c>
      <c r="N454" s="22" t="str">
        <f aca="false">IF($B454="","",IFERROR(INDEX(고객사!$J$5:$J$104,MATCH($B454,고객사!$A$5:$A$104,0)),0))</f>
        <v/>
      </c>
      <c r="O454" s="22" t="str">
        <f aca="false">IF($B454="","",G454*N454)</f>
        <v/>
      </c>
      <c r="P454" s="22" t="str">
        <f aca="false">IF($B454="","",IFERROR(INDEX(고객사!$K$5:$K$104,MATCH($B454,고객사!$A$5:$A$104,0)),0))</f>
        <v/>
      </c>
      <c r="Q454" s="22" t="str">
        <f aca="false">IF($B454="","",G454*P454)</f>
        <v/>
      </c>
      <c r="R454" s="22" t="str">
        <f aca="false">IF($B454="","",O454-Q454-L454)</f>
        <v/>
      </c>
      <c r="S454" s="21" t="str">
        <f aca="false">IF(OR($B454="",N(O454)=0),"",R454/O454)</f>
        <v/>
      </c>
      <c r="T454" s="14"/>
      <c r="U454" s="19" t="n">
        <f aca="false">IF(OR($B454="",$A454=""),0,IF(COUNTIFS($A$5:$A454,$A454,$B$5:$B454,$B454)=1,1,0))</f>
        <v>0</v>
      </c>
    </row>
    <row r="455" customFormat="false" ht="15" hidden="false" customHeight="false" outlineLevel="0" collapsed="false">
      <c r="A455" s="17"/>
      <c r="B455" s="13"/>
      <c r="C455" s="20" t="str">
        <f aca="false">IF($B455="","",IFERROR(INDEX(고객사!$B$5:$B$104,MATCH($B455,고객사!$A$5:$A$104,0)),"코드 확인"))</f>
        <v/>
      </c>
      <c r="D455" s="15"/>
      <c r="E455" s="15"/>
      <c r="F455" s="16"/>
      <c r="G455" s="16"/>
      <c r="H455" s="21" t="str">
        <f aca="false">IF(OR($B455="",F455=0),"",G455/F455)</f>
        <v/>
      </c>
      <c r="I455" s="22" t="str">
        <f aca="false">IF($B455="","",MAX(F455-G455,0))</f>
        <v/>
      </c>
      <c r="J455" s="23" t="str">
        <f aca="false">IF($B455="","",IFERROR(INDEX(고객사!$G$5:$G$104,MATCH($B455,고객사!$A$5:$A$104,0)),""))</f>
        <v/>
      </c>
      <c r="K455" s="16"/>
      <c r="L455" s="22" t="str">
        <f aca="false">IF($B455="","",K455*IFERROR(INDEX(고객사!$L$5:$L$104,MATCH($B455,고객사!$A$5:$A$104,0)),0))</f>
        <v/>
      </c>
      <c r="M455" s="23" t="str">
        <f aca="false">IF($B455="","",IF(AND(J455="N",G455&gt;0,K455=0,IFERROR(INDEX(고객사!$H$5:$H$104,MATCH($B455,고객사!$A$5:$A$104,0)),"")="자사 차량 운행"),"차량 미배정",""))</f>
        <v/>
      </c>
      <c r="N455" s="22" t="str">
        <f aca="false">IF($B455="","",IFERROR(INDEX(고객사!$J$5:$J$104,MATCH($B455,고객사!$A$5:$A$104,0)),0))</f>
        <v/>
      </c>
      <c r="O455" s="22" t="str">
        <f aca="false">IF($B455="","",G455*N455)</f>
        <v/>
      </c>
      <c r="P455" s="22" t="str">
        <f aca="false">IF($B455="","",IFERROR(INDEX(고객사!$K$5:$K$104,MATCH($B455,고객사!$A$5:$A$104,0)),0))</f>
        <v/>
      </c>
      <c r="Q455" s="22" t="str">
        <f aca="false">IF($B455="","",G455*P455)</f>
        <v/>
      </c>
      <c r="R455" s="22" t="str">
        <f aca="false">IF($B455="","",O455-Q455-L455)</f>
        <v/>
      </c>
      <c r="S455" s="21" t="str">
        <f aca="false">IF(OR($B455="",N(O455)=0),"",R455/O455)</f>
        <v/>
      </c>
      <c r="T455" s="14"/>
      <c r="U455" s="19" t="n">
        <f aca="false">IF(OR($B455="",$A455=""),0,IF(COUNTIFS($A$5:$A455,$A455,$B$5:$B455,$B455)=1,1,0))</f>
        <v>0</v>
      </c>
    </row>
    <row r="456" customFormat="false" ht="15" hidden="false" customHeight="false" outlineLevel="0" collapsed="false">
      <c r="A456" s="17"/>
      <c r="B456" s="13"/>
      <c r="C456" s="20" t="str">
        <f aca="false">IF($B456="","",IFERROR(INDEX(고객사!$B$5:$B$104,MATCH($B456,고객사!$A$5:$A$104,0)),"코드 확인"))</f>
        <v/>
      </c>
      <c r="D456" s="15"/>
      <c r="E456" s="15"/>
      <c r="F456" s="16"/>
      <c r="G456" s="16"/>
      <c r="H456" s="21" t="str">
        <f aca="false">IF(OR($B456="",F456=0),"",G456/F456)</f>
        <v/>
      </c>
      <c r="I456" s="22" t="str">
        <f aca="false">IF($B456="","",MAX(F456-G456,0))</f>
        <v/>
      </c>
      <c r="J456" s="23" t="str">
        <f aca="false">IF($B456="","",IFERROR(INDEX(고객사!$G$5:$G$104,MATCH($B456,고객사!$A$5:$A$104,0)),""))</f>
        <v/>
      </c>
      <c r="K456" s="16"/>
      <c r="L456" s="22" t="str">
        <f aca="false">IF($B456="","",K456*IFERROR(INDEX(고객사!$L$5:$L$104,MATCH($B456,고객사!$A$5:$A$104,0)),0))</f>
        <v/>
      </c>
      <c r="M456" s="23" t="str">
        <f aca="false">IF($B456="","",IF(AND(J456="N",G456&gt;0,K456=0,IFERROR(INDEX(고객사!$H$5:$H$104,MATCH($B456,고객사!$A$5:$A$104,0)),"")="자사 차량 운행"),"차량 미배정",""))</f>
        <v/>
      </c>
      <c r="N456" s="22" t="str">
        <f aca="false">IF($B456="","",IFERROR(INDEX(고객사!$J$5:$J$104,MATCH($B456,고객사!$A$5:$A$104,0)),0))</f>
        <v/>
      </c>
      <c r="O456" s="22" t="str">
        <f aca="false">IF($B456="","",G456*N456)</f>
        <v/>
      </c>
      <c r="P456" s="22" t="str">
        <f aca="false">IF($B456="","",IFERROR(INDEX(고객사!$K$5:$K$104,MATCH($B456,고객사!$A$5:$A$104,0)),0))</f>
        <v/>
      </c>
      <c r="Q456" s="22" t="str">
        <f aca="false">IF($B456="","",G456*P456)</f>
        <v/>
      </c>
      <c r="R456" s="22" t="str">
        <f aca="false">IF($B456="","",O456-Q456-L456)</f>
        <v/>
      </c>
      <c r="S456" s="21" t="str">
        <f aca="false">IF(OR($B456="",N(O456)=0),"",R456/O456)</f>
        <v/>
      </c>
      <c r="T456" s="14"/>
      <c r="U456" s="19" t="n">
        <f aca="false">IF(OR($B456="",$A456=""),0,IF(COUNTIFS($A$5:$A456,$A456,$B$5:$B456,$B456)=1,1,0))</f>
        <v>0</v>
      </c>
    </row>
    <row r="457" customFormat="false" ht="15" hidden="false" customHeight="false" outlineLevel="0" collapsed="false">
      <c r="A457" s="17"/>
      <c r="B457" s="13"/>
      <c r="C457" s="20" t="str">
        <f aca="false">IF($B457="","",IFERROR(INDEX(고객사!$B$5:$B$104,MATCH($B457,고객사!$A$5:$A$104,0)),"코드 확인"))</f>
        <v/>
      </c>
      <c r="D457" s="15"/>
      <c r="E457" s="15"/>
      <c r="F457" s="16"/>
      <c r="G457" s="16"/>
      <c r="H457" s="21" t="str">
        <f aca="false">IF(OR($B457="",F457=0),"",G457/F457)</f>
        <v/>
      </c>
      <c r="I457" s="22" t="str">
        <f aca="false">IF($B457="","",MAX(F457-G457,0))</f>
        <v/>
      </c>
      <c r="J457" s="23" t="str">
        <f aca="false">IF($B457="","",IFERROR(INDEX(고객사!$G$5:$G$104,MATCH($B457,고객사!$A$5:$A$104,0)),""))</f>
        <v/>
      </c>
      <c r="K457" s="16"/>
      <c r="L457" s="22" t="str">
        <f aca="false">IF($B457="","",K457*IFERROR(INDEX(고객사!$L$5:$L$104,MATCH($B457,고객사!$A$5:$A$104,0)),0))</f>
        <v/>
      </c>
      <c r="M457" s="23" t="str">
        <f aca="false">IF($B457="","",IF(AND(J457="N",G457&gt;0,K457=0,IFERROR(INDEX(고객사!$H$5:$H$104,MATCH($B457,고객사!$A$5:$A$104,0)),"")="자사 차량 운행"),"차량 미배정",""))</f>
        <v/>
      </c>
      <c r="N457" s="22" t="str">
        <f aca="false">IF($B457="","",IFERROR(INDEX(고객사!$J$5:$J$104,MATCH($B457,고객사!$A$5:$A$104,0)),0))</f>
        <v/>
      </c>
      <c r="O457" s="22" t="str">
        <f aca="false">IF($B457="","",G457*N457)</f>
        <v/>
      </c>
      <c r="P457" s="22" t="str">
        <f aca="false">IF($B457="","",IFERROR(INDEX(고객사!$K$5:$K$104,MATCH($B457,고객사!$A$5:$A$104,0)),0))</f>
        <v/>
      </c>
      <c r="Q457" s="22" t="str">
        <f aca="false">IF($B457="","",G457*P457)</f>
        <v/>
      </c>
      <c r="R457" s="22" t="str">
        <f aca="false">IF($B457="","",O457-Q457-L457)</f>
        <v/>
      </c>
      <c r="S457" s="21" t="str">
        <f aca="false">IF(OR($B457="",N(O457)=0),"",R457/O457)</f>
        <v/>
      </c>
      <c r="T457" s="14"/>
      <c r="U457" s="19" t="n">
        <f aca="false">IF(OR($B457="",$A457=""),0,IF(COUNTIFS($A$5:$A457,$A457,$B$5:$B457,$B457)=1,1,0))</f>
        <v>0</v>
      </c>
    </row>
    <row r="458" customFormat="false" ht="15" hidden="false" customHeight="false" outlineLevel="0" collapsed="false">
      <c r="A458" s="17"/>
      <c r="B458" s="13"/>
      <c r="C458" s="20" t="str">
        <f aca="false">IF($B458="","",IFERROR(INDEX(고객사!$B$5:$B$104,MATCH($B458,고객사!$A$5:$A$104,0)),"코드 확인"))</f>
        <v/>
      </c>
      <c r="D458" s="15"/>
      <c r="E458" s="15"/>
      <c r="F458" s="16"/>
      <c r="G458" s="16"/>
      <c r="H458" s="21" t="str">
        <f aca="false">IF(OR($B458="",F458=0),"",G458/F458)</f>
        <v/>
      </c>
      <c r="I458" s="22" t="str">
        <f aca="false">IF($B458="","",MAX(F458-G458,0))</f>
        <v/>
      </c>
      <c r="J458" s="23" t="str">
        <f aca="false">IF($B458="","",IFERROR(INDEX(고객사!$G$5:$G$104,MATCH($B458,고객사!$A$5:$A$104,0)),""))</f>
        <v/>
      </c>
      <c r="K458" s="16"/>
      <c r="L458" s="22" t="str">
        <f aca="false">IF($B458="","",K458*IFERROR(INDEX(고객사!$L$5:$L$104,MATCH($B458,고객사!$A$5:$A$104,0)),0))</f>
        <v/>
      </c>
      <c r="M458" s="23" t="str">
        <f aca="false">IF($B458="","",IF(AND(J458="N",G458&gt;0,K458=0,IFERROR(INDEX(고객사!$H$5:$H$104,MATCH($B458,고객사!$A$5:$A$104,0)),"")="자사 차량 운행"),"차량 미배정",""))</f>
        <v/>
      </c>
      <c r="N458" s="22" t="str">
        <f aca="false">IF($B458="","",IFERROR(INDEX(고객사!$J$5:$J$104,MATCH($B458,고객사!$A$5:$A$104,0)),0))</f>
        <v/>
      </c>
      <c r="O458" s="22" t="str">
        <f aca="false">IF($B458="","",G458*N458)</f>
        <v/>
      </c>
      <c r="P458" s="22" t="str">
        <f aca="false">IF($B458="","",IFERROR(INDEX(고객사!$K$5:$K$104,MATCH($B458,고객사!$A$5:$A$104,0)),0))</f>
        <v/>
      </c>
      <c r="Q458" s="22" t="str">
        <f aca="false">IF($B458="","",G458*P458)</f>
        <v/>
      </c>
      <c r="R458" s="22" t="str">
        <f aca="false">IF($B458="","",O458-Q458-L458)</f>
        <v/>
      </c>
      <c r="S458" s="21" t="str">
        <f aca="false">IF(OR($B458="",N(O458)=0),"",R458/O458)</f>
        <v/>
      </c>
      <c r="T458" s="14"/>
      <c r="U458" s="19" t="n">
        <f aca="false">IF(OR($B458="",$A458=""),0,IF(COUNTIFS($A$5:$A458,$A458,$B$5:$B458,$B458)=1,1,0))</f>
        <v>0</v>
      </c>
    </row>
    <row r="459" customFormat="false" ht="15" hidden="false" customHeight="false" outlineLevel="0" collapsed="false">
      <c r="A459" s="17"/>
      <c r="B459" s="13"/>
      <c r="C459" s="20" t="str">
        <f aca="false">IF($B459="","",IFERROR(INDEX(고객사!$B$5:$B$104,MATCH($B459,고객사!$A$5:$A$104,0)),"코드 확인"))</f>
        <v/>
      </c>
      <c r="D459" s="15"/>
      <c r="E459" s="15"/>
      <c r="F459" s="16"/>
      <c r="G459" s="16"/>
      <c r="H459" s="21" t="str">
        <f aca="false">IF(OR($B459="",F459=0),"",G459/F459)</f>
        <v/>
      </c>
      <c r="I459" s="22" t="str">
        <f aca="false">IF($B459="","",MAX(F459-G459,0))</f>
        <v/>
      </c>
      <c r="J459" s="23" t="str">
        <f aca="false">IF($B459="","",IFERROR(INDEX(고객사!$G$5:$G$104,MATCH($B459,고객사!$A$5:$A$104,0)),""))</f>
        <v/>
      </c>
      <c r="K459" s="16"/>
      <c r="L459" s="22" t="str">
        <f aca="false">IF($B459="","",K459*IFERROR(INDEX(고객사!$L$5:$L$104,MATCH($B459,고객사!$A$5:$A$104,0)),0))</f>
        <v/>
      </c>
      <c r="M459" s="23" t="str">
        <f aca="false">IF($B459="","",IF(AND(J459="N",G459&gt;0,K459=0,IFERROR(INDEX(고객사!$H$5:$H$104,MATCH($B459,고객사!$A$5:$A$104,0)),"")="자사 차량 운행"),"차량 미배정",""))</f>
        <v/>
      </c>
      <c r="N459" s="22" t="str">
        <f aca="false">IF($B459="","",IFERROR(INDEX(고객사!$J$5:$J$104,MATCH($B459,고객사!$A$5:$A$104,0)),0))</f>
        <v/>
      </c>
      <c r="O459" s="22" t="str">
        <f aca="false">IF($B459="","",G459*N459)</f>
        <v/>
      </c>
      <c r="P459" s="22" t="str">
        <f aca="false">IF($B459="","",IFERROR(INDEX(고객사!$K$5:$K$104,MATCH($B459,고객사!$A$5:$A$104,0)),0))</f>
        <v/>
      </c>
      <c r="Q459" s="22" t="str">
        <f aca="false">IF($B459="","",G459*P459)</f>
        <v/>
      </c>
      <c r="R459" s="22" t="str">
        <f aca="false">IF($B459="","",O459-Q459-L459)</f>
        <v/>
      </c>
      <c r="S459" s="21" t="str">
        <f aca="false">IF(OR($B459="",N(O459)=0),"",R459/O459)</f>
        <v/>
      </c>
      <c r="T459" s="14"/>
      <c r="U459" s="19" t="n">
        <f aca="false">IF(OR($B459="",$A459=""),0,IF(COUNTIFS($A$5:$A459,$A459,$B$5:$B459,$B459)=1,1,0))</f>
        <v>0</v>
      </c>
    </row>
    <row r="460" customFormat="false" ht="15" hidden="false" customHeight="false" outlineLevel="0" collapsed="false">
      <c r="A460" s="17"/>
      <c r="B460" s="13"/>
      <c r="C460" s="20" t="str">
        <f aca="false">IF($B460="","",IFERROR(INDEX(고객사!$B$5:$B$104,MATCH($B460,고객사!$A$5:$A$104,0)),"코드 확인"))</f>
        <v/>
      </c>
      <c r="D460" s="15"/>
      <c r="E460" s="15"/>
      <c r="F460" s="16"/>
      <c r="G460" s="16"/>
      <c r="H460" s="21" t="str">
        <f aca="false">IF(OR($B460="",F460=0),"",G460/F460)</f>
        <v/>
      </c>
      <c r="I460" s="22" t="str">
        <f aca="false">IF($B460="","",MAX(F460-G460,0))</f>
        <v/>
      </c>
      <c r="J460" s="23" t="str">
        <f aca="false">IF($B460="","",IFERROR(INDEX(고객사!$G$5:$G$104,MATCH($B460,고객사!$A$5:$A$104,0)),""))</f>
        <v/>
      </c>
      <c r="K460" s="16"/>
      <c r="L460" s="22" t="str">
        <f aca="false">IF($B460="","",K460*IFERROR(INDEX(고객사!$L$5:$L$104,MATCH($B460,고객사!$A$5:$A$104,0)),0))</f>
        <v/>
      </c>
      <c r="M460" s="23" t="str">
        <f aca="false">IF($B460="","",IF(AND(J460="N",G460&gt;0,K460=0,IFERROR(INDEX(고객사!$H$5:$H$104,MATCH($B460,고객사!$A$5:$A$104,0)),"")="자사 차량 운행"),"차량 미배정",""))</f>
        <v/>
      </c>
      <c r="N460" s="22" t="str">
        <f aca="false">IF($B460="","",IFERROR(INDEX(고객사!$J$5:$J$104,MATCH($B460,고객사!$A$5:$A$104,0)),0))</f>
        <v/>
      </c>
      <c r="O460" s="22" t="str">
        <f aca="false">IF($B460="","",G460*N460)</f>
        <v/>
      </c>
      <c r="P460" s="22" t="str">
        <f aca="false">IF($B460="","",IFERROR(INDEX(고객사!$K$5:$K$104,MATCH($B460,고객사!$A$5:$A$104,0)),0))</f>
        <v/>
      </c>
      <c r="Q460" s="22" t="str">
        <f aca="false">IF($B460="","",G460*P460)</f>
        <v/>
      </c>
      <c r="R460" s="22" t="str">
        <f aca="false">IF($B460="","",O460-Q460-L460)</f>
        <v/>
      </c>
      <c r="S460" s="21" t="str">
        <f aca="false">IF(OR($B460="",N(O460)=0),"",R460/O460)</f>
        <v/>
      </c>
      <c r="T460" s="14"/>
      <c r="U460" s="19" t="n">
        <f aca="false">IF(OR($B460="",$A460=""),0,IF(COUNTIFS($A$5:$A460,$A460,$B$5:$B460,$B460)=1,1,0))</f>
        <v>0</v>
      </c>
    </row>
    <row r="461" customFormat="false" ht="15" hidden="false" customHeight="false" outlineLevel="0" collapsed="false">
      <c r="A461" s="17"/>
      <c r="B461" s="13"/>
      <c r="C461" s="20" t="str">
        <f aca="false">IF($B461="","",IFERROR(INDEX(고객사!$B$5:$B$104,MATCH($B461,고객사!$A$5:$A$104,0)),"코드 확인"))</f>
        <v/>
      </c>
      <c r="D461" s="15"/>
      <c r="E461" s="15"/>
      <c r="F461" s="16"/>
      <c r="G461" s="16"/>
      <c r="H461" s="21" t="str">
        <f aca="false">IF(OR($B461="",F461=0),"",G461/F461)</f>
        <v/>
      </c>
      <c r="I461" s="22" t="str">
        <f aca="false">IF($B461="","",MAX(F461-G461,0))</f>
        <v/>
      </c>
      <c r="J461" s="23" t="str">
        <f aca="false">IF($B461="","",IFERROR(INDEX(고객사!$G$5:$G$104,MATCH($B461,고객사!$A$5:$A$104,0)),""))</f>
        <v/>
      </c>
      <c r="K461" s="16"/>
      <c r="L461" s="22" t="str">
        <f aca="false">IF($B461="","",K461*IFERROR(INDEX(고객사!$L$5:$L$104,MATCH($B461,고객사!$A$5:$A$104,0)),0))</f>
        <v/>
      </c>
      <c r="M461" s="23" t="str">
        <f aca="false">IF($B461="","",IF(AND(J461="N",G461&gt;0,K461=0,IFERROR(INDEX(고객사!$H$5:$H$104,MATCH($B461,고객사!$A$5:$A$104,0)),"")="자사 차량 운행"),"차량 미배정",""))</f>
        <v/>
      </c>
      <c r="N461" s="22" t="str">
        <f aca="false">IF($B461="","",IFERROR(INDEX(고객사!$J$5:$J$104,MATCH($B461,고객사!$A$5:$A$104,0)),0))</f>
        <v/>
      </c>
      <c r="O461" s="22" t="str">
        <f aca="false">IF($B461="","",G461*N461)</f>
        <v/>
      </c>
      <c r="P461" s="22" t="str">
        <f aca="false">IF($B461="","",IFERROR(INDEX(고객사!$K$5:$K$104,MATCH($B461,고객사!$A$5:$A$104,0)),0))</f>
        <v/>
      </c>
      <c r="Q461" s="22" t="str">
        <f aca="false">IF($B461="","",G461*P461)</f>
        <v/>
      </c>
      <c r="R461" s="22" t="str">
        <f aca="false">IF($B461="","",O461-Q461-L461)</f>
        <v/>
      </c>
      <c r="S461" s="21" t="str">
        <f aca="false">IF(OR($B461="",N(O461)=0),"",R461/O461)</f>
        <v/>
      </c>
      <c r="T461" s="14"/>
      <c r="U461" s="19" t="n">
        <f aca="false">IF(OR($B461="",$A461=""),0,IF(COUNTIFS($A$5:$A461,$A461,$B$5:$B461,$B461)=1,1,0))</f>
        <v>0</v>
      </c>
    </row>
    <row r="462" customFormat="false" ht="15" hidden="false" customHeight="false" outlineLevel="0" collapsed="false">
      <c r="A462" s="17"/>
      <c r="B462" s="13"/>
      <c r="C462" s="20" t="str">
        <f aca="false">IF($B462="","",IFERROR(INDEX(고객사!$B$5:$B$104,MATCH($B462,고객사!$A$5:$A$104,0)),"코드 확인"))</f>
        <v/>
      </c>
      <c r="D462" s="15"/>
      <c r="E462" s="15"/>
      <c r="F462" s="16"/>
      <c r="G462" s="16"/>
      <c r="H462" s="21" t="str">
        <f aca="false">IF(OR($B462="",F462=0),"",G462/F462)</f>
        <v/>
      </c>
      <c r="I462" s="22" t="str">
        <f aca="false">IF($B462="","",MAX(F462-G462,0))</f>
        <v/>
      </c>
      <c r="J462" s="23" t="str">
        <f aca="false">IF($B462="","",IFERROR(INDEX(고객사!$G$5:$G$104,MATCH($B462,고객사!$A$5:$A$104,0)),""))</f>
        <v/>
      </c>
      <c r="K462" s="16"/>
      <c r="L462" s="22" t="str">
        <f aca="false">IF($B462="","",K462*IFERROR(INDEX(고객사!$L$5:$L$104,MATCH($B462,고객사!$A$5:$A$104,0)),0))</f>
        <v/>
      </c>
      <c r="M462" s="23" t="str">
        <f aca="false">IF($B462="","",IF(AND(J462="N",G462&gt;0,K462=0,IFERROR(INDEX(고객사!$H$5:$H$104,MATCH($B462,고객사!$A$5:$A$104,0)),"")="자사 차량 운행"),"차량 미배정",""))</f>
        <v/>
      </c>
      <c r="N462" s="22" t="str">
        <f aca="false">IF($B462="","",IFERROR(INDEX(고객사!$J$5:$J$104,MATCH($B462,고객사!$A$5:$A$104,0)),0))</f>
        <v/>
      </c>
      <c r="O462" s="22" t="str">
        <f aca="false">IF($B462="","",G462*N462)</f>
        <v/>
      </c>
      <c r="P462" s="22" t="str">
        <f aca="false">IF($B462="","",IFERROR(INDEX(고객사!$K$5:$K$104,MATCH($B462,고객사!$A$5:$A$104,0)),0))</f>
        <v/>
      </c>
      <c r="Q462" s="22" t="str">
        <f aca="false">IF($B462="","",G462*P462)</f>
        <v/>
      </c>
      <c r="R462" s="22" t="str">
        <f aca="false">IF($B462="","",O462-Q462-L462)</f>
        <v/>
      </c>
      <c r="S462" s="21" t="str">
        <f aca="false">IF(OR($B462="",N(O462)=0),"",R462/O462)</f>
        <v/>
      </c>
      <c r="T462" s="14"/>
      <c r="U462" s="19" t="n">
        <f aca="false">IF(OR($B462="",$A462=""),0,IF(COUNTIFS($A$5:$A462,$A462,$B$5:$B462,$B462)=1,1,0))</f>
        <v>0</v>
      </c>
    </row>
    <row r="463" customFormat="false" ht="15" hidden="false" customHeight="false" outlineLevel="0" collapsed="false">
      <c r="A463" s="17"/>
      <c r="B463" s="13"/>
      <c r="C463" s="20" t="str">
        <f aca="false">IF($B463="","",IFERROR(INDEX(고객사!$B$5:$B$104,MATCH($B463,고객사!$A$5:$A$104,0)),"코드 확인"))</f>
        <v/>
      </c>
      <c r="D463" s="15"/>
      <c r="E463" s="15"/>
      <c r="F463" s="16"/>
      <c r="G463" s="16"/>
      <c r="H463" s="21" t="str">
        <f aca="false">IF(OR($B463="",F463=0),"",G463/F463)</f>
        <v/>
      </c>
      <c r="I463" s="22" t="str">
        <f aca="false">IF($B463="","",MAX(F463-G463,0))</f>
        <v/>
      </c>
      <c r="J463" s="23" t="str">
        <f aca="false">IF($B463="","",IFERROR(INDEX(고객사!$G$5:$G$104,MATCH($B463,고객사!$A$5:$A$104,0)),""))</f>
        <v/>
      </c>
      <c r="K463" s="16"/>
      <c r="L463" s="22" t="str">
        <f aca="false">IF($B463="","",K463*IFERROR(INDEX(고객사!$L$5:$L$104,MATCH($B463,고객사!$A$5:$A$104,0)),0))</f>
        <v/>
      </c>
      <c r="M463" s="23" t="str">
        <f aca="false">IF($B463="","",IF(AND(J463="N",G463&gt;0,K463=0,IFERROR(INDEX(고객사!$H$5:$H$104,MATCH($B463,고객사!$A$5:$A$104,0)),"")="자사 차량 운행"),"차량 미배정",""))</f>
        <v/>
      </c>
      <c r="N463" s="22" t="str">
        <f aca="false">IF($B463="","",IFERROR(INDEX(고객사!$J$5:$J$104,MATCH($B463,고객사!$A$5:$A$104,0)),0))</f>
        <v/>
      </c>
      <c r="O463" s="22" t="str">
        <f aca="false">IF($B463="","",G463*N463)</f>
        <v/>
      </c>
      <c r="P463" s="22" t="str">
        <f aca="false">IF($B463="","",IFERROR(INDEX(고객사!$K$5:$K$104,MATCH($B463,고객사!$A$5:$A$104,0)),0))</f>
        <v/>
      </c>
      <c r="Q463" s="22" t="str">
        <f aca="false">IF($B463="","",G463*P463)</f>
        <v/>
      </c>
      <c r="R463" s="22" t="str">
        <f aca="false">IF($B463="","",O463-Q463-L463)</f>
        <v/>
      </c>
      <c r="S463" s="21" t="str">
        <f aca="false">IF(OR($B463="",N(O463)=0),"",R463/O463)</f>
        <v/>
      </c>
      <c r="T463" s="14"/>
      <c r="U463" s="19" t="n">
        <f aca="false">IF(OR($B463="",$A463=""),0,IF(COUNTIFS($A$5:$A463,$A463,$B$5:$B463,$B463)=1,1,0))</f>
        <v>0</v>
      </c>
    </row>
    <row r="464" customFormat="false" ht="15" hidden="false" customHeight="false" outlineLevel="0" collapsed="false">
      <c r="A464" s="17"/>
      <c r="B464" s="13"/>
      <c r="C464" s="20" t="str">
        <f aca="false">IF($B464="","",IFERROR(INDEX(고객사!$B$5:$B$104,MATCH($B464,고객사!$A$5:$A$104,0)),"코드 확인"))</f>
        <v/>
      </c>
      <c r="D464" s="15"/>
      <c r="E464" s="15"/>
      <c r="F464" s="16"/>
      <c r="G464" s="16"/>
      <c r="H464" s="21" t="str">
        <f aca="false">IF(OR($B464="",F464=0),"",G464/F464)</f>
        <v/>
      </c>
      <c r="I464" s="22" t="str">
        <f aca="false">IF($B464="","",MAX(F464-G464,0))</f>
        <v/>
      </c>
      <c r="J464" s="23" t="str">
        <f aca="false">IF($B464="","",IFERROR(INDEX(고객사!$G$5:$G$104,MATCH($B464,고객사!$A$5:$A$104,0)),""))</f>
        <v/>
      </c>
      <c r="K464" s="16"/>
      <c r="L464" s="22" t="str">
        <f aca="false">IF($B464="","",K464*IFERROR(INDEX(고객사!$L$5:$L$104,MATCH($B464,고객사!$A$5:$A$104,0)),0))</f>
        <v/>
      </c>
      <c r="M464" s="23" t="str">
        <f aca="false">IF($B464="","",IF(AND(J464="N",G464&gt;0,K464=0,IFERROR(INDEX(고객사!$H$5:$H$104,MATCH($B464,고객사!$A$5:$A$104,0)),"")="자사 차량 운행"),"차량 미배정",""))</f>
        <v/>
      </c>
      <c r="N464" s="22" t="str">
        <f aca="false">IF($B464="","",IFERROR(INDEX(고객사!$J$5:$J$104,MATCH($B464,고객사!$A$5:$A$104,0)),0))</f>
        <v/>
      </c>
      <c r="O464" s="22" t="str">
        <f aca="false">IF($B464="","",G464*N464)</f>
        <v/>
      </c>
      <c r="P464" s="22" t="str">
        <f aca="false">IF($B464="","",IFERROR(INDEX(고객사!$K$5:$K$104,MATCH($B464,고객사!$A$5:$A$104,0)),0))</f>
        <v/>
      </c>
      <c r="Q464" s="22" t="str">
        <f aca="false">IF($B464="","",G464*P464)</f>
        <v/>
      </c>
      <c r="R464" s="22" t="str">
        <f aca="false">IF($B464="","",O464-Q464-L464)</f>
        <v/>
      </c>
      <c r="S464" s="21" t="str">
        <f aca="false">IF(OR($B464="",N(O464)=0),"",R464/O464)</f>
        <v/>
      </c>
      <c r="T464" s="14"/>
      <c r="U464" s="19" t="n">
        <f aca="false">IF(OR($B464="",$A464=""),0,IF(COUNTIFS($A$5:$A464,$A464,$B$5:$B464,$B464)=1,1,0))</f>
        <v>0</v>
      </c>
    </row>
    <row r="465" customFormat="false" ht="15" hidden="false" customHeight="false" outlineLevel="0" collapsed="false">
      <c r="A465" s="17"/>
      <c r="B465" s="13"/>
      <c r="C465" s="20" t="str">
        <f aca="false">IF($B465="","",IFERROR(INDEX(고객사!$B$5:$B$104,MATCH($B465,고객사!$A$5:$A$104,0)),"코드 확인"))</f>
        <v/>
      </c>
      <c r="D465" s="15"/>
      <c r="E465" s="15"/>
      <c r="F465" s="16"/>
      <c r="G465" s="16"/>
      <c r="H465" s="21" t="str">
        <f aca="false">IF(OR($B465="",F465=0),"",G465/F465)</f>
        <v/>
      </c>
      <c r="I465" s="22" t="str">
        <f aca="false">IF($B465="","",MAX(F465-G465,0))</f>
        <v/>
      </c>
      <c r="J465" s="23" t="str">
        <f aca="false">IF($B465="","",IFERROR(INDEX(고객사!$G$5:$G$104,MATCH($B465,고객사!$A$5:$A$104,0)),""))</f>
        <v/>
      </c>
      <c r="K465" s="16"/>
      <c r="L465" s="22" t="str">
        <f aca="false">IF($B465="","",K465*IFERROR(INDEX(고객사!$L$5:$L$104,MATCH($B465,고객사!$A$5:$A$104,0)),0))</f>
        <v/>
      </c>
      <c r="M465" s="23" t="str">
        <f aca="false">IF($B465="","",IF(AND(J465="N",G465&gt;0,K465=0,IFERROR(INDEX(고객사!$H$5:$H$104,MATCH($B465,고객사!$A$5:$A$104,0)),"")="자사 차량 운행"),"차량 미배정",""))</f>
        <v/>
      </c>
      <c r="N465" s="22" t="str">
        <f aca="false">IF($B465="","",IFERROR(INDEX(고객사!$J$5:$J$104,MATCH($B465,고객사!$A$5:$A$104,0)),0))</f>
        <v/>
      </c>
      <c r="O465" s="22" t="str">
        <f aca="false">IF($B465="","",G465*N465)</f>
        <v/>
      </c>
      <c r="P465" s="22" t="str">
        <f aca="false">IF($B465="","",IFERROR(INDEX(고객사!$K$5:$K$104,MATCH($B465,고객사!$A$5:$A$104,0)),0))</f>
        <v/>
      </c>
      <c r="Q465" s="22" t="str">
        <f aca="false">IF($B465="","",G465*P465)</f>
        <v/>
      </c>
      <c r="R465" s="22" t="str">
        <f aca="false">IF($B465="","",O465-Q465-L465)</f>
        <v/>
      </c>
      <c r="S465" s="21" t="str">
        <f aca="false">IF(OR($B465="",N(O465)=0),"",R465/O465)</f>
        <v/>
      </c>
      <c r="T465" s="14"/>
      <c r="U465" s="19" t="n">
        <f aca="false">IF(OR($B465="",$A465=""),0,IF(COUNTIFS($A$5:$A465,$A465,$B$5:$B465,$B465)=1,1,0))</f>
        <v>0</v>
      </c>
    </row>
    <row r="466" customFormat="false" ht="15" hidden="false" customHeight="false" outlineLevel="0" collapsed="false">
      <c r="A466" s="17"/>
      <c r="B466" s="13"/>
      <c r="C466" s="20" t="str">
        <f aca="false">IF($B466="","",IFERROR(INDEX(고객사!$B$5:$B$104,MATCH($B466,고객사!$A$5:$A$104,0)),"코드 확인"))</f>
        <v/>
      </c>
      <c r="D466" s="15"/>
      <c r="E466" s="15"/>
      <c r="F466" s="16"/>
      <c r="G466" s="16"/>
      <c r="H466" s="21" t="str">
        <f aca="false">IF(OR($B466="",F466=0),"",G466/F466)</f>
        <v/>
      </c>
      <c r="I466" s="22" t="str">
        <f aca="false">IF($B466="","",MAX(F466-G466,0))</f>
        <v/>
      </c>
      <c r="J466" s="23" t="str">
        <f aca="false">IF($B466="","",IFERROR(INDEX(고객사!$G$5:$G$104,MATCH($B466,고객사!$A$5:$A$104,0)),""))</f>
        <v/>
      </c>
      <c r="K466" s="16"/>
      <c r="L466" s="22" t="str">
        <f aca="false">IF($B466="","",K466*IFERROR(INDEX(고객사!$L$5:$L$104,MATCH($B466,고객사!$A$5:$A$104,0)),0))</f>
        <v/>
      </c>
      <c r="M466" s="23" t="str">
        <f aca="false">IF($B466="","",IF(AND(J466="N",G466&gt;0,K466=0,IFERROR(INDEX(고객사!$H$5:$H$104,MATCH($B466,고객사!$A$5:$A$104,0)),"")="자사 차량 운행"),"차량 미배정",""))</f>
        <v/>
      </c>
      <c r="N466" s="22" t="str">
        <f aca="false">IF($B466="","",IFERROR(INDEX(고객사!$J$5:$J$104,MATCH($B466,고객사!$A$5:$A$104,0)),0))</f>
        <v/>
      </c>
      <c r="O466" s="22" t="str">
        <f aca="false">IF($B466="","",G466*N466)</f>
        <v/>
      </c>
      <c r="P466" s="22" t="str">
        <f aca="false">IF($B466="","",IFERROR(INDEX(고객사!$K$5:$K$104,MATCH($B466,고객사!$A$5:$A$104,0)),0))</f>
        <v/>
      </c>
      <c r="Q466" s="22" t="str">
        <f aca="false">IF($B466="","",G466*P466)</f>
        <v/>
      </c>
      <c r="R466" s="22" t="str">
        <f aca="false">IF($B466="","",O466-Q466-L466)</f>
        <v/>
      </c>
      <c r="S466" s="21" t="str">
        <f aca="false">IF(OR($B466="",N(O466)=0),"",R466/O466)</f>
        <v/>
      </c>
      <c r="T466" s="14"/>
      <c r="U466" s="19" t="n">
        <f aca="false">IF(OR($B466="",$A466=""),0,IF(COUNTIFS($A$5:$A466,$A466,$B$5:$B466,$B466)=1,1,0))</f>
        <v>0</v>
      </c>
    </row>
    <row r="467" customFormat="false" ht="15" hidden="false" customHeight="false" outlineLevel="0" collapsed="false">
      <c r="A467" s="17"/>
      <c r="B467" s="13"/>
      <c r="C467" s="20" t="str">
        <f aca="false">IF($B467="","",IFERROR(INDEX(고객사!$B$5:$B$104,MATCH($B467,고객사!$A$5:$A$104,0)),"코드 확인"))</f>
        <v/>
      </c>
      <c r="D467" s="15"/>
      <c r="E467" s="15"/>
      <c r="F467" s="16"/>
      <c r="G467" s="16"/>
      <c r="H467" s="21" t="str">
        <f aca="false">IF(OR($B467="",F467=0),"",G467/F467)</f>
        <v/>
      </c>
      <c r="I467" s="22" t="str">
        <f aca="false">IF($B467="","",MAX(F467-G467,0))</f>
        <v/>
      </c>
      <c r="J467" s="23" t="str">
        <f aca="false">IF($B467="","",IFERROR(INDEX(고객사!$G$5:$G$104,MATCH($B467,고객사!$A$5:$A$104,0)),""))</f>
        <v/>
      </c>
      <c r="K467" s="16"/>
      <c r="L467" s="22" t="str">
        <f aca="false">IF($B467="","",K467*IFERROR(INDEX(고객사!$L$5:$L$104,MATCH($B467,고객사!$A$5:$A$104,0)),0))</f>
        <v/>
      </c>
      <c r="M467" s="23" t="str">
        <f aca="false">IF($B467="","",IF(AND(J467="N",G467&gt;0,K467=0,IFERROR(INDEX(고객사!$H$5:$H$104,MATCH($B467,고객사!$A$5:$A$104,0)),"")="자사 차량 운행"),"차량 미배정",""))</f>
        <v/>
      </c>
      <c r="N467" s="22" t="str">
        <f aca="false">IF($B467="","",IFERROR(INDEX(고객사!$J$5:$J$104,MATCH($B467,고객사!$A$5:$A$104,0)),0))</f>
        <v/>
      </c>
      <c r="O467" s="22" t="str">
        <f aca="false">IF($B467="","",G467*N467)</f>
        <v/>
      </c>
      <c r="P467" s="22" t="str">
        <f aca="false">IF($B467="","",IFERROR(INDEX(고객사!$K$5:$K$104,MATCH($B467,고객사!$A$5:$A$104,0)),0))</f>
        <v/>
      </c>
      <c r="Q467" s="22" t="str">
        <f aca="false">IF($B467="","",G467*P467)</f>
        <v/>
      </c>
      <c r="R467" s="22" t="str">
        <f aca="false">IF($B467="","",O467-Q467-L467)</f>
        <v/>
      </c>
      <c r="S467" s="21" t="str">
        <f aca="false">IF(OR($B467="",N(O467)=0),"",R467/O467)</f>
        <v/>
      </c>
      <c r="T467" s="14"/>
      <c r="U467" s="19" t="n">
        <f aca="false">IF(OR($B467="",$A467=""),0,IF(COUNTIFS($A$5:$A467,$A467,$B$5:$B467,$B467)=1,1,0))</f>
        <v>0</v>
      </c>
    </row>
    <row r="468" customFormat="false" ht="15" hidden="false" customHeight="false" outlineLevel="0" collapsed="false">
      <c r="A468" s="17"/>
      <c r="B468" s="13"/>
      <c r="C468" s="20" t="str">
        <f aca="false">IF($B468="","",IFERROR(INDEX(고객사!$B$5:$B$104,MATCH($B468,고객사!$A$5:$A$104,0)),"코드 확인"))</f>
        <v/>
      </c>
      <c r="D468" s="15"/>
      <c r="E468" s="15"/>
      <c r="F468" s="16"/>
      <c r="G468" s="16"/>
      <c r="H468" s="21" t="str">
        <f aca="false">IF(OR($B468="",F468=0),"",G468/F468)</f>
        <v/>
      </c>
      <c r="I468" s="22" t="str">
        <f aca="false">IF($B468="","",MAX(F468-G468,0))</f>
        <v/>
      </c>
      <c r="J468" s="23" t="str">
        <f aca="false">IF($B468="","",IFERROR(INDEX(고객사!$G$5:$G$104,MATCH($B468,고객사!$A$5:$A$104,0)),""))</f>
        <v/>
      </c>
      <c r="K468" s="16"/>
      <c r="L468" s="22" t="str">
        <f aca="false">IF($B468="","",K468*IFERROR(INDEX(고객사!$L$5:$L$104,MATCH($B468,고객사!$A$5:$A$104,0)),0))</f>
        <v/>
      </c>
      <c r="M468" s="23" t="str">
        <f aca="false">IF($B468="","",IF(AND(J468="N",G468&gt;0,K468=0,IFERROR(INDEX(고객사!$H$5:$H$104,MATCH($B468,고객사!$A$5:$A$104,0)),"")="자사 차량 운행"),"차량 미배정",""))</f>
        <v/>
      </c>
      <c r="N468" s="22" t="str">
        <f aca="false">IF($B468="","",IFERROR(INDEX(고객사!$J$5:$J$104,MATCH($B468,고객사!$A$5:$A$104,0)),0))</f>
        <v/>
      </c>
      <c r="O468" s="22" t="str">
        <f aca="false">IF($B468="","",G468*N468)</f>
        <v/>
      </c>
      <c r="P468" s="22" t="str">
        <f aca="false">IF($B468="","",IFERROR(INDEX(고객사!$K$5:$K$104,MATCH($B468,고객사!$A$5:$A$104,0)),0))</f>
        <v/>
      </c>
      <c r="Q468" s="22" t="str">
        <f aca="false">IF($B468="","",G468*P468)</f>
        <v/>
      </c>
      <c r="R468" s="22" t="str">
        <f aca="false">IF($B468="","",O468-Q468-L468)</f>
        <v/>
      </c>
      <c r="S468" s="21" t="str">
        <f aca="false">IF(OR($B468="",N(O468)=0),"",R468/O468)</f>
        <v/>
      </c>
      <c r="T468" s="14"/>
      <c r="U468" s="19" t="n">
        <f aca="false">IF(OR($B468="",$A468=""),0,IF(COUNTIFS($A$5:$A468,$A468,$B$5:$B468,$B468)=1,1,0))</f>
        <v>0</v>
      </c>
    </row>
    <row r="469" customFormat="false" ht="15" hidden="false" customHeight="false" outlineLevel="0" collapsed="false">
      <c r="A469" s="17"/>
      <c r="B469" s="13"/>
      <c r="C469" s="20" t="str">
        <f aca="false">IF($B469="","",IFERROR(INDEX(고객사!$B$5:$B$104,MATCH($B469,고객사!$A$5:$A$104,0)),"코드 확인"))</f>
        <v/>
      </c>
      <c r="D469" s="15"/>
      <c r="E469" s="15"/>
      <c r="F469" s="16"/>
      <c r="G469" s="16"/>
      <c r="H469" s="21" t="str">
        <f aca="false">IF(OR($B469="",F469=0),"",G469/F469)</f>
        <v/>
      </c>
      <c r="I469" s="22" t="str">
        <f aca="false">IF($B469="","",MAX(F469-G469,0))</f>
        <v/>
      </c>
      <c r="J469" s="23" t="str">
        <f aca="false">IF($B469="","",IFERROR(INDEX(고객사!$G$5:$G$104,MATCH($B469,고객사!$A$5:$A$104,0)),""))</f>
        <v/>
      </c>
      <c r="K469" s="16"/>
      <c r="L469" s="22" t="str">
        <f aca="false">IF($B469="","",K469*IFERROR(INDEX(고객사!$L$5:$L$104,MATCH($B469,고객사!$A$5:$A$104,0)),0))</f>
        <v/>
      </c>
      <c r="M469" s="23" t="str">
        <f aca="false">IF($B469="","",IF(AND(J469="N",G469&gt;0,K469=0,IFERROR(INDEX(고객사!$H$5:$H$104,MATCH($B469,고객사!$A$5:$A$104,0)),"")="자사 차량 운행"),"차량 미배정",""))</f>
        <v/>
      </c>
      <c r="N469" s="22" t="str">
        <f aca="false">IF($B469="","",IFERROR(INDEX(고객사!$J$5:$J$104,MATCH($B469,고객사!$A$5:$A$104,0)),0))</f>
        <v/>
      </c>
      <c r="O469" s="22" t="str">
        <f aca="false">IF($B469="","",G469*N469)</f>
        <v/>
      </c>
      <c r="P469" s="22" t="str">
        <f aca="false">IF($B469="","",IFERROR(INDEX(고객사!$K$5:$K$104,MATCH($B469,고객사!$A$5:$A$104,0)),0))</f>
        <v/>
      </c>
      <c r="Q469" s="22" t="str">
        <f aca="false">IF($B469="","",G469*P469)</f>
        <v/>
      </c>
      <c r="R469" s="22" t="str">
        <f aca="false">IF($B469="","",O469-Q469-L469)</f>
        <v/>
      </c>
      <c r="S469" s="21" t="str">
        <f aca="false">IF(OR($B469="",N(O469)=0),"",R469/O469)</f>
        <v/>
      </c>
      <c r="T469" s="14"/>
      <c r="U469" s="19" t="n">
        <f aca="false">IF(OR($B469="",$A469=""),0,IF(COUNTIFS($A$5:$A469,$A469,$B$5:$B469,$B469)=1,1,0))</f>
        <v>0</v>
      </c>
    </row>
    <row r="470" customFormat="false" ht="15" hidden="false" customHeight="false" outlineLevel="0" collapsed="false">
      <c r="A470" s="17"/>
      <c r="B470" s="13"/>
      <c r="C470" s="20" t="str">
        <f aca="false">IF($B470="","",IFERROR(INDEX(고객사!$B$5:$B$104,MATCH($B470,고객사!$A$5:$A$104,0)),"코드 확인"))</f>
        <v/>
      </c>
      <c r="D470" s="15"/>
      <c r="E470" s="15"/>
      <c r="F470" s="16"/>
      <c r="G470" s="16"/>
      <c r="H470" s="21" t="str">
        <f aca="false">IF(OR($B470="",F470=0),"",G470/F470)</f>
        <v/>
      </c>
      <c r="I470" s="22" t="str">
        <f aca="false">IF($B470="","",MAX(F470-G470,0))</f>
        <v/>
      </c>
      <c r="J470" s="23" t="str">
        <f aca="false">IF($B470="","",IFERROR(INDEX(고객사!$G$5:$G$104,MATCH($B470,고객사!$A$5:$A$104,0)),""))</f>
        <v/>
      </c>
      <c r="K470" s="16"/>
      <c r="L470" s="22" t="str">
        <f aca="false">IF($B470="","",K470*IFERROR(INDEX(고객사!$L$5:$L$104,MATCH($B470,고객사!$A$5:$A$104,0)),0))</f>
        <v/>
      </c>
      <c r="M470" s="23" t="str">
        <f aca="false">IF($B470="","",IF(AND(J470="N",G470&gt;0,K470=0,IFERROR(INDEX(고객사!$H$5:$H$104,MATCH($B470,고객사!$A$5:$A$104,0)),"")="자사 차량 운행"),"차량 미배정",""))</f>
        <v/>
      </c>
      <c r="N470" s="22" t="str">
        <f aca="false">IF($B470="","",IFERROR(INDEX(고객사!$J$5:$J$104,MATCH($B470,고객사!$A$5:$A$104,0)),0))</f>
        <v/>
      </c>
      <c r="O470" s="22" t="str">
        <f aca="false">IF($B470="","",G470*N470)</f>
        <v/>
      </c>
      <c r="P470" s="22" t="str">
        <f aca="false">IF($B470="","",IFERROR(INDEX(고객사!$K$5:$K$104,MATCH($B470,고객사!$A$5:$A$104,0)),0))</f>
        <v/>
      </c>
      <c r="Q470" s="22" t="str">
        <f aca="false">IF($B470="","",G470*P470)</f>
        <v/>
      </c>
      <c r="R470" s="22" t="str">
        <f aca="false">IF($B470="","",O470-Q470-L470)</f>
        <v/>
      </c>
      <c r="S470" s="21" t="str">
        <f aca="false">IF(OR($B470="",N(O470)=0),"",R470/O470)</f>
        <v/>
      </c>
      <c r="T470" s="14"/>
      <c r="U470" s="19" t="n">
        <f aca="false">IF(OR($B470="",$A470=""),0,IF(COUNTIFS($A$5:$A470,$A470,$B$5:$B470,$B470)=1,1,0))</f>
        <v>0</v>
      </c>
    </row>
    <row r="471" customFormat="false" ht="15" hidden="false" customHeight="false" outlineLevel="0" collapsed="false">
      <c r="A471" s="17"/>
      <c r="B471" s="13"/>
      <c r="C471" s="20" t="str">
        <f aca="false">IF($B471="","",IFERROR(INDEX(고객사!$B$5:$B$104,MATCH($B471,고객사!$A$5:$A$104,0)),"코드 확인"))</f>
        <v/>
      </c>
      <c r="D471" s="15"/>
      <c r="E471" s="15"/>
      <c r="F471" s="16"/>
      <c r="G471" s="16"/>
      <c r="H471" s="21" t="str">
        <f aca="false">IF(OR($B471="",F471=0),"",G471/F471)</f>
        <v/>
      </c>
      <c r="I471" s="22" t="str">
        <f aca="false">IF($B471="","",MAX(F471-G471,0))</f>
        <v/>
      </c>
      <c r="J471" s="23" t="str">
        <f aca="false">IF($B471="","",IFERROR(INDEX(고객사!$G$5:$G$104,MATCH($B471,고객사!$A$5:$A$104,0)),""))</f>
        <v/>
      </c>
      <c r="K471" s="16"/>
      <c r="L471" s="22" t="str">
        <f aca="false">IF($B471="","",K471*IFERROR(INDEX(고객사!$L$5:$L$104,MATCH($B471,고객사!$A$5:$A$104,0)),0))</f>
        <v/>
      </c>
      <c r="M471" s="23" t="str">
        <f aca="false">IF($B471="","",IF(AND(J471="N",G471&gt;0,K471=0,IFERROR(INDEX(고객사!$H$5:$H$104,MATCH($B471,고객사!$A$5:$A$104,0)),"")="자사 차량 운행"),"차량 미배정",""))</f>
        <v/>
      </c>
      <c r="N471" s="22" t="str">
        <f aca="false">IF($B471="","",IFERROR(INDEX(고객사!$J$5:$J$104,MATCH($B471,고객사!$A$5:$A$104,0)),0))</f>
        <v/>
      </c>
      <c r="O471" s="22" t="str">
        <f aca="false">IF($B471="","",G471*N471)</f>
        <v/>
      </c>
      <c r="P471" s="22" t="str">
        <f aca="false">IF($B471="","",IFERROR(INDEX(고객사!$K$5:$K$104,MATCH($B471,고객사!$A$5:$A$104,0)),0))</f>
        <v/>
      </c>
      <c r="Q471" s="22" t="str">
        <f aca="false">IF($B471="","",G471*P471)</f>
        <v/>
      </c>
      <c r="R471" s="22" t="str">
        <f aca="false">IF($B471="","",O471-Q471-L471)</f>
        <v/>
      </c>
      <c r="S471" s="21" t="str">
        <f aca="false">IF(OR($B471="",N(O471)=0),"",R471/O471)</f>
        <v/>
      </c>
      <c r="T471" s="14"/>
      <c r="U471" s="19" t="n">
        <f aca="false">IF(OR($B471="",$A471=""),0,IF(COUNTIFS($A$5:$A471,$A471,$B$5:$B471,$B471)=1,1,0))</f>
        <v>0</v>
      </c>
    </row>
    <row r="472" customFormat="false" ht="15" hidden="false" customHeight="false" outlineLevel="0" collapsed="false">
      <c r="A472" s="17"/>
      <c r="B472" s="13"/>
      <c r="C472" s="20" t="str">
        <f aca="false">IF($B472="","",IFERROR(INDEX(고객사!$B$5:$B$104,MATCH($B472,고객사!$A$5:$A$104,0)),"코드 확인"))</f>
        <v/>
      </c>
      <c r="D472" s="15"/>
      <c r="E472" s="15"/>
      <c r="F472" s="16"/>
      <c r="G472" s="16"/>
      <c r="H472" s="21" t="str">
        <f aca="false">IF(OR($B472="",F472=0),"",G472/F472)</f>
        <v/>
      </c>
      <c r="I472" s="22" t="str">
        <f aca="false">IF($B472="","",MAX(F472-G472,0))</f>
        <v/>
      </c>
      <c r="J472" s="23" t="str">
        <f aca="false">IF($B472="","",IFERROR(INDEX(고객사!$G$5:$G$104,MATCH($B472,고객사!$A$5:$A$104,0)),""))</f>
        <v/>
      </c>
      <c r="K472" s="16"/>
      <c r="L472" s="22" t="str">
        <f aca="false">IF($B472="","",K472*IFERROR(INDEX(고객사!$L$5:$L$104,MATCH($B472,고객사!$A$5:$A$104,0)),0))</f>
        <v/>
      </c>
      <c r="M472" s="23" t="str">
        <f aca="false">IF($B472="","",IF(AND(J472="N",G472&gt;0,K472=0,IFERROR(INDEX(고객사!$H$5:$H$104,MATCH($B472,고객사!$A$5:$A$104,0)),"")="자사 차량 운행"),"차량 미배정",""))</f>
        <v/>
      </c>
      <c r="N472" s="22" t="str">
        <f aca="false">IF($B472="","",IFERROR(INDEX(고객사!$J$5:$J$104,MATCH($B472,고객사!$A$5:$A$104,0)),0))</f>
        <v/>
      </c>
      <c r="O472" s="22" t="str">
        <f aca="false">IF($B472="","",G472*N472)</f>
        <v/>
      </c>
      <c r="P472" s="22" t="str">
        <f aca="false">IF($B472="","",IFERROR(INDEX(고객사!$K$5:$K$104,MATCH($B472,고객사!$A$5:$A$104,0)),0))</f>
        <v/>
      </c>
      <c r="Q472" s="22" t="str">
        <f aca="false">IF($B472="","",G472*P472)</f>
        <v/>
      </c>
      <c r="R472" s="22" t="str">
        <f aca="false">IF($B472="","",O472-Q472-L472)</f>
        <v/>
      </c>
      <c r="S472" s="21" t="str">
        <f aca="false">IF(OR($B472="",N(O472)=0),"",R472/O472)</f>
        <v/>
      </c>
      <c r="T472" s="14"/>
      <c r="U472" s="19" t="n">
        <f aca="false">IF(OR($B472="",$A472=""),0,IF(COUNTIFS($A$5:$A472,$A472,$B$5:$B472,$B472)=1,1,0))</f>
        <v>0</v>
      </c>
    </row>
    <row r="473" customFormat="false" ht="15" hidden="false" customHeight="false" outlineLevel="0" collapsed="false">
      <c r="A473" s="17"/>
      <c r="B473" s="13"/>
      <c r="C473" s="20" t="str">
        <f aca="false">IF($B473="","",IFERROR(INDEX(고객사!$B$5:$B$104,MATCH($B473,고객사!$A$5:$A$104,0)),"코드 확인"))</f>
        <v/>
      </c>
      <c r="D473" s="15"/>
      <c r="E473" s="15"/>
      <c r="F473" s="16"/>
      <c r="G473" s="16"/>
      <c r="H473" s="21" t="str">
        <f aca="false">IF(OR($B473="",F473=0),"",G473/F473)</f>
        <v/>
      </c>
      <c r="I473" s="22" t="str">
        <f aca="false">IF($B473="","",MAX(F473-G473,0))</f>
        <v/>
      </c>
      <c r="J473" s="23" t="str">
        <f aca="false">IF($B473="","",IFERROR(INDEX(고객사!$G$5:$G$104,MATCH($B473,고객사!$A$5:$A$104,0)),""))</f>
        <v/>
      </c>
      <c r="K473" s="16"/>
      <c r="L473" s="22" t="str">
        <f aca="false">IF($B473="","",K473*IFERROR(INDEX(고객사!$L$5:$L$104,MATCH($B473,고객사!$A$5:$A$104,0)),0))</f>
        <v/>
      </c>
      <c r="M473" s="23" t="str">
        <f aca="false">IF($B473="","",IF(AND(J473="N",G473&gt;0,K473=0,IFERROR(INDEX(고객사!$H$5:$H$104,MATCH($B473,고객사!$A$5:$A$104,0)),"")="자사 차량 운행"),"차량 미배정",""))</f>
        <v/>
      </c>
      <c r="N473" s="22" t="str">
        <f aca="false">IF($B473="","",IFERROR(INDEX(고객사!$J$5:$J$104,MATCH($B473,고객사!$A$5:$A$104,0)),0))</f>
        <v/>
      </c>
      <c r="O473" s="22" t="str">
        <f aca="false">IF($B473="","",G473*N473)</f>
        <v/>
      </c>
      <c r="P473" s="22" t="str">
        <f aca="false">IF($B473="","",IFERROR(INDEX(고객사!$K$5:$K$104,MATCH($B473,고객사!$A$5:$A$104,0)),0))</f>
        <v/>
      </c>
      <c r="Q473" s="22" t="str">
        <f aca="false">IF($B473="","",G473*P473)</f>
        <v/>
      </c>
      <c r="R473" s="22" t="str">
        <f aca="false">IF($B473="","",O473-Q473-L473)</f>
        <v/>
      </c>
      <c r="S473" s="21" t="str">
        <f aca="false">IF(OR($B473="",N(O473)=0),"",R473/O473)</f>
        <v/>
      </c>
      <c r="T473" s="14"/>
      <c r="U473" s="19" t="n">
        <f aca="false">IF(OR($B473="",$A473=""),0,IF(COUNTIFS($A$5:$A473,$A473,$B$5:$B473,$B473)=1,1,0))</f>
        <v>0</v>
      </c>
    </row>
    <row r="474" customFormat="false" ht="15" hidden="false" customHeight="false" outlineLevel="0" collapsed="false">
      <c r="A474" s="17"/>
      <c r="B474" s="13"/>
      <c r="C474" s="20" t="str">
        <f aca="false">IF($B474="","",IFERROR(INDEX(고객사!$B$5:$B$104,MATCH($B474,고객사!$A$5:$A$104,0)),"코드 확인"))</f>
        <v/>
      </c>
      <c r="D474" s="15"/>
      <c r="E474" s="15"/>
      <c r="F474" s="16"/>
      <c r="G474" s="16"/>
      <c r="H474" s="21" t="str">
        <f aca="false">IF(OR($B474="",F474=0),"",G474/F474)</f>
        <v/>
      </c>
      <c r="I474" s="22" t="str">
        <f aca="false">IF($B474="","",MAX(F474-G474,0))</f>
        <v/>
      </c>
      <c r="J474" s="23" t="str">
        <f aca="false">IF($B474="","",IFERROR(INDEX(고객사!$G$5:$G$104,MATCH($B474,고객사!$A$5:$A$104,0)),""))</f>
        <v/>
      </c>
      <c r="K474" s="16"/>
      <c r="L474" s="22" t="str">
        <f aca="false">IF($B474="","",K474*IFERROR(INDEX(고객사!$L$5:$L$104,MATCH($B474,고객사!$A$5:$A$104,0)),0))</f>
        <v/>
      </c>
      <c r="M474" s="23" t="str">
        <f aca="false">IF($B474="","",IF(AND(J474="N",G474&gt;0,K474=0,IFERROR(INDEX(고객사!$H$5:$H$104,MATCH($B474,고객사!$A$5:$A$104,0)),"")="자사 차량 운행"),"차량 미배정",""))</f>
        <v/>
      </c>
      <c r="N474" s="22" t="str">
        <f aca="false">IF($B474="","",IFERROR(INDEX(고객사!$J$5:$J$104,MATCH($B474,고객사!$A$5:$A$104,0)),0))</f>
        <v/>
      </c>
      <c r="O474" s="22" t="str">
        <f aca="false">IF($B474="","",G474*N474)</f>
        <v/>
      </c>
      <c r="P474" s="22" t="str">
        <f aca="false">IF($B474="","",IFERROR(INDEX(고객사!$K$5:$K$104,MATCH($B474,고객사!$A$5:$A$104,0)),0))</f>
        <v/>
      </c>
      <c r="Q474" s="22" t="str">
        <f aca="false">IF($B474="","",G474*P474)</f>
        <v/>
      </c>
      <c r="R474" s="22" t="str">
        <f aca="false">IF($B474="","",O474-Q474-L474)</f>
        <v/>
      </c>
      <c r="S474" s="21" t="str">
        <f aca="false">IF(OR($B474="",N(O474)=0),"",R474/O474)</f>
        <v/>
      </c>
      <c r="T474" s="14"/>
      <c r="U474" s="19" t="n">
        <f aca="false">IF(OR($B474="",$A474=""),0,IF(COUNTIFS($A$5:$A474,$A474,$B$5:$B474,$B474)=1,1,0))</f>
        <v>0</v>
      </c>
    </row>
    <row r="475" customFormat="false" ht="15" hidden="false" customHeight="false" outlineLevel="0" collapsed="false">
      <c r="A475" s="17"/>
      <c r="B475" s="13"/>
      <c r="C475" s="20" t="str">
        <f aca="false">IF($B475="","",IFERROR(INDEX(고객사!$B$5:$B$104,MATCH($B475,고객사!$A$5:$A$104,0)),"코드 확인"))</f>
        <v/>
      </c>
      <c r="D475" s="15"/>
      <c r="E475" s="15"/>
      <c r="F475" s="16"/>
      <c r="G475" s="16"/>
      <c r="H475" s="21" t="str">
        <f aca="false">IF(OR($B475="",F475=0),"",G475/F475)</f>
        <v/>
      </c>
      <c r="I475" s="22" t="str">
        <f aca="false">IF($B475="","",MAX(F475-G475,0))</f>
        <v/>
      </c>
      <c r="J475" s="23" t="str">
        <f aca="false">IF($B475="","",IFERROR(INDEX(고객사!$G$5:$G$104,MATCH($B475,고객사!$A$5:$A$104,0)),""))</f>
        <v/>
      </c>
      <c r="K475" s="16"/>
      <c r="L475" s="22" t="str">
        <f aca="false">IF($B475="","",K475*IFERROR(INDEX(고객사!$L$5:$L$104,MATCH($B475,고객사!$A$5:$A$104,0)),0))</f>
        <v/>
      </c>
      <c r="M475" s="23" t="str">
        <f aca="false">IF($B475="","",IF(AND(J475="N",G475&gt;0,K475=0,IFERROR(INDEX(고객사!$H$5:$H$104,MATCH($B475,고객사!$A$5:$A$104,0)),"")="자사 차량 운행"),"차량 미배정",""))</f>
        <v/>
      </c>
      <c r="N475" s="22" t="str">
        <f aca="false">IF($B475="","",IFERROR(INDEX(고객사!$J$5:$J$104,MATCH($B475,고객사!$A$5:$A$104,0)),0))</f>
        <v/>
      </c>
      <c r="O475" s="22" t="str">
        <f aca="false">IF($B475="","",G475*N475)</f>
        <v/>
      </c>
      <c r="P475" s="22" t="str">
        <f aca="false">IF($B475="","",IFERROR(INDEX(고객사!$K$5:$K$104,MATCH($B475,고객사!$A$5:$A$104,0)),0))</f>
        <v/>
      </c>
      <c r="Q475" s="22" t="str">
        <f aca="false">IF($B475="","",G475*P475)</f>
        <v/>
      </c>
      <c r="R475" s="22" t="str">
        <f aca="false">IF($B475="","",O475-Q475-L475)</f>
        <v/>
      </c>
      <c r="S475" s="21" t="str">
        <f aca="false">IF(OR($B475="",N(O475)=0),"",R475/O475)</f>
        <v/>
      </c>
      <c r="T475" s="14"/>
      <c r="U475" s="19" t="n">
        <f aca="false">IF(OR($B475="",$A475=""),0,IF(COUNTIFS($A$5:$A475,$A475,$B$5:$B475,$B475)=1,1,0))</f>
        <v>0</v>
      </c>
    </row>
    <row r="476" customFormat="false" ht="15" hidden="false" customHeight="false" outlineLevel="0" collapsed="false">
      <c r="A476" s="17"/>
      <c r="B476" s="13"/>
      <c r="C476" s="20" t="str">
        <f aca="false">IF($B476="","",IFERROR(INDEX(고객사!$B$5:$B$104,MATCH($B476,고객사!$A$5:$A$104,0)),"코드 확인"))</f>
        <v/>
      </c>
      <c r="D476" s="15"/>
      <c r="E476" s="15"/>
      <c r="F476" s="16"/>
      <c r="G476" s="16"/>
      <c r="H476" s="21" t="str">
        <f aca="false">IF(OR($B476="",F476=0),"",G476/F476)</f>
        <v/>
      </c>
      <c r="I476" s="22" t="str">
        <f aca="false">IF($B476="","",MAX(F476-G476,0))</f>
        <v/>
      </c>
      <c r="J476" s="23" t="str">
        <f aca="false">IF($B476="","",IFERROR(INDEX(고객사!$G$5:$G$104,MATCH($B476,고객사!$A$5:$A$104,0)),""))</f>
        <v/>
      </c>
      <c r="K476" s="16"/>
      <c r="L476" s="22" t="str">
        <f aca="false">IF($B476="","",K476*IFERROR(INDEX(고객사!$L$5:$L$104,MATCH($B476,고객사!$A$5:$A$104,0)),0))</f>
        <v/>
      </c>
      <c r="M476" s="23" t="str">
        <f aca="false">IF($B476="","",IF(AND(J476="N",G476&gt;0,K476=0,IFERROR(INDEX(고객사!$H$5:$H$104,MATCH($B476,고객사!$A$5:$A$104,0)),"")="자사 차량 운행"),"차량 미배정",""))</f>
        <v/>
      </c>
      <c r="N476" s="22" t="str">
        <f aca="false">IF($B476="","",IFERROR(INDEX(고객사!$J$5:$J$104,MATCH($B476,고객사!$A$5:$A$104,0)),0))</f>
        <v/>
      </c>
      <c r="O476" s="22" t="str">
        <f aca="false">IF($B476="","",G476*N476)</f>
        <v/>
      </c>
      <c r="P476" s="22" t="str">
        <f aca="false">IF($B476="","",IFERROR(INDEX(고객사!$K$5:$K$104,MATCH($B476,고객사!$A$5:$A$104,0)),0))</f>
        <v/>
      </c>
      <c r="Q476" s="22" t="str">
        <f aca="false">IF($B476="","",G476*P476)</f>
        <v/>
      </c>
      <c r="R476" s="22" t="str">
        <f aca="false">IF($B476="","",O476-Q476-L476)</f>
        <v/>
      </c>
      <c r="S476" s="21" t="str">
        <f aca="false">IF(OR($B476="",N(O476)=0),"",R476/O476)</f>
        <v/>
      </c>
      <c r="T476" s="14"/>
      <c r="U476" s="19" t="n">
        <f aca="false">IF(OR($B476="",$A476=""),0,IF(COUNTIFS($A$5:$A476,$A476,$B$5:$B476,$B476)=1,1,0))</f>
        <v>0</v>
      </c>
    </row>
    <row r="477" customFormat="false" ht="15" hidden="false" customHeight="false" outlineLevel="0" collapsed="false">
      <c r="A477" s="17"/>
      <c r="B477" s="13"/>
      <c r="C477" s="20" t="str">
        <f aca="false">IF($B477="","",IFERROR(INDEX(고객사!$B$5:$B$104,MATCH($B477,고객사!$A$5:$A$104,0)),"코드 확인"))</f>
        <v/>
      </c>
      <c r="D477" s="15"/>
      <c r="E477" s="15"/>
      <c r="F477" s="16"/>
      <c r="G477" s="16"/>
      <c r="H477" s="21" t="str">
        <f aca="false">IF(OR($B477="",F477=0),"",G477/F477)</f>
        <v/>
      </c>
      <c r="I477" s="22" t="str">
        <f aca="false">IF($B477="","",MAX(F477-G477,0))</f>
        <v/>
      </c>
      <c r="J477" s="23" t="str">
        <f aca="false">IF($B477="","",IFERROR(INDEX(고객사!$G$5:$G$104,MATCH($B477,고객사!$A$5:$A$104,0)),""))</f>
        <v/>
      </c>
      <c r="K477" s="16"/>
      <c r="L477" s="22" t="str">
        <f aca="false">IF($B477="","",K477*IFERROR(INDEX(고객사!$L$5:$L$104,MATCH($B477,고객사!$A$5:$A$104,0)),0))</f>
        <v/>
      </c>
      <c r="M477" s="23" t="str">
        <f aca="false">IF($B477="","",IF(AND(J477="N",G477&gt;0,K477=0,IFERROR(INDEX(고객사!$H$5:$H$104,MATCH($B477,고객사!$A$5:$A$104,0)),"")="자사 차량 운행"),"차량 미배정",""))</f>
        <v/>
      </c>
      <c r="N477" s="22" t="str">
        <f aca="false">IF($B477="","",IFERROR(INDEX(고객사!$J$5:$J$104,MATCH($B477,고객사!$A$5:$A$104,0)),0))</f>
        <v/>
      </c>
      <c r="O477" s="22" t="str">
        <f aca="false">IF($B477="","",G477*N477)</f>
        <v/>
      </c>
      <c r="P477" s="22" t="str">
        <f aca="false">IF($B477="","",IFERROR(INDEX(고객사!$K$5:$K$104,MATCH($B477,고객사!$A$5:$A$104,0)),0))</f>
        <v/>
      </c>
      <c r="Q477" s="22" t="str">
        <f aca="false">IF($B477="","",G477*P477)</f>
        <v/>
      </c>
      <c r="R477" s="22" t="str">
        <f aca="false">IF($B477="","",O477-Q477-L477)</f>
        <v/>
      </c>
      <c r="S477" s="21" t="str">
        <f aca="false">IF(OR($B477="",N(O477)=0),"",R477/O477)</f>
        <v/>
      </c>
      <c r="T477" s="14"/>
      <c r="U477" s="19" t="n">
        <f aca="false">IF(OR($B477="",$A477=""),0,IF(COUNTIFS($A$5:$A477,$A477,$B$5:$B477,$B477)=1,1,0))</f>
        <v>0</v>
      </c>
    </row>
    <row r="478" customFormat="false" ht="15" hidden="false" customHeight="false" outlineLevel="0" collapsed="false">
      <c r="A478" s="17"/>
      <c r="B478" s="13"/>
      <c r="C478" s="20" t="str">
        <f aca="false">IF($B478="","",IFERROR(INDEX(고객사!$B$5:$B$104,MATCH($B478,고객사!$A$5:$A$104,0)),"코드 확인"))</f>
        <v/>
      </c>
      <c r="D478" s="15"/>
      <c r="E478" s="15"/>
      <c r="F478" s="16"/>
      <c r="G478" s="16"/>
      <c r="H478" s="21" t="str">
        <f aca="false">IF(OR($B478="",F478=0),"",G478/F478)</f>
        <v/>
      </c>
      <c r="I478" s="22" t="str">
        <f aca="false">IF($B478="","",MAX(F478-G478,0))</f>
        <v/>
      </c>
      <c r="J478" s="23" t="str">
        <f aca="false">IF($B478="","",IFERROR(INDEX(고객사!$G$5:$G$104,MATCH($B478,고객사!$A$5:$A$104,0)),""))</f>
        <v/>
      </c>
      <c r="K478" s="16"/>
      <c r="L478" s="22" t="str">
        <f aca="false">IF($B478="","",K478*IFERROR(INDEX(고객사!$L$5:$L$104,MATCH($B478,고객사!$A$5:$A$104,0)),0))</f>
        <v/>
      </c>
      <c r="M478" s="23" t="str">
        <f aca="false">IF($B478="","",IF(AND(J478="N",G478&gt;0,K478=0,IFERROR(INDEX(고객사!$H$5:$H$104,MATCH($B478,고객사!$A$5:$A$104,0)),"")="자사 차량 운행"),"차량 미배정",""))</f>
        <v/>
      </c>
      <c r="N478" s="22" t="str">
        <f aca="false">IF($B478="","",IFERROR(INDEX(고객사!$J$5:$J$104,MATCH($B478,고객사!$A$5:$A$104,0)),0))</f>
        <v/>
      </c>
      <c r="O478" s="22" t="str">
        <f aca="false">IF($B478="","",G478*N478)</f>
        <v/>
      </c>
      <c r="P478" s="22" t="str">
        <f aca="false">IF($B478="","",IFERROR(INDEX(고객사!$K$5:$K$104,MATCH($B478,고객사!$A$5:$A$104,0)),0))</f>
        <v/>
      </c>
      <c r="Q478" s="22" t="str">
        <f aca="false">IF($B478="","",G478*P478)</f>
        <v/>
      </c>
      <c r="R478" s="22" t="str">
        <f aca="false">IF($B478="","",O478-Q478-L478)</f>
        <v/>
      </c>
      <c r="S478" s="21" t="str">
        <f aca="false">IF(OR($B478="",N(O478)=0),"",R478/O478)</f>
        <v/>
      </c>
      <c r="T478" s="14"/>
      <c r="U478" s="19" t="n">
        <f aca="false">IF(OR($B478="",$A478=""),0,IF(COUNTIFS($A$5:$A478,$A478,$B$5:$B478,$B478)=1,1,0))</f>
        <v>0</v>
      </c>
    </row>
    <row r="479" customFormat="false" ht="15" hidden="false" customHeight="false" outlineLevel="0" collapsed="false">
      <c r="A479" s="17"/>
      <c r="B479" s="13"/>
      <c r="C479" s="20" t="str">
        <f aca="false">IF($B479="","",IFERROR(INDEX(고객사!$B$5:$B$104,MATCH($B479,고객사!$A$5:$A$104,0)),"코드 확인"))</f>
        <v/>
      </c>
      <c r="D479" s="15"/>
      <c r="E479" s="15"/>
      <c r="F479" s="16"/>
      <c r="G479" s="16"/>
      <c r="H479" s="21" t="str">
        <f aca="false">IF(OR($B479="",F479=0),"",G479/F479)</f>
        <v/>
      </c>
      <c r="I479" s="22" t="str">
        <f aca="false">IF($B479="","",MAX(F479-G479,0))</f>
        <v/>
      </c>
      <c r="J479" s="23" t="str">
        <f aca="false">IF($B479="","",IFERROR(INDEX(고객사!$G$5:$G$104,MATCH($B479,고객사!$A$5:$A$104,0)),""))</f>
        <v/>
      </c>
      <c r="K479" s="16"/>
      <c r="L479" s="22" t="str">
        <f aca="false">IF($B479="","",K479*IFERROR(INDEX(고객사!$L$5:$L$104,MATCH($B479,고객사!$A$5:$A$104,0)),0))</f>
        <v/>
      </c>
      <c r="M479" s="23" t="str">
        <f aca="false">IF($B479="","",IF(AND(J479="N",G479&gt;0,K479=0,IFERROR(INDEX(고객사!$H$5:$H$104,MATCH($B479,고객사!$A$5:$A$104,0)),"")="자사 차량 운행"),"차량 미배정",""))</f>
        <v/>
      </c>
      <c r="N479" s="22" t="str">
        <f aca="false">IF($B479="","",IFERROR(INDEX(고객사!$J$5:$J$104,MATCH($B479,고객사!$A$5:$A$104,0)),0))</f>
        <v/>
      </c>
      <c r="O479" s="22" t="str">
        <f aca="false">IF($B479="","",G479*N479)</f>
        <v/>
      </c>
      <c r="P479" s="22" t="str">
        <f aca="false">IF($B479="","",IFERROR(INDEX(고객사!$K$5:$K$104,MATCH($B479,고객사!$A$5:$A$104,0)),0))</f>
        <v/>
      </c>
      <c r="Q479" s="22" t="str">
        <f aca="false">IF($B479="","",G479*P479)</f>
        <v/>
      </c>
      <c r="R479" s="22" t="str">
        <f aca="false">IF($B479="","",O479-Q479-L479)</f>
        <v/>
      </c>
      <c r="S479" s="21" t="str">
        <f aca="false">IF(OR($B479="",N(O479)=0),"",R479/O479)</f>
        <v/>
      </c>
      <c r="T479" s="14"/>
      <c r="U479" s="19" t="n">
        <f aca="false">IF(OR($B479="",$A479=""),0,IF(COUNTIFS($A$5:$A479,$A479,$B$5:$B479,$B479)=1,1,0))</f>
        <v>0</v>
      </c>
    </row>
    <row r="480" customFormat="false" ht="15" hidden="false" customHeight="false" outlineLevel="0" collapsed="false">
      <c r="A480" s="17"/>
      <c r="B480" s="13"/>
      <c r="C480" s="20" t="str">
        <f aca="false">IF($B480="","",IFERROR(INDEX(고객사!$B$5:$B$104,MATCH($B480,고객사!$A$5:$A$104,0)),"코드 확인"))</f>
        <v/>
      </c>
      <c r="D480" s="15"/>
      <c r="E480" s="15"/>
      <c r="F480" s="16"/>
      <c r="G480" s="16"/>
      <c r="H480" s="21" t="str">
        <f aca="false">IF(OR($B480="",F480=0),"",G480/F480)</f>
        <v/>
      </c>
      <c r="I480" s="22" t="str">
        <f aca="false">IF($B480="","",MAX(F480-G480,0))</f>
        <v/>
      </c>
      <c r="J480" s="23" t="str">
        <f aca="false">IF($B480="","",IFERROR(INDEX(고객사!$G$5:$G$104,MATCH($B480,고객사!$A$5:$A$104,0)),""))</f>
        <v/>
      </c>
      <c r="K480" s="16"/>
      <c r="L480" s="22" t="str">
        <f aca="false">IF($B480="","",K480*IFERROR(INDEX(고객사!$L$5:$L$104,MATCH($B480,고객사!$A$5:$A$104,0)),0))</f>
        <v/>
      </c>
      <c r="M480" s="23" t="str">
        <f aca="false">IF($B480="","",IF(AND(J480="N",G480&gt;0,K480=0,IFERROR(INDEX(고객사!$H$5:$H$104,MATCH($B480,고객사!$A$5:$A$104,0)),"")="자사 차량 운행"),"차량 미배정",""))</f>
        <v/>
      </c>
      <c r="N480" s="22" t="str">
        <f aca="false">IF($B480="","",IFERROR(INDEX(고객사!$J$5:$J$104,MATCH($B480,고객사!$A$5:$A$104,0)),0))</f>
        <v/>
      </c>
      <c r="O480" s="22" t="str">
        <f aca="false">IF($B480="","",G480*N480)</f>
        <v/>
      </c>
      <c r="P480" s="22" t="str">
        <f aca="false">IF($B480="","",IFERROR(INDEX(고객사!$K$5:$K$104,MATCH($B480,고객사!$A$5:$A$104,0)),0))</f>
        <v/>
      </c>
      <c r="Q480" s="22" t="str">
        <f aca="false">IF($B480="","",G480*P480)</f>
        <v/>
      </c>
      <c r="R480" s="22" t="str">
        <f aca="false">IF($B480="","",O480-Q480-L480)</f>
        <v/>
      </c>
      <c r="S480" s="21" t="str">
        <f aca="false">IF(OR($B480="",N(O480)=0),"",R480/O480)</f>
        <v/>
      </c>
      <c r="T480" s="14"/>
      <c r="U480" s="19" t="n">
        <f aca="false">IF(OR($B480="",$A480=""),0,IF(COUNTIFS($A$5:$A480,$A480,$B$5:$B480,$B480)=1,1,0))</f>
        <v>0</v>
      </c>
    </row>
    <row r="481" customFormat="false" ht="15" hidden="false" customHeight="false" outlineLevel="0" collapsed="false">
      <c r="A481" s="17"/>
      <c r="B481" s="13"/>
      <c r="C481" s="20" t="str">
        <f aca="false">IF($B481="","",IFERROR(INDEX(고객사!$B$5:$B$104,MATCH($B481,고객사!$A$5:$A$104,0)),"코드 확인"))</f>
        <v/>
      </c>
      <c r="D481" s="15"/>
      <c r="E481" s="15"/>
      <c r="F481" s="16"/>
      <c r="G481" s="16"/>
      <c r="H481" s="21" t="str">
        <f aca="false">IF(OR($B481="",F481=0),"",G481/F481)</f>
        <v/>
      </c>
      <c r="I481" s="22" t="str">
        <f aca="false">IF($B481="","",MAX(F481-G481,0))</f>
        <v/>
      </c>
      <c r="J481" s="23" t="str">
        <f aca="false">IF($B481="","",IFERROR(INDEX(고객사!$G$5:$G$104,MATCH($B481,고객사!$A$5:$A$104,0)),""))</f>
        <v/>
      </c>
      <c r="K481" s="16"/>
      <c r="L481" s="22" t="str">
        <f aca="false">IF($B481="","",K481*IFERROR(INDEX(고객사!$L$5:$L$104,MATCH($B481,고객사!$A$5:$A$104,0)),0))</f>
        <v/>
      </c>
      <c r="M481" s="23" t="str">
        <f aca="false">IF($B481="","",IF(AND(J481="N",G481&gt;0,K481=0,IFERROR(INDEX(고객사!$H$5:$H$104,MATCH($B481,고객사!$A$5:$A$104,0)),"")="자사 차량 운행"),"차량 미배정",""))</f>
        <v/>
      </c>
      <c r="N481" s="22" t="str">
        <f aca="false">IF($B481="","",IFERROR(INDEX(고객사!$J$5:$J$104,MATCH($B481,고객사!$A$5:$A$104,0)),0))</f>
        <v/>
      </c>
      <c r="O481" s="22" t="str">
        <f aca="false">IF($B481="","",G481*N481)</f>
        <v/>
      </c>
      <c r="P481" s="22" t="str">
        <f aca="false">IF($B481="","",IFERROR(INDEX(고객사!$K$5:$K$104,MATCH($B481,고객사!$A$5:$A$104,0)),0))</f>
        <v/>
      </c>
      <c r="Q481" s="22" t="str">
        <f aca="false">IF($B481="","",G481*P481)</f>
        <v/>
      </c>
      <c r="R481" s="22" t="str">
        <f aca="false">IF($B481="","",O481-Q481-L481)</f>
        <v/>
      </c>
      <c r="S481" s="21" t="str">
        <f aca="false">IF(OR($B481="",N(O481)=0),"",R481/O481)</f>
        <v/>
      </c>
      <c r="T481" s="14"/>
      <c r="U481" s="19" t="n">
        <f aca="false">IF(OR($B481="",$A481=""),0,IF(COUNTIFS($A$5:$A481,$A481,$B$5:$B481,$B481)=1,1,0))</f>
        <v>0</v>
      </c>
    </row>
    <row r="482" customFormat="false" ht="15" hidden="false" customHeight="false" outlineLevel="0" collapsed="false">
      <c r="A482" s="17"/>
      <c r="B482" s="13"/>
      <c r="C482" s="20" t="str">
        <f aca="false">IF($B482="","",IFERROR(INDEX(고객사!$B$5:$B$104,MATCH($B482,고객사!$A$5:$A$104,0)),"코드 확인"))</f>
        <v/>
      </c>
      <c r="D482" s="15"/>
      <c r="E482" s="15"/>
      <c r="F482" s="16"/>
      <c r="G482" s="16"/>
      <c r="H482" s="21" t="str">
        <f aca="false">IF(OR($B482="",F482=0),"",G482/F482)</f>
        <v/>
      </c>
      <c r="I482" s="22" t="str">
        <f aca="false">IF($B482="","",MAX(F482-G482,0))</f>
        <v/>
      </c>
      <c r="J482" s="23" t="str">
        <f aca="false">IF($B482="","",IFERROR(INDEX(고객사!$G$5:$G$104,MATCH($B482,고객사!$A$5:$A$104,0)),""))</f>
        <v/>
      </c>
      <c r="K482" s="16"/>
      <c r="L482" s="22" t="str">
        <f aca="false">IF($B482="","",K482*IFERROR(INDEX(고객사!$L$5:$L$104,MATCH($B482,고객사!$A$5:$A$104,0)),0))</f>
        <v/>
      </c>
      <c r="M482" s="23" t="str">
        <f aca="false">IF($B482="","",IF(AND(J482="N",G482&gt;0,K482=0,IFERROR(INDEX(고객사!$H$5:$H$104,MATCH($B482,고객사!$A$5:$A$104,0)),"")="자사 차량 운행"),"차량 미배정",""))</f>
        <v/>
      </c>
      <c r="N482" s="22" t="str">
        <f aca="false">IF($B482="","",IFERROR(INDEX(고객사!$J$5:$J$104,MATCH($B482,고객사!$A$5:$A$104,0)),0))</f>
        <v/>
      </c>
      <c r="O482" s="22" t="str">
        <f aca="false">IF($B482="","",G482*N482)</f>
        <v/>
      </c>
      <c r="P482" s="22" t="str">
        <f aca="false">IF($B482="","",IFERROR(INDEX(고객사!$K$5:$K$104,MATCH($B482,고객사!$A$5:$A$104,0)),0))</f>
        <v/>
      </c>
      <c r="Q482" s="22" t="str">
        <f aca="false">IF($B482="","",G482*P482)</f>
        <v/>
      </c>
      <c r="R482" s="22" t="str">
        <f aca="false">IF($B482="","",O482-Q482-L482)</f>
        <v/>
      </c>
      <c r="S482" s="21" t="str">
        <f aca="false">IF(OR($B482="",N(O482)=0),"",R482/O482)</f>
        <v/>
      </c>
      <c r="T482" s="14"/>
      <c r="U482" s="19" t="n">
        <f aca="false">IF(OR($B482="",$A482=""),0,IF(COUNTIFS($A$5:$A482,$A482,$B$5:$B482,$B482)=1,1,0))</f>
        <v>0</v>
      </c>
    </row>
    <row r="483" customFormat="false" ht="15" hidden="false" customHeight="false" outlineLevel="0" collapsed="false">
      <c r="A483" s="17"/>
      <c r="B483" s="13"/>
      <c r="C483" s="20" t="str">
        <f aca="false">IF($B483="","",IFERROR(INDEX(고객사!$B$5:$B$104,MATCH($B483,고객사!$A$5:$A$104,0)),"코드 확인"))</f>
        <v/>
      </c>
      <c r="D483" s="15"/>
      <c r="E483" s="15"/>
      <c r="F483" s="16"/>
      <c r="G483" s="16"/>
      <c r="H483" s="21" t="str">
        <f aca="false">IF(OR($B483="",F483=0),"",G483/F483)</f>
        <v/>
      </c>
      <c r="I483" s="22" t="str">
        <f aca="false">IF($B483="","",MAX(F483-G483,0))</f>
        <v/>
      </c>
      <c r="J483" s="23" t="str">
        <f aca="false">IF($B483="","",IFERROR(INDEX(고객사!$G$5:$G$104,MATCH($B483,고객사!$A$5:$A$104,0)),""))</f>
        <v/>
      </c>
      <c r="K483" s="16"/>
      <c r="L483" s="22" t="str">
        <f aca="false">IF($B483="","",K483*IFERROR(INDEX(고객사!$L$5:$L$104,MATCH($B483,고객사!$A$5:$A$104,0)),0))</f>
        <v/>
      </c>
      <c r="M483" s="23" t="str">
        <f aca="false">IF($B483="","",IF(AND(J483="N",G483&gt;0,K483=0,IFERROR(INDEX(고객사!$H$5:$H$104,MATCH($B483,고객사!$A$5:$A$104,0)),"")="자사 차량 운행"),"차량 미배정",""))</f>
        <v/>
      </c>
      <c r="N483" s="22" t="str">
        <f aca="false">IF($B483="","",IFERROR(INDEX(고객사!$J$5:$J$104,MATCH($B483,고객사!$A$5:$A$104,0)),0))</f>
        <v/>
      </c>
      <c r="O483" s="22" t="str">
        <f aca="false">IF($B483="","",G483*N483)</f>
        <v/>
      </c>
      <c r="P483" s="22" t="str">
        <f aca="false">IF($B483="","",IFERROR(INDEX(고객사!$K$5:$K$104,MATCH($B483,고객사!$A$5:$A$104,0)),0))</f>
        <v/>
      </c>
      <c r="Q483" s="22" t="str">
        <f aca="false">IF($B483="","",G483*P483)</f>
        <v/>
      </c>
      <c r="R483" s="22" t="str">
        <f aca="false">IF($B483="","",O483-Q483-L483)</f>
        <v/>
      </c>
      <c r="S483" s="21" t="str">
        <f aca="false">IF(OR($B483="",N(O483)=0),"",R483/O483)</f>
        <v/>
      </c>
      <c r="T483" s="14"/>
      <c r="U483" s="19" t="n">
        <f aca="false">IF(OR($B483="",$A483=""),0,IF(COUNTIFS($A$5:$A483,$A483,$B$5:$B483,$B483)=1,1,0))</f>
        <v>0</v>
      </c>
    </row>
    <row r="484" customFormat="false" ht="15" hidden="false" customHeight="false" outlineLevel="0" collapsed="false">
      <c r="A484" s="17"/>
      <c r="B484" s="13"/>
      <c r="C484" s="20" t="str">
        <f aca="false">IF($B484="","",IFERROR(INDEX(고객사!$B$5:$B$104,MATCH($B484,고객사!$A$5:$A$104,0)),"코드 확인"))</f>
        <v/>
      </c>
      <c r="D484" s="15"/>
      <c r="E484" s="15"/>
      <c r="F484" s="16"/>
      <c r="G484" s="16"/>
      <c r="H484" s="21" t="str">
        <f aca="false">IF(OR($B484="",F484=0),"",G484/F484)</f>
        <v/>
      </c>
      <c r="I484" s="22" t="str">
        <f aca="false">IF($B484="","",MAX(F484-G484,0))</f>
        <v/>
      </c>
      <c r="J484" s="23" t="str">
        <f aca="false">IF($B484="","",IFERROR(INDEX(고객사!$G$5:$G$104,MATCH($B484,고객사!$A$5:$A$104,0)),""))</f>
        <v/>
      </c>
      <c r="K484" s="16"/>
      <c r="L484" s="22" t="str">
        <f aca="false">IF($B484="","",K484*IFERROR(INDEX(고객사!$L$5:$L$104,MATCH($B484,고객사!$A$5:$A$104,0)),0))</f>
        <v/>
      </c>
      <c r="M484" s="23" t="str">
        <f aca="false">IF($B484="","",IF(AND(J484="N",G484&gt;0,K484=0,IFERROR(INDEX(고객사!$H$5:$H$104,MATCH($B484,고객사!$A$5:$A$104,0)),"")="자사 차량 운행"),"차량 미배정",""))</f>
        <v/>
      </c>
      <c r="N484" s="22" t="str">
        <f aca="false">IF($B484="","",IFERROR(INDEX(고객사!$J$5:$J$104,MATCH($B484,고객사!$A$5:$A$104,0)),0))</f>
        <v/>
      </c>
      <c r="O484" s="22" t="str">
        <f aca="false">IF($B484="","",G484*N484)</f>
        <v/>
      </c>
      <c r="P484" s="22" t="str">
        <f aca="false">IF($B484="","",IFERROR(INDEX(고객사!$K$5:$K$104,MATCH($B484,고객사!$A$5:$A$104,0)),0))</f>
        <v/>
      </c>
      <c r="Q484" s="22" t="str">
        <f aca="false">IF($B484="","",G484*P484)</f>
        <v/>
      </c>
      <c r="R484" s="22" t="str">
        <f aca="false">IF($B484="","",O484-Q484-L484)</f>
        <v/>
      </c>
      <c r="S484" s="21" t="str">
        <f aca="false">IF(OR($B484="",N(O484)=0),"",R484/O484)</f>
        <v/>
      </c>
      <c r="T484" s="14"/>
      <c r="U484" s="19" t="n">
        <f aca="false">IF(OR($B484="",$A484=""),0,IF(COUNTIFS($A$5:$A484,$A484,$B$5:$B484,$B484)=1,1,0))</f>
        <v>0</v>
      </c>
    </row>
    <row r="485" customFormat="false" ht="15" hidden="false" customHeight="false" outlineLevel="0" collapsed="false">
      <c r="A485" s="17"/>
      <c r="B485" s="13"/>
      <c r="C485" s="20" t="str">
        <f aca="false">IF($B485="","",IFERROR(INDEX(고객사!$B$5:$B$104,MATCH($B485,고객사!$A$5:$A$104,0)),"코드 확인"))</f>
        <v/>
      </c>
      <c r="D485" s="15"/>
      <c r="E485" s="15"/>
      <c r="F485" s="16"/>
      <c r="G485" s="16"/>
      <c r="H485" s="21" t="str">
        <f aca="false">IF(OR($B485="",F485=0),"",G485/F485)</f>
        <v/>
      </c>
      <c r="I485" s="22" t="str">
        <f aca="false">IF($B485="","",MAX(F485-G485,0))</f>
        <v/>
      </c>
      <c r="J485" s="23" t="str">
        <f aca="false">IF($B485="","",IFERROR(INDEX(고객사!$G$5:$G$104,MATCH($B485,고객사!$A$5:$A$104,0)),""))</f>
        <v/>
      </c>
      <c r="K485" s="16"/>
      <c r="L485" s="22" t="str">
        <f aca="false">IF($B485="","",K485*IFERROR(INDEX(고객사!$L$5:$L$104,MATCH($B485,고객사!$A$5:$A$104,0)),0))</f>
        <v/>
      </c>
      <c r="M485" s="23" t="str">
        <f aca="false">IF($B485="","",IF(AND(J485="N",G485&gt;0,K485=0,IFERROR(INDEX(고객사!$H$5:$H$104,MATCH($B485,고객사!$A$5:$A$104,0)),"")="자사 차량 운행"),"차량 미배정",""))</f>
        <v/>
      </c>
      <c r="N485" s="22" t="str">
        <f aca="false">IF($B485="","",IFERROR(INDEX(고객사!$J$5:$J$104,MATCH($B485,고객사!$A$5:$A$104,0)),0))</f>
        <v/>
      </c>
      <c r="O485" s="22" t="str">
        <f aca="false">IF($B485="","",G485*N485)</f>
        <v/>
      </c>
      <c r="P485" s="22" t="str">
        <f aca="false">IF($B485="","",IFERROR(INDEX(고객사!$K$5:$K$104,MATCH($B485,고객사!$A$5:$A$104,0)),0))</f>
        <v/>
      </c>
      <c r="Q485" s="22" t="str">
        <f aca="false">IF($B485="","",G485*P485)</f>
        <v/>
      </c>
      <c r="R485" s="22" t="str">
        <f aca="false">IF($B485="","",O485-Q485-L485)</f>
        <v/>
      </c>
      <c r="S485" s="21" t="str">
        <f aca="false">IF(OR($B485="",N(O485)=0),"",R485/O485)</f>
        <v/>
      </c>
      <c r="T485" s="14"/>
      <c r="U485" s="19" t="n">
        <f aca="false">IF(OR($B485="",$A485=""),0,IF(COUNTIFS($A$5:$A485,$A485,$B$5:$B485,$B485)=1,1,0))</f>
        <v>0</v>
      </c>
    </row>
    <row r="486" customFormat="false" ht="15" hidden="false" customHeight="false" outlineLevel="0" collapsed="false">
      <c r="A486" s="17"/>
      <c r="B486" s="13"/>
      <c r="C486" s="20" t="str">
        <f aca="false">IF($B486="","",IFERROR(INDEX(고객사!$B$5:$B$104,MATCH($B486,고객사!$A$5:$A$104,0)),"코드 확인"))</f>
        <v/>
      </c>
      <c r="D486" s="15"/>
      <c r="E486" s="15"/>
      <c r="F486" s="16"/>
      <c r="G486" s="16"/>
      <c r="H486" s="21" t="str">
        <f aca="false">IF(OR($B486="",F486=0),"",G486/F486)</f>
        <v/>
      </c>
      <c r="I486" s="22" t="str">
        <f aca="false">IF($B486="","",MAX(F486-G486,0))</f>
        <v/>
      </c>
      <c r="J486" s="23" t="str">
        <f aca="false">IF($B486="","",IFERROR(INDEX(고객사!$G$5:$G$104,MATCH($B486,고객사!$A$5:$A$104,0)),""))</f>
        <v/>
      </c>
      <c r="K486" s="16"/>
      <c r="L486" s="22" t="str">
        <f aca="false">IF($B486="","",K486*IFERROR(INDEX(고객사!$L$5:$L$104,MATCH($B486,고객사!$A$5:$A$104,0)),0))</f>
        <v/>
      </c>
      <c r="M486" s="23" t="str">
        <f aca="false">IF($B486="","",IF(AND(J486="N",G486&gt;0,K486=0,IFERROR(INDEX(고객사!$H$5:$H$104,MATCH($B486,고객사!$A$5:$A$104,0)),"")="자사 차량 운행"),"차량 미배정",""))</f>
        <v/>
      </c>
      <c r="N486" s="22" t="str">
        <f aca="false">IF($B486="","",IFERROR(INDEX(고객사!$J$5:$J$104,MATCH($B486,고객사!$A$5:$A$104,0)),0))</f>
        <v/>
      </c>
      <c r="O486" s="22" t="str">
        <f aca="false">IF($B486="","",G486*N486)</f>
        <v/>
      </c>
      <c r="P486" s="22" t="str">
        <f aca="false">IF($B486="","",IFERROR(INDEX(고객사!$K$5:$K$104,MATCH($B486,고객사!$A$5:$A$104,0)),0))</f>
        <v/>
      </c>
      <c r="Q486" s="22" t="str">
        <f aca="false">IF($B486="","",G486*P486)</f>
        <v/>
      </c>
      <c r="R486" s="22" t="str">
        <f aca="false">IF($B486="","",O486-Q486-L486)</f>
        <v/>
      </c>
      <c r="S486" s="21" t="str">
        <f aca="false">IF(OR($B486="",N(O486)=0),"",R486/O486)</f>
        <v/>
      </c>
      <c r="T486" s="14"/>
      <c r="U486" s="19" t="n">
        <f aca="false">IF(OR($B486="",$A486=""),0,IF(COUNTIFS($A$5:$A486,$A486,$B$5:$B486,$B486)=1,1,0))</f>
        <v>0</v>
      </c>
    </row>
    <row r="487" customFormat="false" ht="15" hidden="false" customHeight="false" outlineLevel="0" collapsed="false">
      <c r="A487" s="17"/>
      <c r="B487" s="13"/>
      <c r="C487" s="20" t="str">
        <f aca="false">IF($B487="","",IFERROR(INDEX(고객사!$B$5:$B$104,MATCH($B487,고객사!$A$5:$A$104,0)),"코드 확인"))</f>
        <v/>
      </c>
      <c r="D487" s="15"/>
      <c r="E487" s="15"/>
      <c r="F487" s="16"/>
      <c r="G487" s="16"/>
      <c r="H487" s="21" t="str">
        <f aca="false">IF(OR($B487="",F487=0),"",G487/F487)</f>
        <v/>
      </c>
      <c r="I487" s="22" t="str">
        <f aca="false">IF($B487="","",MAX(F487-G487,0))</f>
        <v/>
      </c>
      <c r="J487" s="23" t="str">
        <f aca="false">IF($B487="","",IFERROR(INDEX(고객사!$G$5:$G$104,MATCH($B487,고객사!$A$5:$A$104,0)),""))</f>
        <v/>
      </c>
      <c r="K487" s="16"/>
      <c r="L487" s="22" t="str">
        <f aca="false">IF($B487="","",K487*IFERROR(INDEX(고객사!$L$5:$L$104,MATCH($B487,고객사!$A$5:$A$104,0)),0))</f>
        <v/>
      </c>
      <c r="M487" s="23" t="str">
        <f aca="false">IF($B487="","",IF(AND(J487="N",G487&gt;0,K487=0,IFERROR(INDEX(고객사!$H$5:$H$104,MATCH($B487,고객사!$A$5:$A$104,0)),"")="자사 차량 운행"),"차량 미배정",""))</f>
        <v/>
      </c>
      <c r="N487" s="22" t="str">
        <f aca="false">IF($B487="","",IFERROR(INDEX(고객사!$J$5:$J$104,MATCH($B487,고객사!$A$5:$A$104,0)),0))</f>
        <v/>
      </c>
      <c r="O487" s="22" t="str">
        <f aca="false">IF($B487="","",G487*N487)</f>
        <v/>
      </c>
      <c r="P487" s="22" t="str">
        <f aca="false">IF($B487="","",IFERROR(INDEX(고객사!$K$5:$K$104,MATCH($B487,고객사!$A$5:$A$104,0)),0))</f>
        <v/>
      </c>
      <c r="Q487" s="22" t="str">
        <f aca="false">IF($B487="","",G487*P487)</f>
        <v/>
      </c>
      <c r="R487" s="22" t="str">
        <f aca="false">IF($B487="","",O487-Q487-L487)</f>
        <v/>
      </c>
      <c r="S487" s="21" t="str">
        <f aca="false">IF(OR($B487="",N(O487)=0),"",R487/O487)</f>
        <v/>
      </c>
      <c r="T487" s="14"/>
      <c r="U487" s="19" t="n">
        <f aca="false">IF(OR($B487="",$A487=""),0,IF(COUNTIFS($A$5:$A487,$A487,$B$5:$B487,$B487)=1,1,0))</f>
        <v>0</v>
      </c>
    </row>
    <row r="488" customFormat="false" ht="15" hidden="false" customHeight="false" outlineLevel="0" collapsed="false">
      <c r="A488" s="17"/>
      <c r="B488" s="13"/>
      <c r="C488" s="20" t="str">
        <f aca="false">IF($B488="","",IFERROR(INDEX(고객사!$B$5:$B$104,MATCH($B488,고객사!$A$5:$A$104,0)),"코드 확인"))</f>
        <v/>
      </c>
      <c r="D488" s="15"/>
      <c r="E488" s="15"/>
      <c r="F488" s="16"/>
      <c r="G488" s="16"/>
      <c r="H488" s="21" t="str">
        <f aca="false">IF(OR($B488="",F488=0),"",G488/F488)</f>
        <v/>
      </c>
      <c r="I488" s="22" t="str">
        <f aca="false">IF($B488="","",MAX(F488-G488,0))</f>
        <v/>
      </c>
      <c r="J488" s="23" t="str">
        <f aca="false">IF($B488="","",IFERROR(INDEX(고객사!$G$5:$G$104,MATCH($B488,고객사!$A$5:$A$104,0)),""))</f>
        <v/>
      </c>
      <c r="K488" s="16"/>
      <c r="L488" s="22" t="str">
        <f aca="false">IF($B488="","",K488*IFERROR(INDEX(고객사!$L$5:$L$104,MATCH($B488,고객사!$A$5:$A$104,0)),0))</f>
        <v/>
      </c>
      <c r="M488" s="23" t="str">
        <f aca="false">IF($B488="","",IF(AND(J488="N",G488&gt;0,K488=0,IFERROR(INDEX(고객사!$H$5:$H$104,MATCH($B488,고객사!$A$5:$A$104,0)),"")="자사 차량 운행"),"차량 미배정",""))</f>
        <v/>
      </c>
      <c r="N488" s="22" t="str">
        <f aca="false">IF($B488="","",IFERROR(INDEX(고객사!$J$5:$J$104,MATCH($B488,고객사!$A$5:$A$104,0)),0))</f>
        <v/>
      </c>
      <c r="O488" s="22" t="str">
        <f aca="false">IF($B488="","",G488*N488)</f>
        <v/>
      </c>
      <c r="P488" s="22" t="str">
        <f aca="false">IF($B488="","",IFERROR(INDEX(고객사!$K$5:$K$104,MATCH($B488,고객사!$A$5:$A$104,0)),0))</f>
        <v/>
      </c>
      <c r="Q488" s="22" t="str">
        <f aca="false">IF($B488="","",G488*P488)</f>
        <v/>
      </c>
      <c r="R488" s="22" t="str">
        <f aca="false">IF($B488="","",O488-Q488-L488)</f>
        <v/>
      </c>
      <c r="S488" s="21" t="str">
        <f aca="false">IF(OR($B488="",N(O488)=0),"",R488/O488)</f>
        <v/>
      </c>
      <c r="T488" s="14"/>
      <c r="U488" s="19" t="n">
        <f aca="false">IF(OR($B488="",$A488=""),0,IF(COUNTIFS($A$5:$A488,$A488,$B$5:$B488,$B488)=1,1,0))</f>
        <v>0</v>
      </c>
    </row>
    <row r="489" customFormat="false" ht="15" hidden="false" customHeight="false" outlineLevel="0" collapsed="false">
      <c r="A489" s="17"/>
      <c r="B489" s="13"/>
      <c r="C489" s="20" t="str">
        <f aca="false">IF($B489="","",IFERROR(INDEX(고객사!$B$5:$B$104,MATCH($B489,고객사!$A$5:$A$104,0)),"코드 확인"))</f>
        <v/>
      </c>
      <c r="D489" s="15"/>
      <c r="E489" s="15"/>
      <c r="F489" s="16"/>
      <c r="G489" s="16"/>
      <c r="H489" s="21" t="str">
        <f aca="false">IF(OR($B489="",F489=0),"",G489/F489)</f>
        <v/>
      </c>
      <c r="I489" s="22" t="str">
        <f aca="false">IF($B489="","",MAX(F489-G489,0))</f>
        <v/>
      </c>
      <c r="J489" s="23" t="str">
        <f aca="false">IF($B489="","",IFERROR(INDEX(고객사!$G$5:$G$104,MATCH($B489,고객사!$A$5:$A$104,0)),""))</f>
        <v/>
      </c>
      <c r="K489" s="16"/>
      <c r="L489" s="22" t="str">
        <f aca="false">IF($B489="","",K489*IFERROR(INDEX(고객사!$L$5:$L$104,MATCH($B489,고객사!$A$5:$A$104,0)),0))</f>
        <v/>
      </c>
      <c r="M489" s="23" t="str">
        <f aca="false">IF($B489="","",IF(AND(J489="N",G489&gt;0,K489=0,IFERROR(INDEX(고객사!$H$5:$H$104,MATCH($B489,고객사!$A$5:$A$104,0)),"")="자사 차량 운행"),"차량 미배정",""))</f>
        <v/>
      </c>
      <c r="N489" s="22" t="str">
        <f aca="false">IF($B489="","",IFERROR(INDEX(고객사!$J$5:$J$104,MATCH($B489,고객사!$A$5:$A$104,0)),0))</f>
        <v/>
      </c>
      <c r="O489" s="22" t="str">
        <f aca="false">IF($B489="","",G489*N489)</f>
        <v/>
      </c>
      <c r="P489" s="22" t="str">
        <f aca="false">IF($B489="","",IFERROR(INDEX(고객사!$K$5:$K$104,MATCH($B489,고객사!$A$5:$A$104,0)),0))</f>
        <v/>
      </c>
      <c r="Q489" s="22" t="str">
        <f aca="false">IF($B489="","",G489*P489)</f>
        <v/>
      </c>
      <c r="R489" s="22" t="str">
        <f aca="false">IF($B489="","",O489-Q489-L489)</f>
        <v/>
      </c>
      <c r="S489" s="21" t="str">
        <f aca="false">IF(OR($B489="",N(O489)=0),"",R489/O489)</f>
        <v/>
      </c>
      <c r="T489" s="14"/>
      <c r="U489" s="19" t="n">
        <f aca="false">IF(OR($B489="",$A489=""),0,IF(COUNTIFS($A$5:$A489,$A489,$B$5:$B489,$B489)=1,1,0))</f>
        <v>0</v>
      </c>
    </row>
    <row r="490" customFormat="false" ht="15" hidden="false" customHeight="false" outlineLevel="0" collapsed="false">
      <c r="A490" s="17"/>
      <c r="B490" s="13"/>
      <c r="C490" s="20" t="str">
        <f aca="false">IF($B490="","",IFERROR(INDEX(고객사!$B$5:$B$104,MATCH($B490,고객사!$A$5:$A$104,0)),"코드 확인"))</f>
        <v/>
      </c>
      <c r="D490" s="15"/>
      <c r="E490" s="15"/>
      <c r="F490" s="16"/>
      <c r="G490" s="16"/>
      <c r="H490" s="21" t="str">
        <f aca="false">IF(OR($B490="",F490=0),"",G490/F490)</f>
        <v/>
      </c>
      <c r="I490" s="22" t="str">
        <f aca="false">IF($B490="","",MAX(F490-G490,0))</f>
        <v/>
      </c>
      <c r="J490" s="23" t="str">
        <f aca="false">IF($B490="","",IFERROR(INDEX(고객사!$G$5:$G$104,MATCH($B490,고객사!$A$5:$A$104,0)),""))</f>
        <v/>
      </c>
      <c r="K490" s="16"/>
      <c r="L490" s="22" t="str">
        <f aca="false">IF($B490="","",K490*IFERROR(INDEX(고객사!$L$5:$L$104,MATCH($B490,고객사!$A$5:$A$104,0)),0))</f>
        <v/>
      </c>
      <c r="M490" s="23" t="str">
        <f aca="false">IF($B490="","",IF(AND(J490="N",G490&gt;0,K490=0,IFERROR(INDEX(고객사!$H$5:$H$104,MATCH($B490,고객사!$A$5:$A$104,0)),"")="자사 차량 운행"),"차량 미배정",""))</f>
        <v/>
      </c>
      <c r="N490" s="22" t="str">
        <f aca="false">IF($B490="","",IFERROR(INDEX(고객사!$J$5:$J$104,MATCH($B490,고객사!$A$5:$A$104,0)),0))</f>
        <v/>
      </c>
      <c r="O490" s="22" t="str">
        <f aca="false">IF($B490="","",G490*N490)</f>
        <v/>
      </c>
      <c r="P490" s="22" t="str">
        <f aca="false">IF($B490="","",IFERROR(INDEX(고객사!$K$5:$K$104,MATCH($B490,고객사!$A$5:$A$104,0)),0))</f>
        <v/>
      </c>
      <c r="Q490" s="22" t="str">
        <f aca="false">IF($B490="","",G490*P490)</f>
        <v/>
      </c>
      <c r="R490" s="22" t="str">
        <f aca="false">IF($B490="","",O490-Q490-L490)</f>
        <v/>
      </c>
      <c r="S490" s="21" t="str">
        <f aca="false">IF(OR($B490="",N(O490)=0),"",R490/O490)</f>
        <v/>
      </c>
      <c r="T490" s="14"/>
      <c r="U490" s="19" t="n">
        <f aca="false">IF(OR($B490="",$A490=""),0,IF(COUNTIFS($A$5:$A490,$A490,$B$5:$B490,$B490)=1,1,0))</f>
        <v>0</v>
      </c>
    </row>
    <row r="491" customFormat="false" ht="15" hidden="false" customHeight="false" outlineLevel="0" collapsed="false">
      <c r="A491" s="17"/>
      <c r="B491" s="13"/>
      <c r="C491" s="20" t="str">
        <f aca="false">IF($B491="","",IFERROR(INDEX(고객사!$B$5:$B$104,MATCH($B491,고객사!$A$5:$A$104,0)),"코드 확인"))</f>
        <v/>
      </c>
      <c r="D491" s="15"/>
      <c r="E491" s="15"/>
      <c r="F491" s="16"/>
      <c r="G491" s="16"/>
      <c r="H491" s="21" t="str">
        <f aca="false">IF(OR($B491="",F491=0),"",G491/F491)</f>
        <v/>
      </c>
      <c r="I491" s="22" t="str">
        <f aca="false">IF($B491="","",MAX(F491-G491,0))</f>
        <v/>
      </c>
      <c r="J491" s="23" t="str">
        <f aca="false">IF($B491="","",IFERROR(INDEX(고객사!$G$5:$G$104,MATCH($B491,고객사!$A$5:$A$104,0)),""))</f>
        <v/>
      </c>
      <c r="K491" s="16"/>
      <c r="L491" s="22" t="str">
        <f aca="false">IF($B491="","",K491*IFERROR(INDEX(고객사!$L$5:$L$104,MATCH($B491,고객사!$A$5:$A$104,0)),0))</f>
        <v/>
      </c>
      <c r="M491" s="23" t="str">
        <f aca="false">IF($B491="","",IF(AND(J491="N",G491&gt;0,K491=0,IFERROR(INDEX(고객사!$H$5:$H$104,MATCH($B491,고객사!$A$5:$A$104,0)),"")="자사 차량 운행"),"차량 미배정",""))</f>
        <v/>
      </c>
      <c r="N491" s="22" t="str">
        <f aca="false">IF($B491="","",IFERROR(INDEX(고객사!$J$5:$J$104,MATCH($B491,고객사!$A$5:$A$104,0)),0))</f>
        <v/>
      </c>
      <c r="O491" s="22" t="str">
        <f aca="false">IF($B491="","",G491*N491)</f>
        <v/>
      </c>
      <c r="P491" s="22" t="str">
        <f aca="false">IF($B491="","",IFERROR(INDEX(고객사!$K$5:$K$104,MATCH($B491,고객사!$A$5:$A$104,0)),0))</f>
        <v/>
      </c>
      <c r="Q491" s="22" t="str">
        <f aca="false">IF($B491="","",G491*P491)</f>
        <v/>
      </c>
      <c r="R491" s="22" t="str">
        <f aca="false">IF($B491="","",O491-Q491-L491)</f>
        <v/>
      </c>
      <c r="S491" s="21" t="str">
        <f aca="false">IF(OR($B491="",N(O491)=0),"",R491/O491)</f>
        <v/>
      </c>
      <c r="T491" s="14"/>
      <c r="U491" s="19" t="n">
        <f aca="false">IF(OR($B491="",$A491=""),0,IF(COUNTIFS($A$5:$A491,$A491,$B$5:$B491,$B491)=1,1,0))</f>
        <v>0</v>
      </c>
    </row>
    <row r="492" customFormat="false" ht="15" hidden="false" customHeight="false" outlineLevel="0" collapsed="false">
      <c r="A492" s="17"/>
      <c r="B492" s="13"/>
      <c r="C492" s="20" t="str">
        <f aca="false">IF($B492="","",IFERROR(INDEX(고객사!$B$5:$B$104,MATCH($B492,고객사!$A$5:$A$104,0)),"코드 확인"))</f>
        <v/>
      </c>
      <c r="D492" s="15"/>
      <c r="E492" s="15"/>
      <c r="F492" s="16"/>
      <c r="G492" s="16"/>
      <c r="H492" s="21" t="str">
        <f aca="false">IF(OR($B492="",F492=0),"",G492/F492)</f>
        <v/>
      </c>
      <c r="I492" s="22" t="str">
        <f aca="false">IF($B492="","",MAX(F492-G492,0))</f>
        <v/>
      </c>
      <c r="J492" s="23" t="str">
        <f aca="false">IF($B492="","",IFERROR(INDEX(고객사!$G$5:$G$104,MATCH($B492,고객사!$A$5:$A$104,0)),""))</f>
        <v/>
      </c>
      <c r="K492" s="16"/>
      <c r="L492" s="22" t="str">
        <f aca="false">IF($B492="","",K492*IFERROR(INDEX(고객사!$L$5:$L$104,MATCH($B492,고객사!$A$5:$A$104,0)),0))</f>
        <v/>
      </c>
      <c r="M492" s="23" t="str">
        <f aca="false">IF($B492="","",IF(AND(J492="N",G492&gt;0,K492=0,IFERROR(INDEX(고객사!$H$5:$H$104,MATCH($B492,고객사!$A$5:$A$104,0)),"")="자사 차량 운행"),"차량 미배정",""))</f>
        <v/>
      </c>
      <c r="N492" s="22" t="str">
        <f aca="false">IF($B492="","",IFERROR(INDEX(고객사!$J$5:$J$104,MATCH($B492,고객사!$A$5:$A$104,0)),0))</f>
        <v/>
      </c>
      <c r="O492" s="22" t="str">
        <f aca="false">IF($B492="","",G492*N492)</f>
        <v/>
      </c>
      <c r="P492" s="22" t="str">
        <f aca="false">IF($B492="","",IFERROR(INDEX(고객사!$K$5:$K$104,MATCH($B492,고객사!$A$5:$A$104,0)),0))</f>
        <v/>
      </c>
      <c r="Q492" s="22" t="str">
        <f aca="false">IF($B492="","",G492*P492)</f>
        <v/>
      </c>
      <c r="R492" s="22" t="str">
        <f aca="false">IF($B492="","",O492-Q492-L492)</f>
        <v/>
      </c>
      <c r="S492" s="21" t="str">
        <f aca="false">IF(OR($B492="",N(O492)=0),"",R492/O492)</f>
        <v/>
      </c>
      <c r="T492" s="14"/>
      <c r="U492" s="19" t="n">
        <f aca="false">IF(OR($B492="",$A492=""),0,IF(COUNTIFS($A$5:$A492,$A492,$B$5:$B492,$B492)=1,1,0))</f>
        <v>0</v>
      </c>
    </row>
    <row r="493" customFormat="false" ht="15" hidden="false" customHeight="false" outlineLevel="0" collapsed="false">
      <c r="A493" s="17"/>
      <c r="B493" s="13"/>
      <c r="C493" s="20" t="str">
        <f aca="false">IF($B493="","",IFERROR(INDEX(고객사!$B$5:$B$104,MATCH($B493,고객사!$A$5:$A$104,0)),"코드 확인"))</f>
        <v/>
      </c>
      <c r="D493" s="15"/>
      <c r="E493" s="15"/>
      <c r="F493" s="16"/>
      <c r="G493" s="16"/>
      <c r="H493" s="21" t="str">
        <f aca="false">IF(OR($B493="",F493=0),"",G493/F493)</f>
        <v/>
      </c>
      <c r="I493" s="22" t="str">
        <f aca="false">IF($B493="","",MAX(F493-G493,0))</f>
        <v/>
      </c>
      <c r="J493" s="23" t="str">
        <f aca="false">IF($B493="","",IFERROR(INDEX(고객사!$G$5:$G$104,MATCH($B493,고객사!$A$5:$A$104,0)),""))</f>
        <v/>
      </c>
      <c r="K493" s="16"/>
      <c r="L493" s="22" t="str">
        <f aca="false">IF($B493="","",K493*IFERROR(INDEX(고객사!$L$5:$L$104,MATCH($B493,고객사!$A$5:$A$104,0)),0))</f>
        <v/>
      </c>
      <c r="M493" s="23" t="str">
        <f aca="false">IF($B493="","",IF(AND(J493="N",G493&gt;0,K493=0,IFERROR(INDEX(고객사!$H$5:$H$104,MATCH($B493,고객사!$A$5:$A$104,0)),"")="자사 차량 운행"),"차량 미배정",""))</f>
        <v/>
      </c>
      <c r="N493" s="22" t="str">
        <f aca="false">IF($B493="","",IFERROR(INDEX(고객사!$J$5:$J$104,MATCH($B493,고객사!$A$5:$A$104,0)),0))</f>
        <v/>
      </c>
      <c r="O493" s="22" t="str">
        <f aca="false">IF($B493="","",G493*N493)</f>
        <v/>
      </c>
      <c r="P493" s="22" t="str">
        <f aca="false">IF($B493="","",IFERROR(INDEX(고객사!$K$5:$K$104,MATCH($B493,고객사!$A$5:$A$104,0)),0))</f>
        <v/>
      </c>
      <c r="Q493" s="22" t="str">
        <f aca="false">IF($B493="","",G493*P493)</f>
        <v/>
      </c>
      <c r="R493" s="22" t="str">
        <f aca="false">IF($B493="","",O493-Q493-L493)</f>
        <v/>
      </c>
      <c r="S493" s="21" t="str">
        <f aca="false">IF(OR($B493="",N(O493)=0),"",R493/O493)</f>
        <v/>
      </c>
      <c r="T493" s="14"/>
      <c r="U493" s="19" t="n">
        <f aca="false">IF(OR($B493="",$A493=""),0,IF(COUNTIFS($A$5:$A493,$A493,$B$5:$B493,$B493)=1,1,0))</f>
        <v>0</v>
      </c>
    </row>
    <row r="494" customFormat="false" ht="15" hidden="false" customHeight="false" outlineLevel="0" collapsed="false">
      <c r="A494" s="17"/>
      <c r="B494" s="13"/>
      <c r="C494" s="20" t="str">
        <f aca="false">IF($B494="","",IFERROR(INDEX(고객사!$B$5:$B$104,MATCH($B494,고객사!$A$5:$A$104,0)),"코드 확인"))</f>
        <v/>
      </c>
      <c r="D494" s="15"/>
      <c r="E494" s="15"/>
      <c r="F494" s="16"/>
      <c r="G494" s="16"/>
      <c r="H494" s="21" t="str">
        <f aca="false">IF(OR($B494="",F494=0),"",G494/F494)</f>
        <v/>
      </c>
      <c r="I494" s="22" t="str">
        <f aca="false">IF($B494="","",MAX(F494-G494,0))</f>
        <v/>
      </c>
      <c r="J494" s="23" t="str">
        <f aca="false">IF($B494="","",IFERROR(INDEX(고객사!$G$5:$G$104,MATCH($B494,고객사!$A$5:$A$104,0)),""))</f>
        <v/>
      </c>
      <c r="K494" s="16"/>
      <c r="L494" s="22" t="str">
        <f aca="false">IF($B494="","",K494*IFERROR(INDEX(고객사!$L$5:$L$104,MATCH($B494,고객사!$A$5:$A$104,0)),0))</f>
        <v/>
      </c>
      <c r="M494" s="23" t="str">
        <f aca="false">IF($B494="","",IF(AND(J494="N",G494&gt;0,K494=0,IFERROR(INDEX(고객사!$H$5:$H$104,MATCH($B494,고객사!$A$5:$A$104,0)),"")="자사 차량 운행"),"차량 미배정",""))</f>
        <v/>
      </c>
      <c r="N494" s="22" t="str">
        <f aca="false">IF($B494="","",IFERROR(INDEX(고객사!$J$5:$J$104,MATCH($B494,고객사!$A$5:$A$104,0)),0))</f>
        <v/>
      </c>
      <c r="O494" s="22" t="str">
        <f aca="false">IF($B494="","",G494*N494)</f>
        <v/>
      </c>
      <c r="P494" s="22" t="str">
        <f aca="false">IF($B494="","",IFERROR(INDEX(고객사!$K$5:$K$104,MATCH($B494,고객사!$A$5:$A$104,0)),0))</f>
        <v/>
      </c>
      <c r="Q494" s="22" t="str">
        <f aca="false">IF($B494="","",G494*P494)</f>
        <v/>
      </c>
      <c r="R494" s="22" t="str">
        <f aca="false">IF($B494="","",O494-Q494-L494)</f>
        <v/>
      </c>
      <c r="S494" s="21" t="str">
        <f aca="false">IF(OR($B494="",N(O494)=0),"",R494/O494)</f>
        <v/>
      </c>
      <c r="T494" s="14"/>
      <c r="U494" s="19" t="n">
        <f aca="false">IF(OR($B494="",$A494=""),0,IF(COUNTIFS($A$5:$A494,$A494,$B$5:$B494,$B494)=1,1,0))</f>
        <v>0</v>
      </c>
    </row>
    <row r="495" customFormat="false" ht="15" hidden="false" customHeight="false" outlineLevel="0" collapsed="false">
      <c r="A495" s="17"/>
      <c r="B495" s="13"/>
      <c r="C495" s="20" t="str">
        <f aca="false">IF($B495="","",IFERROR(INDEX(고객사!$B$5:$B$104,MATCH($B495,고객사!$A$5:$A$104,0)),"코드 확인"))</f>
        <v/>
      </c>
      <c r="D495" s="15"/>
      <c r="E495" s="15"/>
      <c r="F495" s="16"/>
      <c r="G495" s="16"/>
      <c r="H495" s="21" t="str">
        <f aca="false">IF(OR($B495="",F495=0),"",G495/F495)</f>
        <v/>
      </c>
      <c r="I495" s="22" t="str">
        <f aca="false">IF($B495="","",MAX(F495-G495,0))</f>
        <v/>
      </c>
      <c r="J495" s="23" t="str">
        <f aca="false">IF($B495="","",IFERROR(INDEX(고객사!$G$5:$G$104,MATCH($B495,고객사!$A$5:$A$104,0)),""))</f>
        <v/>
      </c>
      <c r="K495" s="16"/>
      <c r="L495" s="22" t="str">
        <f aca="false">IF($B495="","",K495*IFERROR(INDEX(고객사!$L$5:$L$104,MATCH($B495,고객사!$A$5:$A$104,0)),0))</f>
        <v/>
      </c>
      <c r="M495" s="23" t="str">
        <f aca="false">IF($B495="","",IF(AND(J495="N",G495&gt;0,K495=0,IFERROR(INDEX(고객사!$H$5:$H$104,MATCH($B495,고객사!$A$5:$A$104,0)),"")="자사 차량 운행"),"차량 미배정",""))</f>
        <v/>
      </c>
      <c r="N495" s="22" t="str">
        <f aca="false">IF($B495="","",IFERROR(INDEX(고객사!$J$5:$J$104,MATCH($B495,고객사!$A$5:$A$104,0)),0))</f>
        <v/>
      </c>
      <c r="O495" s="22" t="str">
        <f aca="false">IF($B495="","",G495*N495)</f>
        <v/>
      </c>
      <c r="P495" s="22" t="str">
        <f aca="false">IF($B495="","",IFERROR(INDEX(고객사!$K$5:$K$104,MATCH($B495,고객사!$A$5:$A$104,0)),0))</f>
        <v/>
      </c>
      <c r="Q495" s="22" t="str">
        <f aca="false">IF($B495="","",G495*P495)</f>
        <v/>
      </c>
      <c r="R495" s="22" t="str">
        <f aca="false">IF($B495="","",O495-Q495-L495)</f>
        <v/>
      </c>
      <c r="S495" s="21" t="str">
        <f aca="false">IF(OR($B495="",N(O495)=0),"",R495/O495)</f>
        <v/>
      </c>
      <c r="T495" s="14"/>
      <c r="U495" s="19" t="n">
        <f aca="false">IF(OR($B495="",$A495=""),0,IF(COUNTIFS($A$5:$A495,$A495,$B$5:$B495,$B495)=1,1,0))</f>
        <v>0</v>
      </c>
    </row>
    <row r="496" customFormat="false" ht="15" hidden="false" customHeight="false" outlineLevel="0" collapsed="false">
      <c r="A496" s="17"/>
      <c r="B496" s="13"/>
      <c r="C496" s="20" t="str">
        <f aca="false">IF($B496="","",IFERROR(INDEX(고객사!$B$5:$B$104,MATCH($B496,고객사!$A$5:$A$104,0)),"코드 확인"))</f>
        <v/>
      </c>
      <c r="D496" s="15"/>
      <c r="E496" s="15"/>
      <c r="F496" s="16"/>
      <c r="G496" s="16"/>
      <c r="H496" s="21" t="str">
        <f aca="false">IF(OR($B496="",F496=0),"",G496/F496)</f>
        <v/>
      </c>
      <c r="I496" s="22" t="str">
        <f aca="false">IF($B496="","",MAX(F496-G496,0))</f>
        <v/>
      </c>
      <c r="J496" s="23" t="str">
        <f aca="false">IF($B496="","",IFERROR(INDEX(고객사!$G$5:$G$104,MATCH($B496,고객사!$A$5:$A$104,0)),""))</f>
        <v/>
      </c>
      <c r="K496" s="16"/>
      <c r="L496" s="22" t="str">
        <f aca="false">IF($B496="","",K496*IFERROR(INDEX(고객사!$L$5:$L$104,MATCH($B496,고객사!$A$5:$A$104,0)),0))</f>
        <v/>
      </c>
      <c r="M496" s="23" t="str">
        <f aca="false">IF($B496="","",IF(AND(J496="N",G496&gt;0,K496=0,IFERROR(INDEX(고객사!$H$5:$H$104,MATCH($B496,고객사!$A$5:$A$104,0)),"")="자사 차량 운행"),"차량 미배정",""))</f>
        <v/>
      </c>
      <c r="N496" s="22" t="str">
        <f aca="false">IF($B496="","",IFERROR(INDEX(고객사!$J$5:$J$104,MATCH($B496,고객사!$A$5:$A$104,0)),0))</f>
        <v/>
      </c>
      <c r="O496" s="22" t="str">
        <f aca="false">IF($B496="","",G496*N496)</f>
        <v/>
      </c>
      <c r="P496" s="22" t="str">
        <f aca="false">IF($B496="","",IFERROR(INDEX(고객사!$K$5:$K$104,MATCH($B496,고객사!$A$5:$A$104,0)),0))</f>
        <v/>
      </c>
      <c r="Q496" s="22" t="str">
        <f aca="false">IF($B496="","",G496*P496)</f>
        <v/>
      </c>
      <c r="R496" s="22" t="str">
        <f aca="false">IF($B496="","",O496-Q496-L496)</f>
        <v/>
      </c>
      <c r="S496" s="21" t="str">
        <f aca="false">IF(OR($B496="",N(O496)=0),"",R496/O496)</f>
        <v/>
      </c>
      <c r="T496" s="14"/>
      <c r="U496" s="19" t="n">
        <f aca="false">IF(OR($B496="",$A496=""),0,IF(COUNTIFS($A$5:$A496,$A496,$B$5:$B496,$B496)=1,1,0))</f>
        <v>0</v>
      </c>
    </row>
    <row r="497" customFormat="false" ht="15" hidden="false" customHeight="false" outlineLevel="0" collapsed="false">
      <c r="A497" s="17"/>
      <c r="B497" s="13"/>
      <c r="C497" s="20" t="str">
        <f aca="false">IF($B497="","",IFERROR(INDEX(고객사!$B$5:$B$104,MATCH($B497,고객사!$A$5:$A$104,0)),"코드 확인"))</f>
        <v/>
      </c>
      <c r="D497" s="15"/>
      <c r="E497" s="15"/>
      <c r="F497" s="16"/>
      <c r="G497" s="16"/>
      <c r="H497" s="21" t="str">
        <f aca="false">IF(OR($B497="",F497=0),"",G497/F497)</f>
        <v/>
      </c>
      <c r="I497" s="22" t="str">
        <f aca="false">IF($B497="","",MAX(F497-G497,0))</f>
        <v/>
      </c>
      <c r="J497" s="23" t="str">
        <f aca="false">IF($B497="","",IFERROR(INDEX(고객사!$G$5:$G$104,MATCH($B497,고객사!$A$5:$A$104,0)),""))</f>
        <v/>
      </c>
      <c r="K497" s="16"/>
      <c r="L497" s="22" t="str">
        <f aca="false">IF($B497="","",K497*IFERROR(INDEX(고객사!$L$5:$L$104,MATCH($B497,고객사!$A$5:$A$104,0)),0))</f>
        <v/>
      </c>
      <c r="M497" s="23" t="str">
        <f aca="false">IF($B497="","",IF(AND(J497="N",G497&gt;0,K497=0,IFERROR(INDEX(고객사!$H$5:$H$104,MATCH($B497,고객사!$A$5:$A$104,0)),"")="자사 차량 운행"),"차량 미배정",""))</f>
        <v/>
      </c>
      <c r="N497" s="22" t="str">
        <f aca="false">IF($B497="","",IFERROR(INDEX(고객사!$J$5:$J$104,MATCH($B497,고객사!$A$5:$A$104,0)),0))</f>
        <v/>
      </c>
      <c r="O497" s="22" t="str">
        <f aca="false">IF($B497="","",G497*N497)</f>
        <v/>
      </c>
      <c r="P497" s="22" t="str">
        <f aca="false">IF($B497="","",IFERROR(INDEX(고객사!$K$5:$K$104,MATCH($B497,고객사!$A$5:$A$104,0)),0))</f>
        <v/>
      </c>
      <c r="Q497" s="22" t="str">
        <f aca="false">IF($B497="","",G497*P497)</f>
        <v/>
      </c>
      <c r="R497" s="22" t="str">
        <f aca="false">IF($B497="","",O497-Q497-L497)</f>
        <v/>
      </c>
      <c r="S497" s="21" t="str">
        <f aca="false">IF(OR($B497="",N(O497)=0),"",R497/O497)</f>
        <v/>
      </c>
      <c r="T497" s="14"/>
      <c r="U497" s="19" t="n">
        <f aca="false">IF(OR($B497="",$A497=""),0,IF(COUNTIFS($A$5:$A497,$A497,$B$5:$B497,$B497)=1,1,0))</f>
        <v>0</v>
      </c>
    </row>
    <row r="498" customFormat="false" ht="15" hidden="false" customHeight="false" outlineLevel="0" collapsed="false">
      <c r="A498" s="17"/>
      <c r="B498" s="13"/>
      <c r="C498" s="20" t="str">
        <f aca="false">IF($B498="","",IFERROR(INDEX(고객사!$B$5:$B$104,MATCH($B498,고객사!$A$5:$A$104,0)),"코드 확인"))</f>
        <v/>
      </c>
      <c r="D498" s="15"/>
      <c r="E498" s="15"/>
      <c r="F498" s="16"/>
      <c r="G498" s="16"/>
      <c r="H498" s="21" t="str">
        <f aca="false">IF(OR($B498="",F498=0),"",G498/F498)</f>
        <v/>
      </c>
      <c r="I498" s="22" t="str">
        <f aca="false">IF($B498="","",MAX(F498-G498,0))</f>
        <v/>
      </c>
      <c r="J498" s="23" t="str">
        <f aca="false">IF($B498="","",IFERROR(INDEX(고객사!$G$5:$G$104,MATCH($B498,고객사!$A$5:$A$104,0)),""))</f>
        <v/>
      </c>
      <c r="K498" s="16"/>
      <c r="L498" s="22" t="str">
        <f aca="false">IF($B498="","",K498*IFERROR(INDEX(고객사!$L$5:$L$104,MATCH($B498,고객사!$A$5:$A$104,0)),0))</f>
        <v/>
      </c>
      <c r="M498" s="23" t="str">
        <f aca="false">IF($B498="","",IF(AND(J498="N",G498&gt;0,K498=0,IFERROR(INDEX(고객사!$H$5:$H$104,MATCH($B498,고객사!$A$5:$A$104,0)),"")="자사 차량 운행"),"차량 미배정",""))</f>
        <v/>
      </c>
      <c r="N498" s="22" t="str">
        <f aca="false">IF($B498="","",IFERROR(INDEX(고객사!$J$5:$J$104,MATCH($B498,고객사!$A$5:$A$104,0)),0))</f>
        <v/>
      </c>
      <c r="O498" s="22" t="str">
        <f aca="false">IF($B498="","",G498*N498)</f>
        <v/>
      </c>
      <c r="P498" s="22" t="str">
        <f aca="false">IF($B498="","",IFERROR(INDEX(고객사!$K$5:$K$104,MATCH($B498,고객사!$A$5:$A$104,0)),0))</f>
        <v/>
      </c>
      <c r="Q498" s="22" t="str">
        <f aca="false">IF($B498="","",G498*P498)</f>
        <v/>
      </c>
      <c r="R498" s="22" t="str">
        <f aca="false">IF($B498="","",O498-Q498-L498)</f>
        <v/>
      </c>
      <c r="S498" s="21" t="str">
        <f aca="false">IF(OR($B498="",N(O498)=0),"",R498/O498)</f>
        <v/>
      </c>
      <c r="T498" s="14"/>
      <c r="U498" s="19" t="n">
        <f aca="false">IF(OR($B498="",$A498=""),0,IF(COUNTIFS($A$5:$A498,$A498,$B$5:$B498,$B498)=1,1,0))</f>
        <v>0</v>
      </c>
    </row>
    <row r="499" customFormat="false" ht="15" hidden="false" customHeight="false" outlineLevel="0" collapsed="false">
      <c r="A499" s="17"/>
      <c r="B499" s="13"/>
      <c r="C499" s="20" t="str">
        <f aca="false">IF($B499="","",IFERROR(INDEX(고객사!$B$5:$B$104,MATCH($B499,고객사!$A$5:$A$104,0)),"코드 확인"))</f>
        <v/>
      </c>
      <c r="D499" s="15"/>
      <c r="E499" s="15"/>
      <c r="F499" s="16"/>
      <c r="G499" s="16"/>
      <c r="H499" s="21" t="str">
        <f aca="false">IF(OR($B499="",F499=0),"",G499/F499)</f>
        <v/>
      </c>
      <c r="I499" s="22" t="str">
        <f aca="false">IF($B499="","",MAX(F499-G499,0))</f>
        <v/>
      </c>
      <c r="J499" s="23" t="str">
        <f aca="false">IF($B499="","",IFERROR(INDEX(고객사!$G$5:$G$104,MATCH($B499,고객사!$A$5:$A$104,0)),""))</f>
        <v/>
      </c>
      <c r="K499" s="16"/>
      <c r="L499" s="22" t="str">
        <f aca="false">IF($B499="","",K499*IFERROR(INDEX(고객사!$L$5:$L$104,MATCH($B499,고객사!$A$5:$A$104,0)),0))</f>
        <v/>
      </c>
      <c r="M499" s="23" t="str">
        <f aca="false">IF($B499="","",IF(AND(J499="N",G499&gt;0,K499=0,IFERROR(INDEX(고객사!$H$5:$H$104,MATCH($B499,고객사!$A$5:$A$104,0)),"")="자사 차량 운행"),"차량 미배정",""))</f>
        <v/>
      </c>
      <c r="N499" s="22" t="str">
        <f aca="false">IF($B499="","",IFERROR(INDEX(고객사!$J$5:$J$104,MATCH($B499,고객사!$A$5:$A$104,0)),0))</f>
        <v/>
      </c>
      <c r="O499" s="22" t="str">
        <f aca="false">IF($B499="","",G499*N499)</f>
        <v/>
      </c>
      <c r="P499" s="22" t="str">
        <f aca="false">IF($B499="","",IFERROR(INDEX(고객사!$K$5:$K$104,MATCH($B499,고객사!$A$5:$A$104,0)),0))</f>
        <v/>
      </c>
      <c r="Q499" s="22" t="str">
        <f aca="false">IF($B499="","",G499*P499)</f>
        <v/>
      </c>
      <c r="R499" s="22" t="str">
        <f aca="false">IF($B499="","",O499-Q499-L499)</f>
        <v/>
      </c>
      <c r="S499" s="21" t="str">
        <f aca="false">IF(OR($B499="",N(O499)=0),"",R499/O499)</f>
        <v/>
      </c>
      <c r="T499" s="14"/>
      <c r="U499" s="19" t="n">
        <f aca="false">IF(OR($B499="",$A499=""),0,IF(COUNTIFS($A$5:$A499,$A499,$B$5:$B499,$B499)=1,1,0))</f>
        <v>0</v>
      </c>
    </row>
    <row r="500" customFormat="false" ht="15" hidden="false" customHeight="false" outlineLevel="0" collapsed="false">
      <c r="A500" s="17"/>
      <c r="B500" s="13"/>
      <c r="C500" s="20" t="str">
        <f aca="false">IF($B500="","",IFERROR(INDEX(고객사!$B$5:$B$104,MATCH($B500,고객사!$A$5:$A$104,0)),"코드 확인"))</f>
        <v/>
      </c>
      <c r="D500" s="15"/>
      <c r="E500" s="15"/>
      <c r="F500" s="16"/>
      <c r="G500" s="16"/>
      <c r="H500" s="21" t="str">
        <f aca="false">IF(OR($B500="",F500=0),"",G500/F500)</f>
        <v/>
      </c>
      <c r="I500" s="22" t="str">
        <f aca="false">IF($B500="","",MAX(F500-G500,0))</f>
        <v/>
      </c>
      <c r="J500" s="23" t="str">
        <f aca="false">IF($B500="","",IFERROR(INDEX(고객사!$G$5:$G$104,MATCH($B500,고객사!$A$5:$A$104,0)),""))</f>
        <v/>
      </c>
      <c r="K500" s="16"/>
      <c r="L500" s="22" t="str">
        <f aca="false">IF($B500="","",K500*IFERROR(INDEX(고객사!$L$5:$L$104,MATCH($B500,고객사!$A$5:$A$104,0)),0))</f>
        <v/>
      </c>
      <c r="M500" s="23" t="str">
        <f aca="false">IF($B500="","",IF(AND(J500="N",G500&gt;0,K500=0,IFERROR(INDEX(고객사!$H$5:$H$104,MATCH($B500,고객사!$A$5:$A$104,0)),"")="자사 차량 운행"),"차량 미배정",""))</f>
        <v/>
      </c>
      <c r="N500" s="22" t="str">
        <f aca="false">IF($B500="","",IFERROR(INDEX(고객사!$J$5:$J$104,MATCH($B500,고객사!$A$5:$A$104,0)),0))</f>
        <v/>
      </c>
      <c r="O500" s="22" t="str">
        <f aca="false">IF($B500="","",G500*N500)</f>
        <v/>
      </c>
      <c r="P500" s="22" t="str">
        <f aca="false">IF($B500="","",IFERROR(INDEX(고객사!$K$5:$K$104,MATCH($B500,고객사!$A$5:$A$104,0)),0))</f>
        <v/>
      </c>
      <c r="Q500" s="22" t="str">
        <f aca="false">IF($B500="","",G500*P500)</f>
        <v/>
      </c>
      <c r="R500" s="22" t="str">
        <f aca="false">IF($B500="","",O500-Q500-L500)</f>
        <v/>
      </c>
      <c r="S500" s="21" t="str">
        <f aca="false">IF(OR($B500="",N(O500)=0),"",R500/O500)</f>
        <v/>
      </c>
      <c r="T500" s="14"/>
      <c r="U500" s="19" t="n">
        <f aca="false">IF(OR($B500="",$A500=""),0,IF(COUNTIFS($A$5:$A500,$A500,$B$5:$B500,$B500)=1,1,0))</f>
        <v>0</v>
      </c>
    </row>
    <row r="501" customFormat="false" ht="15" hidden="false" customHeight="false" outlineLevel="0" collapsed="false">
      <c r="A501" s="17"/>
      <c r="B501" s="13"/>
      <c r="C501" s="20" t="str">
        <f aca="false">IF($B501="","",IFERROR(INDEX(고객사!$B$5:$B$104,MATCH($B501,고객사!$A$5:$A$104,0)),"코드 확인"))</f>
        <v/>
      </c>
      <c r="D501" s="15"/>
      <c r="E501" s="15"/>
      <c r="F501" s="16"/>
      <c r="G501" s="16"/>
      <c r="H501" s="21" t="str">
        <f aca="false">IF(OR($B501="",F501=0),"",G501/F501)</f>
        <v/>
      </c>
      <c r="I501" s="22" t="str">
        <f aca="false">IF($B501="","",MAX(F501-G501,0))</f>
        <v/>
      </c>
      <c r="J501" s="23" t="str">
        <f aca="false">IF($B501="","",IFERROR(INDEX(고객사!$G$5:$G$104,MATCH($B501,고객사!$A$5:$A$104,0)),""))</f>
        <v/>
      </c>
      <c r="K501" s="16"/>
      <c r="L501" s="22" t="str">
        <f aca="false">IF($B501="","",K501*IFERROR(INDEX(고객사!$L$5:$L$104,MATCH($B501,고객사!$A$5:$A$104,0)),0))</f>
        <v/>
      </c>
      <c r="M501" s="23" t="str">
        <f aca="false">IF($B501="","",IF(AND(J501="N",G501&gt;0,K501=0,IFERROR(INDEX(고객사!$H$5:$H$104,MATCH($B501,고객사!$A$5:$A$104,0)),"")="자사 차량 운행"),"차량 미배정",""))</f>
        <v/>
      </c>
      <c r="N501" s="22" t="str">
        <f aca="false">IF($B501="","",IFERROR(INDEX(고객사!$J$5:$J$104,MATCH($B501,고객사!$A$5:$A$104,0)),0))</f>
        <v/>
      </c>
      <c r="O501" s="22" t="str">
        <f aca="false">IF($B501="","",G501*N501)</f>
        <v/>
      </c>
      <c r="P501" s="22" t="str">
        <f aca="false">IF($B501="","",IFERROR(INDEX(고객사!$K$5:$K$104,MATCH($B501,고객사!$A$5:$A$104,0)),0))</f>
        <v/>
      </c>
      <c r="Q501" s="22" t="str">
        <f aca="false">IF($B501="","",G501*P501)</f>
        <v/>
      </c>
      <c r="R501" s="22" t="str">
        <f aca="false">IF($B501="","",O501-Q501-L501)</f>
        <v/>
      </c>
      <c r="S501" s="21" t="str">
        <f aca="false">IF(OR($B501="",N(O501)=0),"",R501/O501)</f>
        <v/>
      </c>
      <c r="T501" s="14"/>
      <c r="U501" s="19" t="n">
        <f aca="false">IF(OR($B501="",$A501=""),0,IF(COUNTIFS($A$5:$A501,$A501,$B$5:$B501,$B501)=1,1,0))</f>
        <v>0</v>
      </c>
    </row>
    <row r="502" customFormat="false" ht="15" hidden="false" customHeight="false" outlineLevel="0" collapsed="false">
      <c r="A502" s="17"/>
      <c r="B502" s="13"/>
      <c r="C502" s="20" t="str">
        <f aca="false">IF($B502="","",IFERROR(INDEX(고객사!$B$5:$B$104,MATCH($B502,고객사!$A$5:$A$104,0)),"코드 확인"))</f>
        <v/>
      </c>
      <c r="D502" s="15"/>
      <c r="E502" s="15"/>
      <c r="F502" s="16"/>
      <c r="G502" s="16"/>
      <c r="H502" s="21" t="str">
        <f aca="false">IF(OR($B502="",F502=0),"",G502/F502)</f>
        <v/>
      </c>
      <c r="I502" s="22" t="str">
        <f aca="false">IF($B502="","",MAX(F502-G502,0))</f>
        <v/>
      </c>
      <c r="J502" s="23" t="str">
        <f aca="false">IF($B502="","",IFERROR(INDEX(고객사!$G$5:$G$104,MATCH($B502,고객사!$A$5:$A$104,0)),""))</f>
        <v/>
      </c>
      <c r="K502" s="16"/>
      <c r="L502" s="22" t="str">
        <f aca="false">IF($B502="","",K502*IFERROR(INDEX(고객사!$L$5:$L$104,MATCH($B502,고객사!$A$5:$A$104,0)),0))</f>
        <v/>
      </c>
      <c r="M502" s="23" t="str">
        <f aca="false">IF($B502="","",IF(AND(J502="N",G502&gt;0,K502=0,IFERROR(INDEX(고객사!$H$5:$H$104,MATCH($B502,고객사!$A$5:$A$104,0)),"")="자사 차량 운행"),"차량 미배정",""))</f>
        <v/>
      </c>
      <c r="N502" s="22" t="str">
        <f aca="false">IF($B502="","",IFERROR(INDEX(고객사!$J$5:$J$104,MATCH($B502,고객사!$A$5:$A$104,0)),0))</f>
        <v/>
      </c>
      <c r="O502" s="22" t="str">
        <f aca="false">IF($B502="","",G502*N502)</f>
        <v/>
      </c>
      <c r="P502" s="22" t="str">
        <f aca="false">IF($B502="","",IFERROR(INDEX(고객사!$K$5:$K$104,MATCH($B502,고객사!$A$5:$A$104,0)),0))</f>
        <v/>
      </c>
      <c r="Q502" s="22" t="str">
        <f aca="false">IF($B502="","",G502*P502)</f>
        <v/>
      </c>
      <c r="R502" s="22" t="str">
        <f aca="false">IF($B502="","",O502-Q502-L502)</f>
        <v/>
      </c>
      <c r="S502" s="21" t="str">
        <f aca="false">IF(OR($B502="",N(O502)=0),"",R502/O502)</f>
        <v/>
      </c>
      <c r="T502" s="14"/>
      <c r="U502" s="19" t="n">
        <f aca="false">IF(OR($B502="",$A502=""),0,IF(COUNTIFS($A$5:$A502,$A502,$B$5:$B502,$B502)=1,1,0))</f>
        <v>0</v>
      </c>
    </row>
    <row r="503" customFormat="false" ht="15" hidden="false" customHeight="false" outlineLevel="0" collapsed="false">
      <c r="A503" s="17"/>
      <c r="B503" s="13"/>
      <c r="C503" s="20" t="str">
        <f aca="false">IF($B503="","",IFERROR(INDEX(고객사!$B$5:$B$104,MATCH($B503,고객사!$A$5:$A$104,0)),"코드 확인"))</f>
        <v/>
      </c>
      <c r="D503" s="15"/>
      <c r="E503" s="15"/>
      <c r="F503" s="16"/>
      <c r="G503" s="16"/>
      <c r="H503" s="21" t="str">
        <f aca="false">IF(OR($B503="",F503=0),"",G503/F503)</f>
        <v/>
      </c>
      <c r="I503" s="22" t="str">
        <f aca="false">IF($B503="","",MAX(F503-G503,0))</f>
        <v/>
      </c>
      <c r="J503" s="23" t="str">
        <f aca="false">IF($B503="","",IFERROR(INDEX(고객사!$G$5:$G$104,MATCH($B503,고객사!$A$5:$A$104,0)),""))</f>
        <v/>
      </c>
      <c r="K503" s="16"/>
      <c r="L503" s="22" t="str">
        <f aca="false">IF($B503="","",K503*IFERROR(INDEX(고객사!$L$5:$L$104,MATCH($B503,고객사!$A$5:$A$104,0)),0))</f>
        <v/>
      </c>
      <c r="M503" s="23" t="str">
        <f aca="false">IF($B503="","",IF(AND(J503="N",G503&gt;0,K503=0,IFERROR(INDEX(고객사!$H$5:$H$104,MATCH($B503,고객사!$A$5:$A$104,0)),"")="자사 차량 운행"),"차량 미배정",""))</f>
        <v/>
      </c>
      <c r="N503" s="22" t="str">
        <f aca="false">IF($B503="","",IFERROR(INDEX(고객사!$J$5:$J$104,MATCH($B503,고객사!$A$5:$A$104,0)),0))</f>
        <v/>
      </c>
      <c r="O503" s="22" t="str">
        <f aca="false">IF($B503="","",G503*N503)</f>
        <v/>
      </c>
      <c r="P503" s="22" t="str">
        <f aca="false">IF($B503="","",IFERROR(INDEX(고객사!$K$5:$K$104,MATCH($B503,고객사!$A$5:$A$104,0)),0))</f>
        <v/>
      </c>
      <c r="Q503" s="22" t="str">
        <f aca="false">IF($B503="","",G503*P503)</f>
        <v/>
      </c>
      <c r="R503" s="22" t="str">
        <f aca="false">IF($B503="","",O503-Q503-L503)</f>
        <v/>
      </c>
      <c r="S503" s="21" t="str">
        <f aca="false">IF(OR($B503="",N(O503)=0),"",R503/O503)</f>
        <v/>
      </c>
      <c r="T503" s="14"/>
      <c r="U503" s="19" t="n">
        <f aca="false">IF(OR($B503="",$A503=""),0,IF(COUNTIFS($A$5:$A503,$A503,$B$5:$B503,$B503)=1,1,0))</f>
        <v>0</v>
      </c>
    </row>
    <row r="504" customFormat="false" ht="15" hidden="false" customHeight="false" outlineLevel="0" collapsed="false">
      <c r="A504" s="17"/>
      <c r="B504" s="13"/>
      <c r="C504" s="20" t="str">
        <f aca="false">IF($B504="","",IFERROR(INDEX(고객사!$B$5:$B$104,MATCH($B504,고객사!$A$5:$A$104,0)),"코드 확인"))</f>
        <v/>
      </c>
      <c r="D504" s="15"/>
      <c r="E504" s="15"/>
      <c r="F504" s="16"/>
      <c r="G504" s="16"/>
      <c r="H504" s="21" t="str">
        <f aca="false">IF(OR($B504="",F504=0),"",G504/F504)</f>
        <v/>
      </c>
      <c r="I504" s="22" t="str">
        <f aca="false">IF($B504="","",MAX(F504-G504,0))</f>
        <v/>
      </c>
      <c r="J504" s="23" t="str">
        <f aca="false">IF($B504="","",IFERROR(INDEX(고객사!$G$5:$G$104,MATCH($B504,고객사!$A$5:$A$104,0)),""))</f>
        <v/>
      </c>
      <c r="K504" s="16"/>
      <c r="L504" s="22" t="str">
        <f aca="false">IF($B504="","",K504*IFERROR(INDEX(고객사!$L$5:$L$104,MATCH($B504,고객사!$A$5:$A$104,0)),0))</f>
        <v/>
      </c>
      <c r="M504" s="23" t="str">
        <f aca="false">IF($B504="","",IF(AND(J504="N",G504&gt;0,K504=0,IFERROR(INDEX(고객사!$H$5:$H$104,MATCH($B504,고객사!$A$5:$A$104,0)),"")="자사 차량 운행"),"차량 미배정",""))</f>
        <v/>
      </c>
      <c r="N504" s="22" t="str">
        <f aca="false">IF($B504="","",IFERROR(INDEX(고객사!$J$5:$J$104,MATCH($B504,고객사!$A$5:$A$104,0)),0))</f>
        <v/>
      </c>
      <c r="O504" s="22" t="str">
        <f aca="false">IF($B504="","",G504*N504)</f>
        <v/>
      </c>
      <c r="P504" s="22" t="str">
        <f aca="false">IF($B504="","",IFERROR(INDEX(고객사!$K$5:$K$104,MATCH($B504,고객사!$A$5:$A$104,0)),0))</f>
        <v/>
      </c>
      <c r="Q504" s="22" t="str">
        <f aca="false">IF($B504="","",G504*P504)</f>
        <v/>
      </c>
      <c r="R504" s="22" t="str">
        <f aca="false">IF($B504="","",O504-Q504-L504)</f>
        <v/>
      </c>
      <c r="S504" s="21" t="str">
        <f aca="false">IF(OR($B504="",N(O504)=0),"",R504/O504)</f>
        <v/>
      </c>
      <c r="T504" s="14"/>
      <c r="U504" s="19" t="n">
        <f aca="false">IF(OR($B504="",$A504=""),0,IF(COUNTIFS($A$5:$A504,$A504,$B$5:$B504,$B504)=1,1,0))</f>
        <v>0</v>
      </c>
    </row>
    <row r="505" customFormat="false" ht="15" hidden="false" customHeight="false" outlineLevel="0" collapsed="false">
      <c r="A505" s="17"/>
      <c r="B505" s="13"/>
      <c r="C505" s="20" t="str">
        <f aca="false">IF($B505="","",IFERROR(INDEX(고객사!$B$5:$B$104,MATCH($B505,고객사!$A$5:$A$104,0)),"코드 확인"))</f>
        <v/>
      </c>
      <c r="D505" s="15"/>
      <c r="E505" s="15"/>
      <c r="F505" s="16"/>
      <c r="G505" s="16"/>
      <c r="H505" s="21" t="str">
        <f aca="false">IF(OR($B505="",F505=0),"",G505/F505)</f>
        <v/>
      </c>
      <c r="I505" s="22" t="str">
        <f aca="false">IF($B505="","",MAX(F505-G505,0))</f>
        <v/>
      </c>
      <c r="J505" s="23" t="str">
        <f aca="false">IF($B505="","",IFERROR(INDEX(고객사!$G$5:$G$104,MATCH($B505,고객사!$A$5:$A$104,0)),""))</f>
        <v/>
      </c>
      <c r="K505" s="16"/>
      <c r="L505" s="22" t="str">
        <f aca="false">IF($B505="","",K505*IFERROR(INDEX(고객사!$L$5:$L$104,MATCH($B505,고객사!$A$5:$A$104,0)),0))</f>
        <v/>
      </c>
      <c r="M505" s="23" t="str">
        <f aca="false">IF($B505="","",IF(AND(J505="N",G505&gt;0,K505=0,IFERROR(INDEX(고객사!$H$5:$H$104,MATCH($B505,고객사!$A$5:$A$104,0)),"")="자사 차량 운행"),"차량 미배정",""))</f>
        <v/>
      </c>
      <c r="N505" s="22" t="str">
        <f aca="false">IF($B505="","",IFERROR(INDEX(고객사!$J$5:$J$104,MATCH($B505,고객사!$A$5:$A$104,0)),0))</f>
        <v/>
      </c>
      <c r="O505" s="22" t="str">
        <f aca="false">IF($B505="","",G505*N505)</f>
        <v/>
      </c>
      <c r="P505" s="22" t="str">
        <f aca="false">IF($B505="","",IFERROR(INDEX(고객사!$K$5:$K$104,MATCH($B505,고객사!$A$5:$A$104,0)),0))</f>
        <v/>
      </c>
      <c r="Q505" s="22" t="str">
        <f aca="false">IF($B505="","",G505*P505)</f>
        <v/>
      </c>
      <c r="R505" s="22" t="str">
        <f aca="false">IF($B505="","",O505-Q505-L505)</f>
        <v/>
      </c>
      <c r="S505" s="21" t="str">
        <f aca="false">IF(OR($B505="",N(O505)=0),"",R505/O505)</f>
        <v/>
      </c>
      <c r="T505" s="14"/>
      <c r="U505" s="19" t="n">
        <f aca="false">IF(OR($B505="",$A505=""),0,IF(COUNTIFS($A$5:$A505,$A505,$B$5:$B505,$B505)=1,1,0))</f>
        <v>0</v>
      </c>
    </row>
    <row r="506" customFormat="false" ht="15" hidden="false" customHeight="false" outlineLevel="0" collapsed="false">
      <c r="A506" s="17"/>
      <c r="B506" s="13"/>
      <c r="C506" s="20" t="str">
        <f aca="false">IF($B506="","",IFERROR(INDEX(고객사!$B$5:$B$104,MATCH($B506,고객사!$A$5:$A$104,0)),"코드 확인"))</f>
        <v/>
      </c>
      <c r="D506" s="15"/>
      <c r="E506" s="15"/>
      <c r="F506" s="16"/>
      <c r="G506" s="16"/>
      <c r="H506" s="21" t="str">
        <f aca="false">IF(OR($B506="",F506=0),"",G506/F506)</f>
        <v/>
      </c>
      <c r="I506" s="22" t="str">
        <f aca="false">IF($B506="","",MAX(F506-G506,0))</f>
        <v/>
      </c>
      <c r="J506" s="23" t="str">
        <f aca="false">IF($B506="","",IFERROR(INDEX(고객사!$G$5:$G$104,MATCH($B506,고객사!$A$5:$A$104,0)),""))</f>
        <v/>
      </c>
      <c r="K506" s="16"/>
      <c r="L506" s="22" t="str">
        <f aca="false">IF($B506="","",K506*IFERROR(INDEX(고객사!$L$5:$L$104,MATCH($B506,고객사!$A$5:$A$104,0)),0))</f>
        <v/>
      </c>
      <c r="M506" s="23" t="str">
        <f aca="false">IF($B506="","",IF(AND(J506="N",G506&gt;0,K506=0,IFERROR(INDEX(고객사!$H$5:$H$104,MATCH($B506,고객사!$A$5:$A$104,0)),"")="자사 차량 운행"),"차량 미배정",""))</f>
        <v/>
      </c>
      <c r="N506" s="22" t="str">
        <f aca="false">IF($B506="","",IFERROR(INDEX(고객사!$J$5:$J$104,MATCH($B506,고객사!$A$5:$A$104,0)),0))</f>
        <v/>
      </c>
      <c r="O506" s="22" t="str">
        <f aca="false">IF($B506="","",G506*N506)</f>
        <v/>
      </c>
      <c r="P506" s="22" t="str">
        <f aca="false">IF($B506="","",IFERROR(INDEX(고객사!$K$5:$K$104,MATCH($B506,고객사!$A$5:$A$104,0)),0))</f>
        <v/>
      </c>
      <c r="Q506" s="22" t="str">
        <f aca="false">IF($B506="","",G506*P506)</f>
        <v/>
      </c>
      <c r="R506" s="22" t="str">
        <f aca="false">IF($B506="","",O506-Q506-L506)</f>
        <v/>
      </c>
      <c r="S506" s="21" t="str">
        <f aca="false">IF(OR($B506="",N(O506)=0),"",R506/O506)</f>
        <v/>
      </c>
      <c r="T506" s="14"/>
      <c r="U506" s="19" t="n">
        <f aca="false">IF(OR($B506="",$A506=""),0,IF(COUNTIFS($A$5:$A506,$A506,$B$5:$B506,$B506)=1,1,0))</f>
        <v>0</v>
      </c>
    </row>
    <row r="507" customFormat="false" ht="15" hidden="false" customHeight="false" outlineLevel="0" collapsed="false">
      <c r="A507" s="17"/>
      <c r="B507" s="13"/>
      <c r="C507" s="20" t="str">
        <f aca="false">IF($B507="","",IFERROR(INDEX(고객사!$B$5:$B$104,MATCH($B507,고객사!$A$5:$A$104,0)),"코드 확인"))</f>
        <v/>
      </c>
      <c r="D507" s="15"/>
      <c r="E507" s="15"/>
      <c r="F507" s="16"/>
      <c r="G507" s="16"/>
      <c r="H507" s="21" t="str">
        <f aca="false">IF(OR($B507="",F507=0),"",G507/F507)</f>
        <v/>
      </c>
      <c r="I507" s="22" t="str">
        <f aca="false">IF($B507="","",MAX(F507-G507,0))</f>
        <v/>
      </c>
      <c r="J507" s="23" t="str">
        <f aca="false">IF($B507="","",IFERROR(INDEX(고객사!$G$5:$G$104,MATCH($B507,고객사!$A$5:$A$104,0)),""))</f>
        <v/>
      </c>
      <c r="K507" s="16"/>
      <c r="L507" s="22" t="str">
        <f aca="false">IF($B507="","",K507*IFERROR(INDEX(고객사!$L$5:$L$104,MATCH($B507,고객사!$A$5:$A$104,0)),0))</f>
        <v/>
      </c>
      <c r="M507" s="23" t="str">
        <f aca="false">IF($B507="","",IF(AND(J507="N",G507&gt;0,K507=0,IFERROR(INDEX(고객사!$H$5:$H$104,MATCH($B507,고객사!$A$5:$A$104,0)),"")="자사 차량 운행"),"차량 미배정",""))</f>
        <v/>
      </c>
      <c r="N507" s="22" t="str">
        <f aca="false">IF($B507="","",IFERROR(INDEX(고객사!$J$5:$J$104,MATCH($B507,고객사!$A$5:$A$104,0)),0))</f>
        <v/>
      </c>
      <c r="O507" s="22" t="str">
        <f aca="false">IF($B507="","",G507*N507)</f>
        <v/>
      </c>
      <c r="P507" s="22" t="str">
        <f aca="false">IF($B507="","",IFERROR(INDEX(고객사!$K$5:$K$104,MATCH($B507,고객사!$A$5:$A$104,0)),0))</f>
        <v/>
      </c>
      <c r="Q507" s="22" t="str">
        <f aca="false">IF($B507="","",G507*P507)</f>
        <v/>
      </c>
      <c r="R507" s="22" t="str">
        <f aca="false">IF($B507="","",O507-Q507-L507)</f>
        <v/>
      </c>
      <c r="S507" s="21" t="str">
        <f aca="false">IF(OR($B507="",N(O507)=0),"",R507/O507)</f>
        <v/>
      </c>
      <c r="T507" s="14"/>
      <c r="U507" s="19" t="n">
        <f aca="false">IF(OR($B507="",$A507=""),0,IF(COUNTIFS($A$5:$A507,$A507,$B$5:$B507,$B507)=1,1,0))</f>
        <v>0</v>
      </c>
    </row>
    <row r="508" customFormat="false" ht="15" hidden="false" customHeight="false" outlineLevel="0" collapsed="false">
      <c r="A508" s="17"/>
      <c r="B508" s="13"/>
      <c r="C508" s="20" t="str">
        <f aca="false">IF($B508="","",IFERROR(INDEX(고객사!$B$5:$B$104,MATCH($B508,고객사!$A$5:$A$104,0)),"코드 확인"))</f>
        <v/>
      </c>
      <c r="D508" s="15"/>
      <c r="E508" s="15"/>
      <c r="F508" s="16"/>
      <c r="G508" s="16"/>
      <c r="H508" s="21" t="str">
        <f aca="false">IF(OR($B508="",F508=0),"",G508/F508)</f>
        <v/>
      </c>
      <c r="I508" s="22" t="str">
        <f aca="false">IF($B508="","",MAX(F508-G508,0))</f>
        <v/>
      </c>
      <c r="J508" s="23" t="str">
        <f aca="false">IF($B508="","",IFERROR(INDEX(고객사!$G$5:$G$104,MATCH($B508,고객사!$A$5:$A$104,0)),""))</f>
        <v/>
      </c>
      <c r="K508" s="16"/>
      <c r="L508" s="22" t="str">
        <f aca="false">IF($B508="","",K508*IFERROR(INDEX(고객사!$L$5:$L$104,MATCH($B508,고객사!$A$5:$A$104,0)),0))</f>
        <v/>
      </c>
      <c r="M508" s="23" t="str">
        <f aca="false">IF($B508="","",IF(AND(J508="N",G508&gt;0,K508=0,IFERROR(INDEX(고객사!$H$5:$H$104,MATCH($B508,고객사!$A$5:$A$104,0)),"")="자사 차량 운행"),"차량 미배정",""))</f>
        <v/>
      </c>
      <c r="N508" s="22" t="str">
        <f aca="false">IF($B508="","",IFERROR(INDEX(고객사!$J$5:$J$104,MATCH($B508,고객사!$A$5:$A$104,0)),0))</f>
        <v/>
      </c>
      <c r="O508" s="22" t="str">
        <f aca="false">IF($B508="","",G508*N508)</f>
        <v/>
      </c>
      <c r="P508" s="22" t="str">
        <f aca="false">IF($B508="","",IFERROR(INDEX(고객사!$K$5:$K$104,MATCH($B508,고객사!$A$5:$A$104,0)),0))</f>
        <v/>
      </c>
      <c r="Q508" s="22" t="str">
        <f aca="false">IF($B508="","",G508*P508)</f>
        <v/>
      </c>
      <c r="R508" s="22" t="str">
        <f aca="false">IF($B508="","",O508-Q508-L508)</f>
        <v/>
      </c>
      <c r="S508" s="21" t="str">
        <f aca="false">IF(OR($B508="",N(O508)=0),"",R508/O508)</f>
        <v/>
      </c>
      <c r="T508" s="14"/>
      <c r="U508" s="19" t="n">
        <f aca="false">IF(OR($B508="",$A508=""),0,IF(COUNTIFS($A$5:$A508,$A508,$B$5:$B508,$B508)=1,1,0))</f>
        <v>0</v>
      </c>
    </row>
    <row r="509" customFormat="false" ht="15" hidden="false" customHeight="false" outlineLevel="0" collapsed="false">
      <c r="A509" s="17"/>
      <c r="B509" s="13"/>
      <c r="C509" s="20" t="str">
        <f aca="false">IF($B509="","",IFERROR(INDEX(고객사!$B$5:$B$104,MATCH($B509,고객사!$A$5:$A$104,0)),"코드 확인"))</f>
        <v/>
      </c>
      <c r="D509" s="15"/>
      <c r="E509" s="15"/>
      <c r="F509" s="16"/>
      <c r="G509" s="16"/>
      <c r="H509" s="21" t="str">
        <f aca="false">IF(OR($B509="",F509=0),"",G509/F509)</f>
        <v/>
      </c>
      <c r="I509" s="22" t="str">
        <f aca="false">IF($B509="","",MAX(F509-G509,0))</f>
        <v/>
      </c>
      <c r="J509" s="23" t="str">
        <f aca="false">IF($B509="","",IFERROR(INDEX(고객사!$G$5:$G$104,MATCH($B509,고객사!$A$5:$A$104,0)),""))</f>
        <v/>
      </c>
      <c r="K509" s="16"/>
      <c r="L509" s="22" t="str">
        <f aca="false">IF($B509="","",K509*IFERROR(INDEX(고객사!$L$5:$L$104,MATCH($B509,고객사!$A$5:$A$104,0)),0))</f>
        <v/>
      </c>
      <c r="M509" s="23" t="str">
        <f aca="false">IF($B509="","",IF(AND(J509="N",G509&gt;0,K509=0,IFERROR(INDEX(고객사!$H$5:$H$104,MATCH($B509,고객사!$A$5:$A$104,0)),"")="자사 차량 운행"),"차량 미배정",""))</f>
        <v/>
      </c>
      <c r="N509" s="22" t="str">
        <f aca="false">IF($B509="","",IFERROR(INDEX(고객사!$J$5:$J$104,MATCH($B509,고객사!$A$5:$A$104,0)),0))</f>
        <v/>
      </c>
      <c r="O509" s="22" t="str">
        <f aca="false">IF($B509="","",G509*N509)</f>
        <v/>
      </c>
      <c r="P509" s="22" t="str">
        <f aca="false">IF($B509="","",IFERROR(INDEX(고객사!$K$5:$K$104,MATCH($B509,고객사!$A$5:$A$104,0)),0))</f>
        <v/>
      </c>
      <c r="Q509" s="22" t="str">
        <f aca="false">IF($B509="","",G509*P509)</f>
        <v/>
      </c>
      <c r="R509" s="22" t="str">
        <f aca="false">IF($B509="","",O509-Q509-L509)</f>
        <v/>
      </c>
      <c r="S509" s="21" t="str">
        <f aca="false">IF(OR($B509="",N(O509)=0),"",R509/O509)</f>
        <v/>
      </c>
      <c r="T509" s="14"/>
      <c r="U509" s="19" t="n">
        <f aca="false">IF(OR($B509="",$A509=""),0,IF(COUNTIFS($A$5:$A509,$A509,$B$5:$B509,$B509)=1,1,0))</f>
        <v>0</v>
      </c>
    </row>
    <row r="510" customFormat="false" ht="15" hidden="false" customHeight="false" outlineLevel="0" collapsed="false">
      <c r="A510" s="17"/>
      <c r="B510" s="13"/>
      <c r="C510" s="20" t="str">
        <f aca="false">IF($B510="","",IFERROR(INDEX(고객사!$B$5:$B$104,MATCH($B510,고객사!$A$5:$A$104,0)),"코드 확인"))</f>
        <v/>
      </c>
      <c r="D510" s="15"/>
      <c r="E510" s="15"/>
      <c r="F510" s="16"/>
      <c r="G510" s="16"/>
      <c r="H510" s="21" t="str">
        <f aca="false">IF(OR($B510="",F510=0),"",G510/F510)</f>
        <v/>
      </c>
      <c r="I510" s="22" t="str">
        <f aca="false">IF($B510="","",MAX(F510-G510,0))</f>
        <v/>
      </c>
      <c r="J510" s="23" t="str">
        <f aca="false">IF($B510="","",IFERROR(INDEX(고객사!$G$5:$G$104,MATCH($B510,고객사!$A$5:$A$104,0)),""))</f>
        <v/>
      </c>
      <c r="K510" s="16"/>
      <c r="L510" s="22" t="str">
        <f aca="false">IF($B510="","",K510*IFERROR(INDEX(고객사!$L$5:$L$104,MATCH($B510,고객사!$A$5:$A$104,0)),0))</f>
        <v/>
      </c>
      <c r="M510" s="23" t="str">
        <f aca="false">IF($B510="","",IF(AND(J510="N",G510&gt;0,K510=0,IFERROR(INDEX(고객사!$H$5:$H$104,MATCH($B510,고객사!$A$5:$A$104,0)),"")="자사 차량 운행"),"차량 미배정",""))</f>
        <v/>
      </c>
      <c r="N510" s="22" t="str">
        <f aca="false">IF($B510="","",IFERROR(INDEX(고객사!$J$5:$J$104,MATCH($B510,고객사!$A$5:$A$104,0)),0))</f>
        <v/>
      </c>
      <c r="O510" s="22" t="str">
        <f aca="false">IF($B510="","",G510*N510)</f>
        <v/>
      </c>
      <c r="P510" s="22" t="str">
        <f aca="false">IF($B510="","",IFERROR(INDEX(고객사!$K$5:$K$104,MATCH($B510,고객사!$A$5:$A$104,0)),0))</f>
        <v/>
      </c>
      <c r="Q510" s="22" t="str">
        <f aca="false">IF($B510="","",G510*P510)</f>
        <v/>
      </c>
      <c r="R510" s="22" t="str">
        <f aca="false">IF($B510="","",O510-Q510-L510)</f>
        <v/>
      </c>
      <c r="S510" s="21" t="str">
        <f aca="false">IF(OR($B510="",N(O510)=0),"",R510/O510)</f>
        <v/>
      </c>
      <c r="T510" s="14"/>
      <c r="U510" s="19" t="n">
        <f aca="false">IF(OR($B510="",$A510=""),0,IF(COUNTIFS($A$5:$A510,$A510,$B$5:$B510,$B510)=1,1,0))</f>
        <v>0</v>
      </c>
    </row>
    <row r="511" customFormat="false" ht="15" hidden="false" customHeight="false" outlineLevel="0" collapsed="false">
      <c r="A511" s="17"/>
      <c r="B511" s="13"/>
      <c r="C511" s="20" t="str">
        <f aca="false">IF($B511="","",IFERROR(INDEX(고객사!$B$5:$B$104,MATCH($B511,고객사!$A$5:$A$104,0)),"코드 확인"))</f>
        <v/>
      </c>
      <c r="D511" s="15"/>
      <c r="E511" s="15"/>
      <c r="F511" s="16"/>
      <c r="G511" s="16"/>
      <c r="H511" s="21" t="str">
        <f aca="false">IF(OR($B511="",F511=0),"",G511/F511)</f>
        <v/>
      </c>
      <c r="I511" s="22" t="str">
        <f aca="false">IF($B511="","",MAX(F511-G511,0))</f>
        <v/>
      </c>
      <c r="J511" s="23" t="str">
        <f aca="false">IF($B511="","",IFERROR(INDEX(고객사!$G$5:$G$104,MATCH($B511,고객사!$A$5:$A$104,0)),""))</f>
        <v/>
      </c>
      <c r="K511" s="16"/>
      <c r="L511" s="22" t="str">
        <f aca="false">IF($B511="","",K511*IFERROR(INDEX(고객사!$L$5:$L$104,MATCH($B511,고객사!$A$5:$A$104,0)),0))</f>
        <v/>
      </c>
      <c r="M511" s="23" t="str">
        <f aca="false">IF($B511="","",IF(AND(J511="N",G511&gt;0,K511=0,IFERROR(INDEX(고객사!$H$5:$H$104,MATCH($B511,고객사!$A$5:$A$104,0)),"")="자사 차량 운행"),"차량 미배정",""))</f>
        <v/>
      </c>
      <c r="N511" s="22" t="str">
        <f aca="false">IF($B511="","",IFERROR(INDEX(고객사!$J$5:$J$104,MATCH($B511,고객사!$A$5:$A$104,0)),0))</f>
        <v/>
      </c>
      <c r="O511" s="22" t="str">
        <f aca="false">IF($B511="","",G511*N511)</f>
        <v/>
      </c>
      <c r="P511" s="22" t="str">
        <f aca="false">IF($B511="","",IFERROR(INDEX(고객사!$K$5:$K$104,MATCH($B511,고객사!$A$5:$A$104,0)),0))</f>
        <v/>
      </c>
      <c r="Q511" s="22" t="str">
        <f aca="false">IF($B511="","",G511*P511)</f>
        <v/>
      </c>
      <c r="R511" s="22" t="str">
        <f aca="false">IF($B511="","",O511-Q511-L511)</f>
        <v/>
      </c>
      <c r="S511" s="21" t="str">
        <f aca="false">IF(OR($B511="",N(O511)=0),"",R511/O511)</f>
        <v/>
      </c>
      <c r="T511" s="14"/>
      <c r="U511" s="19" t="n">
        <f aca="false">IF(OR($B511="",$A511=""),0,IF(COUNTIFS($A$5:$A511,$A511,$B$5:$B511,$B511)=1,1,0))</f>
        <v>0</v>
      </c>
    </row>
    <row r="512" customFormat="false" ht="15" hidden="false" customHeight="false" outlineLevel="0" collapsed="false">
      <c r="A512" s="17"/>
      <c r="B512" s="13"/>
      <c r="C512" s="20" t="str">
        <f aca="false">IF($B512="","",IFERROR(INDEX(고객사!$B$5:$B$104,MATCH($B512,고객사!$A$5:$A$104,0)),"코드 확인"))</f>
        <v/>
      </c>
      <c r="D512" s="15"/>
      <c r="E512" s="15"/>
      <c r="F512" s="16"/>
      <c r="G512" s="16"/>
      <c r="H512" s="21" t="str">
        <f aca="false">IF(OR($B512="",F512=0),"",G512/F512)</f>
        <v/>
      </c>
      <c r="I512" s="22" t="str">
        <f aca="false">IF($B512="","",MAX(F512-G512,0))</f>
        <v/>
      </c>
      <c r="J512" s="23" t="str">
        <f aca="false">IF($B512="","",IFERROR(INDEX(고객사!$G$5:$G$104,MATCH($B512,고객사!$A$5:$A$104,0)),""))</f>
        <v/>
      </c>
      <c r="K512" s="16"/>
      <c r="L512" s="22" t="str">
        <f aca="false">IF($B512="","",K512*IFERROR(INDEX(고객사!$L$5:$L$104,MATCH($B512,고객사!$A$5:$A$104,0)),0))</f>
        <v/>
      </c>
      <c r="M512" s="23" t="str">
        <f aca="false">IF($B512="","",IF(AND(J512="N",G512&gt;0,K512=0,IFERROR(INDEX(고객사!$H$5:$H$104,MATCH($B512,고객사!$A$5:$A$104,0)),"")="자사 차량 운행"),"차량 미배정",""))</f>
        <v/>
      </c>
      <c r="N512" s="22" t="str">
        <f aca="false">IF($B512="","",IFERROR(INDEX(고객사!$J$5:$J$104,MATCH($B512,고객사!$A$5:$A$104,0)),0))</f>
        <v/>
      </c>
      <c r="O512" s="22" t="str">
        <f aca="false">IF($B512="","",G512*N512)</f>
        <v/>
      </c>
      <c r="P512" s="22" t="str">
        <f aca="false">IF($B512="","",IFERROR(INDEX(고객사!$K$5:$K$104,MATCH($B512,고객사!$A$5:$A$104,0)),0))</f>
        <v/>
      </c>
      <c r="Q512" s="22" t="str">
        <f aca="false">IF($B512="","",G512*P512)</f>
        <v/>
      </c>
      <c r="R512" s="22" t="str">
        <f aca="false">IF($B512="","",O512-Q512-L512)</f>
        <v/>
      </c>
      <c r="S512" s="21" t="str">
        <f aca="false">IF(OR($B512="",N(O512)=0),"",R512/O512)</f>
        <v/>
      </c>
      <c r="T512" s="14"/>
      <c r="U512" s="19" t="n">
        <f aca="false">IF(OR($B512="",$A512=""),0,IF(COUNTIFS($A$5:$A512,$A512,$B$5:$B512,$B512)=1,1,0))</f>
        <v>0</v>
      </c>
    </row>
    <row r="513" customFormat="false" ht="15" hidden="false" customHeight="false" outlineLevel="0" collapsed="false">
      <c r="A513" s="17"/>
      <c r="B513" s="13"/>
      <c r="C513" s="20" t="str">
        <f aca="false">IF($B513="","",IFERROR(INDEX(고객사!$B$5:$B$104,MATCH($B513,고객사!$A$5:$A$104,0)),"코드 확인"))</f>
        <v/>
      </c>
      <c r="D513" s="15"/>
      <c r="E513" s="15"/>
      <c r="F513" s="16"/>
      <c r="G513" s="16"/>
      <c r="H513" s="21" t="str">
        <f aca="false">IF(OR($B513="",F513=0),"",G513/F513)</f>
        <v/>
      </c>
      <c r="I513" s="22" t="str">
        <f aca="false">IF($B513="","",MAX(F513-G513,0))</f>
        <v/>
      </c>
      <c r="J513" s="23" t="str">
        <f aca="false">IF($B513="","",IFERROR(INDEX(고객사!$G$5:$G$104,MATCH($B513,고객사!$A$5:$A$104,0)),""))</f>
        <v/>
      </c>
      <c r="K513" s="16"/>
      <c r="L513" s="22" t="str">
        <f aca="false">IF($B513="","",K513*IFERROR(INDEX(고객사!$L$5:$L$104,MATCH($B513,고객사!$A$5:$A$104,0)),0))</f>
        <v/>
      </c>
      <c r="M513" s="23" t="str">
        <f aca="false">IF($B513="","",IF(AND(J513="N",G513&gt;0,K513=0,IFERROR(INDEX(고객사!$H$5:$H$104,MATCH($B513,고객사!$A$5:$A$104,0)),"")="자사 차량 운행"),"차량 미배정",""))</f>
        <v/>
      </c>
      <c r="N513" s="22" t="str">
        <f aca="false">IF($B513="","",IFERROR(INDEX(고객사!$J$5:$J$104,MATCH($B513,고객사!$A$5:$A$104,0)),0))</f>
        <v/>
      </c>
      <c r="O513" s="22" t="str">
        <f aca="false">IF($B513="","",G513*N513)</f>
        <v/>
      </c>
      <c r="P513" s="22" t="str">
        <f aca="false">IF($B513="","",IFERROR(INDEX(고객사!$K$5:$K$104,MATCH($B513,고객사!$A$5:$A$104,0)),0))</f>
        <v/>
      </c>
      <c r="Q513" s="22" t="str">
        <f aca="false">IF($B513="","",G513*P513)</f>
        <v/>
      </c>
      <c r="R513" s="22" t="str">
        <f aca="false">IF($B513="","",O513-Q513-L513)</f>
        <v/>
      </c>
      <c r="S513" s="21" t="str">
        <f aca="false">IF(OR($B513="",N(O513)=0),"",R513/O513)</f>
        <v/>
      </c>
      <c r="T513" s="14"/>
      <c r="U513" s="19" t="n">
        <f aca="false">IF(OR($B513="",$A513=""),0,IF(COUNTIFS($A$5:$A513,$A513,$B$5:$B513,$B513)=1,1,0))</f>
        <v>0</v>
      </c>
    </row>
    <row r="514" customFormat="false" ht="15" hidden="false" customHeight="false" outlineLevel="0" collapsed="false">
      <c r="A514" s="17"/>
      <c r="B514" s="13"/>
      <c r="C514" s="20" t="str">
        <f aca="false">IF($B514="","",IFERROR(INDEX(고객사!$B$5:$B$104,MATCH($B514,고객사!$A$5:$A$104,0)),"코드 확인"))</f>
        <v/>
      </c>
      <c r="D514" s="15"/>
      <c r="E514" s="15"/>
      <c r="F514" s="16"/>
      <c r="G514" s="16"/>
      <c r="H514" s="21" t="str">
        <f aca="false">IF(OR($B514="",F514=0),"",G514/F514)</f>
        <v/>
      </c>
      <c r="I514" s="22" t="str">
        <f aca="false">IF($B514="","",MAX(F514-G514,0))</f>
        <v/>
      </c>
      <c r="J514" s="23" t="str">
        <f aca="false">IF($B514="","",IFERROR(INDEX(고객사!$G$5:$G$104,MATCH($B514,고객사!$A$5:$A$104,0)),""))</f>
        <v/>
      </c>
      <c r="K514" s="16"/>
      <c r="L514" s="22" t="str">
        <f aca="false">IF($B514="","",K514*IFERROR(INDEX(고객사!$L$5:$L$104,MATCH($B514,고객사!$A$5:$A$104,0)),0))</f>
        <v/>
      </c>
      <c r="M514" s="23" t="str">
        <f aca="false">IF($B514="","",IF(AND(J514="N",G514&gt;0,K514=0,IFERROR(INDEX(고객사!$H$5:$H$104,MATCH($B514,고객사!$A$5:$A$104,0)),"")="자사 차량 운행"),"차량 미배정",""))</f>
        <v/>
      </c>
      <c r="N514" s="22" t="str">
        <f aca="false">IF($B514="","",IFERROR(INDEX(고객사!$J$5:$J$104,MATCH($B514,고객사!$A$5:$A$104,0)),0))</f>
        <v/>
      </c>
      <c r="O514" s="22" t="str">
        <f aca="false">IF($B514="","",G514*N514)</f>
        <v/>
      </c>
      <c r="P514" s="22" t="str">
        <f aca="false">IF($B514="","",IFERROR(INDEX(고객사!$K$5:$K$104,MATCH($B514,고객사!$A$5:$A$104,0)),0))</f>
        <v/>
      </c>
      <c r="Q514" s="22" t="str">
        <f aca="false">IF($B514="","",G514*P514)</f>
        <v/>
      </c>
      <c r="R514" s="22" t="str">
        <f aca="false">IF($B514="","",O514-Q514-L514)</f>
        <v/>
      </c>
      <c r="S514" s="21" t="str">
        <f aca="false">IF(OR($B514="",N(O514)=0),"",R514/O514)</f>
        <v/>
      </c>
      <c r="T514" s="14"/>
      <c r="U514" s="19" t="n">
        <f aca="false">IF(OR($B514="",$A514=""),0,IF(COUNTIFS($A$5:$A514,$A514,$B$5:$B514,$B514)=1,1,0))</f>
        <v>0</v>
      </c>
    </row>
    <row r="515" customFormat="false" ht="15" hidden="false" customHeight="false" outlineLevel="0" collapsed="false">
      <c r="A515" s="17"/>
      <c r="B515" s="13"/>
      <c r="C515" s="20" t="str">
        <f aca="false">IF($B515="","",IFERROR(INDEX(고객사!$B$5:$B$104,MATCH($B515,고객사!$A$5:$A$104,0)),"코드 확인"))</f>
        <v/>
      </c>
      <c r="D515" s="15"/>
      <c r="E515" s="15"/>
      <c r="F515" s="16"/>
      <c r="G515" s="16"/>
      <c r="H515" s="21" t="str">
        <f aca="false">IF(OR($B515="",F515=0),"",G515/F515)</f>
        <v/>
      </c>
      <c r="I515" s="22" t="str">
        <f aca="false">IF($B515="","",MAX(F515-G515,0))</f>
        <v/>
      </c>
      <c r="J515" s="23" t="str">
        <f aca="false">IF($B515="","",IFERROR(INDEX(고객사!$G$5:$G$104,MATCH($B515,고객사!$A$5:$A$104,0)),""))</f>
        <v/>
      </c>
      <c r="K515" s="16"/>
      <c r="L515" s="22" t="str">
        <f aca="false">IF($B515="","",K515*IFERROR(INDEX(고객사!$L$5:$L$104,MATCH($B515,고객사!$A$5:$A$104,0)),0))</f>
        <v/>
      </c>
      <c r="M515" s="23" t="str">
        <f aca="false">IF($B515="","",IF(AND(J515="N",G515&gt;0,K515=0,IFERROR(INDEX(고객사!$H$5:$H$104,MATCH($B515,고객사!$A$5:$A$104,0)),"")="자사 차량 운행"),"차량 미배정",""))</f>
        <v/>
      </c>
      <c r="N515" s="22" t="str">
        <f aca="false">IF($B515="","",IFERROR(INDEX(고객사!$J$5:$J$104,MATCH($B515,고객사!$A$5:$A$104,0)),0))</f>
        <v/>
      </c>
      <c r="O515" s="22" t="str">
        <f aca="false">IF($B515="","",G515*N515)</f>
        <v/>
      </c>
      <c r="P515" s="22" t="str">
        <f aca="false">IF($B515="","",IFERROR(INDEX(고객사!$K$5:$K$104,MATCH($B515,고객사!$A$5:$A$104,0)),0))</f>
        <v/>
      </c>
      <c r="Q515" s="22" t="str">
        <f aca="false">IF($B515="","",G515*P515)</f>
        <v/>
      </c>
      <c r="R515" s="22" t="str">
        <f aca="false">IF($B515="","",O515-Q515-L515)</f>
        <v/>
      </c>
      <c r="S515" s="21" t="str">
        <f aca="false">IF(OR($B515="",N(O515)=0),"",R515/O515)</f>
        <v/>
      </c>
      <c r="T515" s="14"/>
      <c r="U515" s="19" t="n">
        <f aca="false">IF(OR($B515="",$A515=""),0,IF(COUNTIFS($A$5:$A515,$A515,$B$5:$B515,$B515)=1,1,0))</f>
        <v>0</v>
      </c>
    </row>
    <row r="516" customFormat="false" ht="15" hidden="false" customHeight="false" outlineLevel="0" collapsed="false">
      <c r="A516" s="17"/>
      <c r="B516" s="13"/>
      <c r="C516" s="20" t="str">
        <f aca="false">IF($B516="","",IFERROR(INDEX(고객사!$B$5:$B$104,MATCH($B516,고객사!$A$5:$A$104,0)),"코드 확인"))</f>
        <v/>
      </c>
      <c r="D516" s="15"/>
      <c r="E516" s="15"/>
      <c r="F516" s="16"/>
      <c r="G516" s="16"/>
      <c r="H516" s="21" t="str">
        <f aca="false">IF(OR($B516="",F516=0),"",G516/F516)</f>
        <v/>
      </c>
      <c r="I516" s="22" t="str">
        <f aca="false">IF($B516="","",MAX(F516-G516,0))</f>
        <v/>
      </c>
      <c r="J516" s="23" t="str">
        <f aca="false">IF($B516="","",IFERROR(INDEX(고객사!$G$5:$G$104,MATCH($B516,고객사!$A$5:$A$104,0)),""))</f>
        <v/>
      </c>
      <c r="K516" s="16"/>
      <c r="L516" s="22" t="str">
        <f aca="false">IF($B516="","",K516*IFERROR(INDEX(고객사!$L$5:$L$104,MATCH($B516,고객사!$A$5:$A$104,0)),0))</f>
        <v/>
      </c>
      <c r="M516" s="23" t="str">
        <f aca="false">IF($B516="","",IF(AND(J516="N",G516&gt;0,K516=0,IFERROR(INDEX(고객사!$H$5:$H$104,MATCH($B516,고객사!$A$5:$A$104,0)),"")="자사 차량 운행"),"차량 미배정",""))</f>
        <v/>
      </c>
      <c r="N516" s="22" t="str">
        <f aca="false">IF($B516="","",IFERROR(INDEX(고객사!$J$5:$J$104,MATCH($B516,고객사!$A$5:$A$104,0)),0))</f>
        <v/>
      </c>
      <c r="O516" s="22" t="str">
        <f aca="false">IF($B516="","",G516*N516)</f>
        <v/>
      </c>
      <c r="P516" s="22" t="str">
        <f aca="false">IF($B516="","",IFERROR(INDEX(고객사!$K$5:$K$104,MATCH($B516,고객사!$A$5:$A$104,0)),0))</f>
        <v/>
      </c>
      <c r="Q516" s="22" t="str">
        <f aca="false">IF($B516="","",G516*P516)</f>
        <v/>
      </c>
      <c r="R516" s="22" t="str">
        <f aca="false">IF($B516="","",O516-Q516-L516)</f>
        <v/>
      </c>
      <c r="S516" s="21" t="str">
        <f aca="false">IF(OR($B516="",N(O516)=0),"",R516/O516)</f>
        <v/>
      </c>
      <c r="T516" s="14"/>
      <c r="U516" s="19" t="n">
        <f aca="false">IF(OR($B516="",$A516=""),0,IF(COUNTIFS($A$5:$A516,$A516,$B$5:$B516,$B516)=1,1,0))</f>
        <v>0</v>
      </c>
    </row>
    <row r="517" customFormat="false" ht="15" hidden="false" customHeight="false" outlineLevel="0" collapsed="false">
      <c r="A517" s="17"/>
      <c r="B517" s="13"/>
      <c r="C517" s="20" t="str">
        <f aca="false">IF($B517="","",IFERROR(INDEX(고객사!$B$5:$B$104,MATCH($B517,고객사!$A$5:$A$104,0)),"코드 확인"))</f>
        <v/>
      </c>
      <c r="D517" s="15"/>
      <c r="E517" s="15"/>
      <c r="F517" s="16"/>
      <c r="G517" s="16"/>
      <c r="H517" s="21" t="str">
        <f aca="false">IF(OR($B517="",F517=0),"",G517/F517)</f>
        <v/>
      </c>
      <c r="I517" s="22" t="str">
        <f aca="false">IF($B517="","",MAX(F517-G517,0))</f>
        <v/>
      </c>
      <c r="J517" s="23" t="str">
        <f aca="false">IF($B517="","",IFERROR(INDEX(고객사!$G$5:$G$104,MATCH($B517,고객사!$A$5:$A$104,0)),""))</f>
        <v/>
      </c>
      <c r="K517" s="16"/>
      <c r="L517" s="22" t="str">
        <f aca="false">IF($B517="","",K517*IFERROR(INDEX(고객사!$L$5:$L$104,MATCH($B517,고객사!$A$5:$A$104,0)),0))</f>
        <v/>
      </c>
      <c r="M517" s="23" t="str">
        <f aca="false">IF($B517="","",IF(AND(J517="N",G517&gt;0,K517=0,IFERROR(INDEX(고객사!$H$5:$H$104,MATCH($B517,고객사!$A$5:$A$104,0)),"")="자사 차량 운행"),"차량 미배정",""))</f>
        <v/>
      </c>
      <c r="N517" s="22" t="str">
        <f aca="false">IF($B517="","",IFERROR(INDEX(고객사!$J$5:$J$104,MATCH($B517,고객사!$A$5:$A$104,0)),0))</f>
        <v/>
      </c>
      <c r="O517" s="22" t="str">
        <f aca="false">IF($B517="","",G517*N517)</f>
        <v/>
      </c>
      <c r="P517" s="22" t="str">
        <f aca="false">IF($B517="","",IFERROR(INDEX(고객사!$K$5:$K$104,MATCH($B517,고객사!$A$5:$A$104,0)),0))</f>
        <v/>
      </c>
      <c r="Q517" s="22" t="str">
        <f aca="false">IF($B517="","",G517*P517)</f>
        <v/>
      </c>
      <c r="R517" s="22" t="str">
        <f aca="false">IF($B517="","",O517-Q517-L517)</f>
        <v/>
      </c>
      <c r="S517" s="21" t="str">
        <f aca="false">IF(OR($B517="",N(O517)=0),"",R517/O517)</f>
        <v/>
      </c>
      <c r="T517" s="14"/>
      <c r="U517" s="19" t="n">
        <f aca="false">IF(OR($B517="",$A517=""),0,IF(COUNTIFS($A$5:$A517,$A517,$B$5:$B517,$B517)=1,1,0))</f>
        <v>0</v>
      </c>
    </row>
    <row r="518" customFormat="false" ht="15" hidden="false" customHeight="false" outlineLevel="0" collapsed="false">
      <c r="A518" s="17"/>
      <c r="B518" s="13"/>
      <c r="C518" s="20" t="str">
        <f aca="false">IF($B518="","",IFERROR(INDEX(고객사!$B$5:$B$104,MATCH($B518,고객사!$A$5:$A$104,0)),"코드 확인"))</f>
        <v/>
      </c>
      <c r="D518" s="15"/>
      <c r="E518" s="15"/>
      <c r="F518" s="16"/>
      <c r="G518" s="16"/>
      <c r="H518" s="21" t="str">
        <f aca="false">IF(OR($B518="",F518=0),"",G518/F518)</f>
        <v/>
      </c>
      <c r="I518" s="22" t="str">
        <f aca="false">IF($B518="","",MAX(F518-G518,0))</f>
        <v/>
      </c>
      <c r="J518" s="23" t="str">
        <f aca="false">IF($B518="","",IFERROR(INDEX(고객사!$G$5:$G$104,MATCH($B518,고객사!$A$5:$A$104,0)),""))</f>
        <v/>
      </c>
      <c r="K518" s="16"/>
      <c r="L518" s="22" t="str">
        <f aca="false">IF($B518="","",K518*IFERROR(INDEX(고객사!$L$5:$L$104,MATCH($B518,고객사!$A$5:$A$104,0)),0))</f>
        <v/>
      </c>
      <c r="M518" s="23" t="str">
        <f aca="false">IF($B518="","",IF(AND(J518="N",G518&gt;0,K518=0,IFERROR(INDEX(고객사!$H$5:$H$104,MATCH($B518,고객사!$A$5:$A$104,0)),"")="자사 차량 운행"),"차량 미배정",""))</f>
        <v/>
      </c>
      <c r="N518" s="22" t="str">
        <f aca="false">IF($B518="","",IFERROR(INDEX(고객사!$J$5:$J$104,MATCH($B518,고객사!$A$5:$A$104,0)),0))</f>
        <v/>
      </c>
      <c r="O518" s="22" t="str">
        <f aca="false">IF($B518="","",G518*N518)</f>
        <v/>
      </c>
      <c r="P518" s="22" t="str">
        <f aca="false">IF($B518="","",IFERROR(INDEX(고객사!$K$5:$K$104,MATCH($B518,고객사!$A$5:$A$104,0)),0))</f>
        <v/>
      </c>
      <c r="Q518" s="22" t="str">
        <f aca="false">IF($B518="","",G518*P518)</f>
        <v/>
      </c>
      <c r="R518" s="22" t="str">
        <f aca="false">IF($B518="","",O518-Q518-L518)</f>
        <v/>
      </c>
      <c r="S518" s="21" t="str">
        <f aca="false">IF(OR($B518="",N(O518)=0),"",R518/O518)</f>
        <v/>
      </c>
      <c r="T518" s="14"/>
      <c r="U518" s="19" t="n">
        <f aca="false">IF(OR($B518="",$A518=""),0,IF(COUNTIFS($A$5:$A518,$A518,$B$5:$B518,$B518)=1,1,0))</f>
        <v>0</v>
      </c>
    </row>
    <row r="519" customFormat="false" ht="15" hidden="false" customHeight="false" outlineLevel="0" collapsed="false">
      <c r="A519" s="17"/>
      <c r="B519" s="13"/>
      <c r="C519" s="20" t="str">
        <f aca="false">IF($B519="","",IFERROR(INDEX(고객사!$B$5:$B$104,MATCH($B519,고객사!$A$5:$A$104,0)),"코드 확인"))</f>
        <v/>
      </c>
      <c r="D519" s="15"/>
      <c r="E519" s="15"/>
      <c r="F519" s="16"/>
      <c r="G519" s="16"/>
      <c r="H519" s="21" t="str">
        <f aca="false">IF(OR($B519="",F519=0),"",G519/F519)</f>
        <v/>
      </c>
      <c r="I519" s="22" t="str">
        <f aca="false">IF($B519="","",MAX(F519-G519,0))</f>
        <v/>
      </c>
      <c r="J519" s="23" t="str">
        <f aca="false">IF($B519="","",IFERROR(INDEX(고객사!$G$5:$G$104,MATCH($B519,고객사!$A$5:$A$104,0)),""))</f>
        <v/>
      </c>
      <c r="K519" s="16"/>
      <c r="L519" s="22" t="str">
        <f aca="false">IF($B519="","",K519*IFERROR(INDEX(고객사!$L$5:$L$104,MATCH($B519,고객사!$A$5:$A$104,0)),0))</f>
        <v/>
      </c>
      <c r="M519" s="23" t="str">
        <f aca="false">IF($B519="","",IF(AND(J519="N",G519&gt;0,K519=0,IFERROR(INDEX(고객사!$H$5:$H$104,MATCH($B519,고객사!$A$5:$A$104,0)),"")="자사 차량 운행"),"차량 미배정",""))</f>
        <v/>
      </c>
      <c r="N519" s="22" t="str">
        <f aca="false">IF($B519="","",IFERROR(INDEX(고객사!$J$5:$J$104,MATCH($B519,고객사!$A$5:$A$104,0)),0))</f>
        <v/>
      </c>
      <c r="O519" s="22" t="str">
        <f aca="false">IF($B519="","",G519*N519)</f>
        <v/>
      </c>
      <c r="P519" s="22" t="str">
        <f aca="false">IF($B519="","",IFERROR(INDEX(고객사!$K$5:$K$104,MATCH($B519,고객사!$A$5:$A$104,0)),0))</f>
        <v/>
      </c>
      <c r="Q519" s="22" t="str">
        <f aca="false">IF($B519="","",G519*P519)</f>
        <v/>
      </c>
      <c r="R519" s="22" t="str">
        <f aca="false">IF($B519="","",O519-Q519-L519)</f>
        <v/>
      </c>
      <c r="S519" s="21" t="str">
        <f aca="false">IF(OR($B519="",N(O519)=0),"",R519/O519)</f>
        <v/>
      </c>
      <c r="T519" s="14"/>
      <c r="U519" s="19" t="n">
        <f aca="false">IF(OR($B519="",$A519=""),0,IF(COUNTIFS($A$5:$A519,$A519,$B$5:$B519,$B519)=1,1,0))</f>
        <v>0</v>
      </c>
    </row>
    <row r="520" customFormat="false" ht="15" hidden="false" customHeight="false" outlineLevel="0" collapsed="false">
      <c r="A520" s="17"/>
      <c r="B520" s="13"/>
      <c r="C520" s="20" t="str">
        <f aca="false">IF($B520="","",IFERROR(INDEX(고객사!$B$5:$B$104,MATCH($B520,고객사!$A$5:$A$104,0)),"코드 확인"))</f>
        <v/>
      </c>
      <c r="D520" s="15"/>
      <c r="E520" s="15"/>
      <c r="F520" s="16"/>
      <c r="G520" s="16"/>
      <c r="H520" s="21" t="str">
        <f aca="false">IF(OR($B520="",F520=0),"",G520/F520)</f>
        <v/>
      </c>
      <c r="I520" s="22" t="str">
        <f aca="false">IF($B520="","",MAX(F520-G520,0))</f>
        <v/>
      </c>
      <c r="J520" s="23" t="str">
        <f aca="false">IF($B520="","",IFERROR(INDEX(고객사!$G$5:$G$104,MATCH($B520,고객사!$A$5:$A$104,0)),""))</f>
        <v/>
      </c>
      <c r="K520" s="16"/>
      <c r="L520" s="22" t="str">
        <f aca="false">IF($B520="","",K520*IFERROR(INDEX(고객사!$L$5:$L$104,MATCH($B520,고객사!$A$5:$A$104,0)),0))</f>
        <v/>
      </c>
      <c r="M520" s="23" t="str">
        <f aca="false">IF($B520="","",IF(AND(J520="N",G520&gt;0,K520=0,IFERROR(INDEX(고객사!$H$5:$H$104,MATCH($B520,고객사!$A$5:$A$104,0)),"")="자사 차량 운행"),"차량 미배정",""))</f>
        <v/>
      </c>
      <c r="N520" s="22" t="str">
        <f aca="false">IF($B520="","",IFERROR(INDEX(고객사!$J$5:$J$104,MATCH($B520,고객사!$A$5:$A$104,0)),0))</f>
        <v/>
      </c>
      <c r="O520" s="22" t="str">
        <f aca="false">IF($B520="","",G520*N520)</f>
        <v/>
      </c>
      <c r="P520" s="22" t="str">
        <f aca="false">IF($B520="","",IFERROR(INDEX(고객사!$K$5:$K$104,MATCH($B520,고객사!$A$5:$A$104,0)),0))</f>
        <v/>
      </c>
      <c r="Q520" s="22" t="str">
        <f aca="false">IF($B520="","",G520*P520)</f>
        <v/>
      </c>
      <c r="R520" s="22" t="str">
        <f aca="false">IF($B520="","",O520-Q520-L520)</f>
        <v/>
      </c>
      <c r="S520" s="21" t="str">
        <f aca="false">IF(OR($B520="",N(O520)=0),"",R520/O520)</f>
        <v/>
      </c>
      <c r="T520" s="14"/>
      <c r="U520" s="19" t="n">
        <f aca="false">IF(OR($B520="",$A520=""),0,IF(COUNTIFS($A$5:$A520,$A520,$B$5:$B520,$B520)=1,1,0))</f>
        <v>0</v>
      </c>
    </row>
    <row r="521" customFormat="false" ht="15" hidden="false" customHeight="false" outlineLevel="0" collapsed="false">
      <c r="A521" s="17"/>
      <c r="B521" s="13"/>
      <c r="C521" s="20" t="str">
        <f aca="false">IF($B521="","",IFERROR(INDEX(고객사!$B$5:$B$104,MATCH($B521,고객사!$A$5:$A$104,0)),"코드 확인"))</f>
        <v/>
      </c>
      <c r="D521" s="15"/>
      <c r="E521" s="15"/>
      <c r="F521" s="16"/>
      <c r="G521" s="16"/>
      <c r="H521" s="21" t="str">
        <f aca="false">IF(OR($B521="",F521=0),"",G521/F521)</f>
        <v/>
      </c>
      <c r="I521" s="22" t="str">
        <f aca="false">IF($B521="","",MAX(F521-G521,0))</f>
        <v/>
      </c>
      <c r="J521" s="23" t="str">
        <f aca="false">IF($B521="","",IFERROR(INDEX(고객사!$G$5:$G$104,MATCH($B521,고객사!$A$5:$A$104,0)),""))</f>
        <v/>
      </c>
      <c r="K521" s="16"/>
      <c r="L521" s="22" t="str">
        <f aca="false">IF($B521="","",K521*IFERROR(INDEX(고객사!$L$5:$L$104,MATCH($B521,고객사!$A$5:$A$104,0)),0))</f>
        <v/>
      </c>
      <c r="M521" s="23" t="str">
        <f aca="false">IF($B521="","",IF(AND(J521="N",G521&gt;0,K521=0,IFERROR(INDEX(고객사!$H$5:$H$104,MATCH($B521,고객사!$A$5:$A$104,0)),"")="자사 차량 운행"),"차량 미배정",""))</f>
        <v/>
      </c>
      <c r="N521" s="22" t="str">
        <f aca="false">IF($B521="","",IFERROR(INDEX(고객사!$J$5:$J$104,MATCH($B521,고객사!$A$5:$A$104,0)),0))</f>
        <v/>
      </c>
      <c r="O521" s="22" t="str">
        <f aca="false">IF($B521="","",G521*N521)</f>
        <v/>
      </c>
      <c r="P521" s="22" t="str">
        <f aca="false">IF($B521="","",IFERROR(INDEX(고객사!$K$5:$K$104,MATCH($B521,고객사!$A$5:$A$104,0)),0))</f>
        <v/>
      </c>
      <c r="Q521" s="22" t="str">
        <f aca="false">IF($B521="","",G521*P521)</f>
        <v/>
      </c>
      <c r="R521" s="22" t="str">
        <f aca="false">IF($B521="","",O521-Q521-L521)</f>
        <v/>
      </c>
      <c r="S521" s="21" t="str">
        <f aca="false">IF(OR($B521="",N(O521)=0),"",R521/O521)</f>
        <v/>
      </c>
      <c r="T521" s="14"/>
      <c r="U521" s="19" t="n">
        <f aca="false">IF(OR($B521="",$A521=""),0,IF(COUNTIFS($A$5:$A521,$A521,$B$5:$B521,$B521)=1,1,0))</f>
        <v>0</v>
      </c>
    </row>
    <row r="522" customFormat="false" ht="15" hidden="false" customHeight="false" outlineLevel="0" collapsed="false">
      <c r="A522" s="17"/>
      <c r="B522" s="13"/>
      <c r="C522" s="20" t="str">
        <f aca="false">IF($B522="","",IFERROR(INDEX(고객사!$B$5:$B$104,MATCH($B522,고객사!$A$5:$A$104,0)),"코드 확인"))</f>
        <v/>
      </c>
      <c r="D522" s="15"/>
      <c r="E522" s="15"/>
      <c r="F522" s="16"/>
      <c r="G522" s="16"/>
      <c r="H522" s="21" t="str">
        <f aca="false">IF(OR($B522="",F522=0),"",G522/F522)</f>
        <v/>
      </c>
      <c r="I522" s="22" t="str">
        <f aca="false">IF($B522="","",MAX(F522-G522,0))</f>
        <v/>
      </c>
      <c r="J522" s="23" t="str">
        <f aca="false">IF($B522="","",IFERROR(INDEX(고객사!$G$5:$G$104,MATCH($B522,고객사!$A$5:$A$104,0)),""))</f>
        <v/>
      </c>
      <c r="K522" s="16"/>
      <c r="L522" s="22" t="str">
        <f aca="false">IF($B522="","",K522*IFERROR(INDEX(고객사!$L$5:$L$104,MATCH($B522,고객사!$A$5:$A$104,0)),0))</f>
        <v/>
      </c>
      <c r="M522" s="23" t="str">
        <f aca="false">IF($B522="","",IF(AND(J522="N",G522&gt;0,K522=0,IFERROR(INDEX(고객사!$H$5:$H$104,MATCH($B522,고객사!$A$5:$A$104,0)),"")="자사 차량 운행"),"차량 미배정",""))</f>
        <v/>
      </c>
      <c r="N522" s="22" t="str">
        <f aca="false">IF($B522="","",IFERROR(INDEX(고객사!$J$5:$J$104,MATCH($B522,고객사!$A$5:$A$104,0)),0))</f>
        <v/>
      </c>
      <c r="O522" s="22" t="str">
        <f aca="false">IF($B522="","",G522*N522)</f>
        <v/>
      </c>
      <c r="P522" s="22" t="str">
        <f aca="false">IF($B522="","",IFERROR(INDEX(고객사!$K$5:$K$104,MATCH($B522,고객사!$A$5:$A$104,0)),0))</f>
        <v/>
      </c>
      <c r="Q522" s="22" t="str">
        <f aca="false">IF($B522="","",G522*P522)</f>
        <v/>
      </c>
      <c r="R522" s="22" t="str">
        <f aca="false">IF($B522="","",O522-Q522-L522)</f>
        <v/>
      </c>
      <c r="S522" s="21" t="str">
        <f aca="false">IF(OR($B522="",N(O522)=0),"",R522/O522)</f>
        <v/>
      </c>
      <c r="T522" s="14"/>
      <c r="U522" s="19" t="n">
        <f aca="false">IF(OR($B522="",$A522=""),0,IF(COUNTIFS($A$5:$A522,$A522,$B$5:$B522,$B522)=1,1,0))</f>
        <v>0</v>
      </c>
    </row>
    <row r="523" customFormat="false" ht="15" hidden="false" customHeight="false" outlineLevel="0" collapsed="false">
      <c r="A523" s="17"/>
      <c r="B523" s="13"/>
      <c r="C523" s="20" t="str">
        <f aca="false">IF($B523="","",IFERROR(INDEX(고객사!$B$5:$B$104,MATCH($B523,고객사!$A$5:$A$104,0)),"코드 확인"))</f>
        <v/>
      </c>
      <c r="D523" s="15"/>
      <c r="E523" s="15"/>
      <c r="F523" s="16"/>
      <c r="G523" s="16"/>
      <c r="H523" s="21" t="str">
        <f aca="false">IF(OR($B523="",F523=0),"",G523/F523)</f>
        <v/>
      </c>
      <c r="I523" s="22" t="str">
        <f aca="false">IF($B523="","",MAX(F523-G523,0))</f>
        <v/>
      </c>
      <c r="J523" s="23" t="str">
        <f aca="false">IF($B523="","",IFERROR(INDEX(고객사!$G$5:$G$104,MATCH($B523,고객사!$A$5:$A$104,0)),""))</f>
        <v/>
      </c>
      <c r="K523" s="16"/>
      <c r="L523" s="22" t="str">
        <f aca="false">IF($B523="","",K523*IFERROR(INDEX(고객사!$L$5:$L$104,MATCH($B523,고객사!$A$5:$A$104,0)),0))</f>
        <v/>
      </c>
      <c r="M523" s="23" t="str">
        <f aca="false">IF($B523="","",IF(AND(J523="N",G523&gt;0,K523=0,IFERROR(INDEX(고객사!$H$5:$H$104,MATCH($B523,고객사!$A$5:$A$104,0)),"")="자사 차량 운행"),"차량 미배정",""))</f>
        <v/>
      </c>
      <c r="N523" s="22" t="str">
        <f aca="false">IF($B523="","",IFERROR(INDEX(고객사!$J$5:$J$104,MATCH($B523,고객사!$A$5:$A$104,0)),0))</f>
        <v/>
      </c>
      <c r="O523" s="22" t="str">
        <f aca="false">IF($B523="","",G523*N523)</f>
        <v/>
      </c>
      <c r="P523" s="22" t="str">
        <f aca="false">IF($B523="","",IFERROR(INDEX(고객사!$K$5:$K$104,MATCH($B523,고객사!$A$5:$A$104,0)),0))</f>
        <v/>
      </c>
      <c r="Q523" s="22" t="str">
        <f aca="false">IF($B523="","",G523*P523)</f>
        <v/>
      </c>
      <c r="R523" s="22" t="str">
        <f aca="false">IF($B523="","",O523-Q523-L523)</f>
        <v/>
      </c>
      <c r="S523" s="21" t="str">
        <f aca="false">IF(OR($B523="",N(O523)=0),"",R523/O523)</f>
        <v/>
      </c>
      <c r="T523" s="14"/>
      <c r="U523" s="19" t="n">
        <f aca="false">IF(OR($B523="",$A523=""),0,IF(COUNTIFS($A$5:$A523,$A523,$B$5:$B523,$B523)=1,1,0))</f>
        <v>0</v>
      </c>
    </row>
    <row r="524" customFormat="false" ht="15" hidden="false" customHeight="false" outlineLevel="0" collapsed="false">
      <c r="A524" s="17"/>
      <c r="B524" s="13"/>
      <c r="C524" s="20" t="str">
        <f aca="false">IF($B524="","",IFERROR(INDEX(고객사!$B$5:$B$104,MATCH($B524,고객사!$A$5:$A$104,0)),"코드 확인"))</f>
        <v/>
      </c>
      <c r="D524" s="15"/>
      <c r="E524" s="15"/>
      <c r="F524" s="16"/>
      <c r="G524" s="16"/>
      <c r="H524" s="21" t="str">
        <f aca="false">IF(OR($B524="",F524=0),"",G524/F524)</f>
        <v/>
      </c>
      <c r="I524" s="22" t="str">
        <f aca="false">IF($B524="","",MAX(F524-G524,0))</f>
        <v/>
      </c>
      <c r="J524" s="23" t="str">
        <f aca="false">IF($B524="","",IFERROR(INDEX(고객사!$G$5:$G$104,MATCH($B524,고객사!$A$5:$A$104,0)),""))</f>
        <v/>
      </c>
      <c r="K524" s="16"/>
      <c r="L524" s="22" t="str">
        <f aca="false">IF($B524="","",K524*IFERROR(INDEX(고객사!$L$5:$L$104,MATCH($B524,고객사!$A$5:$A$104,0)),0))</f>
        <v/>
      </c>
      <c r="M524" s="23" t="str">
        <f aca="false">IF($B524="","",IF(AND(J524="N",G524&gt;0,K524=0,IFERROR(INDEX(고객사!$H$5:$H$104,MATCH($B524,고객사!$A$5:$A$104,0)),"")="자사 차량 운행"),"차량 미배정",""))</f>
        <v/>
      </c>
      <c r="N524" s="22" t="str">
        <f aca="false">IF($B524="","",IFERROR(INDEX(고객사!$J$5:$J$104,MATCH($B524,고객사!$A$5:$A$104,0)),0))</f>
        <v/>
      </c>
      <c r="O524" s="22" t="str">
        <f aca="false">IF($B524="","",G524*N524)</f>
        <v/>
      </c>
      <c r="P524" s="22" t="str">
        <f aca="false">IF($B524="","",IFERROR(INDEX(고객사!$K$5:$K$104,MATCH($B524,고객사!$A$5:$A$104,0)),0))</f>
        <v/>
      </c>
      <c r="Q524" s="22" t="str">
        <f aca="false">IF($B524="","",G524*P524)</f>
        <v/>
      </c>
      <c r="R524" s="22" t="str">
        <f aca="false">IF($B524="","",O524-Q524-L524)</f>
        <v/>
      </c>
      <c r="S524" s="21" t="str">
        <f aca="false">IF(OR($B524="",N(O524)=0),"",R524/O524)</f>
        <v/>
      </c>
      <c r="T524" s="14"/>
      <c r="U524" s="19" t="n">
        <f aca="false">IF(OR($B524="",$A524=""),0,IF(COUNTIFS($A$5:$A524,$A524,$B$5:$B524,$B524)=1,1,0))</f>
        <v>0</v>
      </c>
    </row>
    <row r="525" customFormat="false" ht="15" hidden="false" customHeight="false" outlineLevel="0" collapsed="false">
      <c r="A525" s="17"/>
      <c r="B525" s="13"/>
      <c r="C525" s="20" t="str">
        <f aca="false">IF($B525="","",IFERROR(INDEX(고객사!$B$5:$B$104,MATCH($B525,고객사!$A$5:$A$104,0)),"코드 확인"))</f>
        <v/>
      </c>
      <c r="D525" s="15"/>
      <c r="E525" s="15"/>
      <c r="F525" s="16"/>
      <c r="G525" s="16"/>
      <c r="H525" s="21" t="str">
        <f aca="false">IF(OR($B525="",F525=0),"",G525/F525)</f>
        <v/>
      </c>
      <c r="I525" s="22" t="str">
        <f aca="false">IF($B525="","",MAX(F525-G525,0))</f>
        <v/>
      </c>
      <c r="J525" s="23" t="str">
        <f aca="false">IF($B525="","",IFERROR(INDEX(고객사!$G$5:$G$104,MATCH($B525,고객사!$A$5:$A$104,0)),""))</f>
        <v/>
      </c>
      <c r="K525" s="16"/>
      <c r="L525" s="22" t="str">
        <f aca="false">IF($B525="","",K525*IFERROR(INDEX(고객사!$L$5:$L$104,MATCH($B525,고객사!$A$5:$A$104,0)),0))</f>
        <v/>
      </c>
      <c r="M525" s="23" t="str">
        <f aca="false">IF($B525="","",IF(AND(J525="N",G525&gt;0,K525=0,IFERROR(INDEX(고객사!$H$5:$H$104,MATCH($B525,고객사!$A$5:$A$104,0)),"")="자사 차량 운행"),"차량 미배정",""))</f>
        <v/>
      </c>
      <c r="N525" s="22" t="str">
        <f aca="false">IF($B525="","",IFERROR(INDEX(고객사!$J$5:$J$104,MATCH($B525,고객사!$A$5:$A$104,0)),0))</f>
        <v/>
      </c>
      <c r="O525" s="22" t="str">
        <f aca="false">IF($B525="","",G525*N525)</f>
        <v/>
      </c>
      <c r="P525" s="22" t="str">
        <f aca="false">IF($B525="","",IFERROR(INDEX(고객사!$K$5:$K$104,MATCH($B525,고객사!$A$5:$A$104,0)),0))</f>
        <v/>
      </c>
      <c r="Q525" s="22" t="str">
        <f aca="false">IF($B525="","",G525*P525)</f>
        <v/>
      </c>
      <c r="R525" s="22" t="str">
        <f aca="false">IF($B525="","",O525-Q525-L525)</f>
        <v/>
      </c>
      <c r="S525" s="21" t="str">
        <f aca="false">IF(OR($B525="",N(O525)=0),"",R525/O525)</f>
        <v/>
      </c>
      <c r="T525" s="14"/>
      <c r="U525" s="19" t="n">
        <f aca="false">IF(OR($B525="",$A525=""),0,IF(COUNTIFS($A$5:$A525,$A525,$B$5:$B525,$B525)=1,1,0))</f>
        <v>0</v>
      </c>
    </row>
    <row r="526" customFormat="false" ht="15" hidden="false" customHeight="false" outlineLevel="0" collapsed="false">
      <c r="A526" s="17"/>
      <c r="B526" s="13"/>
      <c r="C526" s="20" t="str">
        <f aca="false">IF($B526="","",IFERROR(INDEX(고객사!$B$5:$B$104,MATCH($B526,고객사!$A$5:$A$104,0)),"코드 확인"))</f>
        <v/>
      </c>
      <c r="D526" s="15"/>
      <c r="E526" s="15"/>
      <c r="F526" s="16"/>
      <c r="G526" s="16"/>
      <c r="H526" s="21" t="str">
        <f aca="false">IF(OR($B526="",F526=0),"",G526/F526)</f>
        <v/>
      </c>
      <c r="I526" s="22" t="str">
        <f aca="false">IF($B526="","",MAX(F526-G526,0))</f>
        <v/>
      </c>
      <c r="J526" s="23" t="str">
        <f aca="false">IF($B526="","",IFERROR(INDEX(고객사!$G$5:$G$104,MATCH($B526,고객사!$A$5:$A$104,0)),""))</f>
        <v/>
      </c>
      <c r="K526" s="16"/>
      <c r="L526" s="22" t="str">
        <f aca="false">IF($B526="","",K526*IFERROR(INDEX(고객사!$L$5:$L$104,MATCH($B526,고객사!$A$5:$A$104,0)),0))</f>
        <v/>
      </c>
      <c r="M526" s="23" t="str">
        <f aca="false">IF($B526="","",IF(AND(J526="N",G526&gt;0,K526=0,IFERROR(INDEX(고객사!$H$5:$H$104,MATCH($B526,고객사!$A$5:$A$104,0)),"")="자사 차량 운행"),"차량 미배정",""))</f>
        <v/>
      </c>
      <c r="N526" s="22" t="str">
        <f aca="false">IF($B526="","",IFERROR(INDEX(고객사!$J$5:$J$104,MATCH($B526,고객사!$A$5:$A$104,0)),0))</f>
        <v/>
      </c>
      <c r="O526" s="22" t="str">
        <f aca="false">IF($B526="","",G526*N526)</f>
        <v/>
      </c>
      <c r="P526" s="22" t="str">
        <f aca="false">IF($B526="","",IFERROR(INDEX(고객사!$K$5:$K$104,MATCH($B526,고객사!$A$5:$A$104,0)),0))</f>
        <v/>
      </c>
      <c r="Q526" s="22" t="str">
        <f aca="false">IF($B526="","",G526*P526)</f>
        <v/>
      </c>
      <c r="R526" s="22" t="str">
        <f aca="false">IF($B526="","",O526-Q526-L526)</f>
        <v/>
      </c>
      <c r="S526" s="21" t="str">
        <f aca="false">IF(OR($B526="",N(O526)=0),"",R526/O526)</f>
        <v/>
      </c>
      <c r="T526" s="14"/>
      <c r="U526" s="19" t="n">
        <f aca="false">IF(OR($B526="",$A526=""),0,IF(COUNTIFS($A$5:$A526,$A526,$B$5:$B526,$B526)=1,1,0))</f>
        <v>0</v>
      </c>
    </row>
    <row r="527" customFormat="false" ht="15" hidden="false" customHeight="false" outlineLevel="0" collapsed="false">
      <c r="A527" s="17"/>
      <c r="B527" s="13"/>
      <c r="C527" s="20" t="str">
        <f aca="false">IF($B527="","",IFERROR(INDEX(고객사!$B$5:$B$104,MATCH($B527,고객사!$A$5:$A$104,0)),"코드 확인"))</f>
        <v/>
      </c>
      <c r="D527" s="15"/>
      <c r="E527" s="15"/>
      <c r="F527" s="16"/>
      <c r="G527" s="16"/>
      <c r="H527" s="21" t="str">
        <f aca="false">IF(OR($B527="",F527=0),"",G527/F527)</f>
        <v/>
      </c>
      <c r="I527" s="22" t="str">
        <f aca="false">IF($B527="","",MAX(F527-G527,0))</f>
        <v/>
      </c>
      <c r="J527" s="23" t="str">
        <f aca="false">IF($B527="","",IFERROR(INDEX(고객사!$G$5:$G$104,MATCH($B527,고객사!$A$5:$A$104,0)),""))</f>
        <v/>
      </c>
      <c r="K527" s="16"/>
      <c r="L527" s="22" t="str">
        <f aca="false">IF($B527="","",K527*IFERROR(INDEX(고객사!$L$5:$L$104,MATCH($B527,고객사!$A$5:$A$104,0)),0))</f>
        <v/>
      </c>
      <c r="M527" s="23" t="str">
        <f aca="false">IF($B527="","",IF(AND(J527="N",G527&gt;0,K527=0,IFERROR(INDEX(고객사!$H$5:$H$104,MATCH($B527,고객사!$A$5:$A$104,0)),"")="자사 차량 운행"),"차량 미배정",""))</f>
        <v/>
      </c>
      <c r="N527" s="22" t="str">
        <f aca="false">IF($B527="","",IFERROR(INDEX(고객사!$J$5:$J$104,MATCH($B527,고객사!$A$5:$A$104,0)),0))</f>
        <v/>
      </c>
      <c r="O527" s="22" t="str">
        <f aca="false">IF($B527="","",G527*N527)</f>
        <v/>
      </c>
      <c r="P527" s="22" t="str">
        <f aca="false">IF($B527="","",IFERROR(INDEX(고객사!$K$5:$K$104,MATCH($B527,고객사!$A$5:$A$104,0)),0))</f>
        <v/>
      </c>
      <c r="Q527" s="22" t="str">
        <f aca="false">IF($B527="","",G527*P527)</f>
        <v/>
      </c>
      <c r="R527" s="22" t="str">
        <f aca="false">IF($B527="","",O527-Q527-L527)</f>
        <v/>
      </c>
      <c r="S527" s="21" t="str">
        <f aca="false">IF(OR($B527="",N(O527)=0),"",R527/O527)</f>
        <v/>
      </c>
      <c r="T527" s="14"/>
      <c r="U527" s="19" t="n">
        <f aca="false">IF(OR($B527="",$A527=""),0,IF(COUNTIFS($A$5:$A527,$A527,$B$5:$B527,$B527)=1,1,0))</f>
        <v>0</v>
      </c>
    </row>
    <row r="528" customFormat="false" ht="15" hidden="false" customHeight="false" outlineLevel="0" collapsed="false">
      <c r="A528" s="17"/>
      <c r="B528" s="13"/>
      <c r="C528" s="20" t="str">
        <f aca="false">IF($B528="","",IFERROR(INDEX(고객사!$B$5:$B$104,MATCH($B528,고객사!$A$5:$A$104,0)),"코드 확인"))</f>
        <v/>
      </c>
      <c r="D528" s="15"/>
      <c r="E528" s="15"/>
      <c r="F528" s="16"/>
      <c r="G528" s="16"/>
      <c r="H528" s="21" t="str">
        <f aca="false">IF(OR($B528="",F528=0),"",G528/F528)</f>
        <v/>
      </c>
      <c r="I528" s="22" t="str">
        <f aca="false">IF($B528="","",MAX(F528-G528,0))</f>
        <v/>
      </c>
      <c r="J528" s="23" t="str">
        <f aca="false">IF($B528="","",IFERROR(INDEX(고객사!$G$5:$G$104,MATCH($B528,고객사!$A$5:$A$104,0)),""))</f>
        <v/>
      </c>
      <c r="K528" s="16"/>
      <c r="L528" s="22" t="str">
        <f aca="false">IF($B528="","",K528*IFERROR(INDEX(고객사!$L$5:$L$104,MATCH($B528,고객사!$A$5:$A$104,0)),0))</f>
        <v/>
      </c>
      <c r="M528" s="23" t="str">
        <f aca="false">IF($B528="","",IF(AND(J528="N",G528&gt;0,K528=0,IFERROR(INDEX(고객사!$H$5:$H$104,MATCH($B528,고객사!$A$5:$A$104,0)),"")="자사 차량 운행"),"차량 미배정",""))</f>
        <v/>
      </c>
      <c r="N528" s="22" t="str">
        <f aca="false">IF($B528="","",IFERROR(INDEX(고객사!$J$5:$J$104,MATCH($B528,고객사!$A$5:$A$104,0)),0))</f>
        <v/>
      </c>
      <c r="O528" s="22" t="str">
        <f aca="false">IF($B528="","",G528*N528)</f>
        <v/>
      </c>
      <c r="P528" s="22" t="str">
        <f aca="false">IF($B528="","",IFERROR(INDEX(고객사!$K$5:$K$104,MATCH($B528,고객사!$A$5:$A$104,0)),0))</f>
        <v/>
      </c>
      <c r="Q528" s="22" t="str">
        <f aca="false">IF($B528="","",G528*P528)</f>
        <v/>
      </c>
      <c r="R528" s="22" t="str">
        <f aca="false">IF($B528="","",O528-Q528-L528)</f>
        <v/>
      </c>
      <c r="S528" s="21" t="str">
        <f aca="false">IF(OR($B528="",N(O528)=0),"",R528/O528)</f>
        <v/>
      </c>
      <c r="T528" s="14"/>
      <c r="U528" s="19" t="n">
        <f aca="false">IF(OR($B528="",$A528=""),0,IF(COUNTIFS($A$5:$A528,$A528,$B$5:$B528,$B528)=1,1,0))</f>
        <v>0</v>
      </c>
    </row>
    <row r="529" customFormat="false" ht="15" hidden="false" customHeight="false" outlineLevel="0" collapsed="false">
      <c r="A529" s="17"/>
      <c r="B529" s="13"/>
      <c r="C529" s="20" t="str">
        <f aca="false">IF($B529="","",IFERROR(INDEX(고객사!$B$5:$B$104,MATCH($B529,고객사!$A$5:$A$104,0)),"코드 확인"))</f>
        <v/>
      </c>
      <c r="D529" s="15"/>
      <c r="E529" s="15"/>
      <c r="F529" s="16"/>
      <c r="G529" s="16"/>
      <c r="H529" s="21" t="str">
        <f aca="false">IF(OR($B529="",F529=0),"",G529/F529)</f>
        <v/>
      </c>
      <c r="I529" s="22" t="str">
        <f aca="false">IF($B529="","",MAX(F529-G529,0))</f>
        <v/>
      </c>
      <c r="J529" s="23" t="str">
        <f aca="false">IF($B529="","",IFERROR(INDEX(고객사!$G$5:$G$104,MATCH($B529,고객사!$A$5:$A$104,0)),""))</f>
        <v/>
      </c>
      <c r="K529" s="16"/>
      <c r="L529" s="22" t="str">
        <f aca="false">IF($B529="","",K529*IFERROR(INDEX(고객사!$L$5:$L$104,MATCH($B529,고객사!$A$5:$A$104,0)),0))</f>
        <v/>
      </c>
      <c r="M529" s="23" t="str">
        <f aca="false">IF($B529="","",IF(AND(J529="N",G529&gt;0,K529=0,IFERROR(INDEX(고객사!$H$5:$H$104,MATCH($B529,고객사!$A$5:$A$104,0)),"")="자사 차량 운행"),"차량 미배정",""))</f>
        <v/>
      </c>
      <c r="N529" s="22" t="str">
        <f aca="false">IF($B529="","",IFERROR(INDEX(고객사!$J$5:$J$104,MATCH($B529,고객사!$A$5:$A$104,0)),0))</f>
        <v/>
      </c>
      <c r="O529" s="22" t="str">
        <f aca="false">IF($B529="","",G529*N529)</f>
        <v/>
      </c>
      <c r="P529" s="22" t="str">
        <f aca="false">IF($B529="","",IFERROR(INDEX(고객사!$K$5:$K$104,MATCH($B529,고객사!$A$5:$A$104,0)),0))</f>
        <v/>
      </c>
      <c r="Q529" s="22" t="str">
        <f aca="false">IF($B529="","",G529*P529)</f>
        <v/>
      </c>
      <c r="R529" s="22" t="str">
        <f aca="false">IF($B529="","",O529-Q529-L529)</f>
        <v/>
      </c>
      <c r="S529" s="21" t="str">
        <f aca="false">IF(OR($B529="",N(O529)=0),"",R529/O529)</f>
        <v/>
      </c>
      <c r="T529" s="14"/>
      <c r="U529" s="19" t="n">
        <f aca="false">IF(OR($B529="",$A529=""),0,IF(COUNTIFS($A$5:$A529,$A529,$B$5:$B529,$B529)=1,1,0))</f>
        <v>0</v>
      </c>
    </row>
    <row r="530" customFormat="false" ht="15" hidden="false" customHeight="false" outlineLevel="0" collapsed="false">
      <c r="A530" s="17"/>
      <c r="B530" s="13"/>
      <c r="C530" s="20" t="str">
        <f aca="false">IF($B530="","",IFERROR(INDEX(고객사!$B$5:$B$104,MATCH($B530,고객사!$A$5:$A$104,0)),"코드 확인"))</f>
        <v/>
      </c>
      <c r="D530" s="15"/>
      <c r="E530" s="15"/>
      <c r="F530" s="16"/>
      <c r="G530" s="16"/>
      <c r="H530" s="21" t="str">
        <f aca="false">IF(OR($B530="",F530=0),"",G530/F530)</f>
        <v/>
      </c>
      <c r="I530" s="22" t="str">
        <f aca="false">IF($B530="","",MAX(F530-G530,0))</f>
        <v/>
      </c>
      <c r="J530" s="23" t="str">
        <f aca="false">IF($B530="","",IFERROR(INDEX(고객사!$G$5:$G$104,MATCH($B530,고객사!$A$5:$A$104,0)),""))</f>
        <v/>
      </c>
      <c r="K530" s="16"/>
      <c r="L530" s="22" t="str">
        <f aca="false">IF($B530="","",K530*IFERROR(INDEX(고객사!$L$5:$L$104,MATCH($B530,고객사!$A$5:$A$104,0)),0))</f>
        <v/>
      </c>
      <c r="M530" s="23" t="str">
        <f aca="false">IF($B530="","",IF(AND(J530="N",G530&gt;0,K530=0,IFERROR(INDEX(고객사!$H$5:$H$104,MATCH($B530,고객사!$A$5:$A$104,0)),"")="자사 차량 운행"),"차량 미배정",""))</f>
        <v/>
      </c>
      <c r="N530" s="22" t="str">
        <f aca="false">IF($B530="","",IFERROR(INDEX(고객사!$J$5:$J$104,MATCH($B530,고객사!$A$5:$A$104,0)),0))</f>
        <v/>
      </c>
      <c r="O530" s="22" t="str">
        <f aca="false">IF($B530="","",G530*N530)</f>
        <v/>
      </c>
      <c r="P530" s="22" t="str">
        <f aca="false">IF($B530="","",IFERROR(INDEX(고객사!$K$5:$K$104,MATCH($B530,고객사!$A$5:$A$104,0)),0))</f>
        <v/>
      </c>
      <c r="Q530" s="22" t="str">
        <f aca="false">IF($B530="","",G530*P530)</f>
        <v/>
      </c>
      <c r="R530" s="22" t="str">
        <f aca="false">IF($B530="","",O530-Q530-L530)</f>
        <v/>
      </c>
      <c r="S530" s="21" t="str">
        <f aca="false">IF(OR($B530="",N(O530)=0),"",R530/O530)</f>
        <v/>
      </c>
      <c r="T530" s="14"/>
      <c r="U530" s="19" t="n">
        <f aca="false">IF(OR($B530="",$A530=""),0,IF(COUNTIFS($A$5:$A530,$A530,$B$5:$B530,$B530)=1,1,0))</f>
        <v>0</v>
      </c>
    </row>
    <row r="531" customFormat="false" ht="15" hidden="false" customHeight="false" outlineLevel="0" collapsed="false">
      <c r="A531" s="17"/>
      <c r="B531" s="13"/>
      <c r="C531" s="20" t="str">
        <f aca="false">IF($B531="","",IFERROR(INDEX(고객사!$B$5:$B$104,MATCH($B531,고객사!$A$5:$A$104,0)),"코드 확인"))</f>
        <v/>
      </c>
      <c r="D531" s="15"/>
      <c r="E531" s="15"/>
      <c r="F531" s="16"/>
      <c r="G531" s="16"/>
      <c r="H531" s="21" t="str">
        <f aca="false">IF(OR($B531="",F531=0),"",G531/F531)</f>
        <v/>
      </c>
      <c r="I531" s="22" t="str">
        <f aca="false">IF($B531="","",MAX(F531-G531,0))</f>
        <v/>
      </c>
      <c r="J531" s="23" t="str">
        <f aca="false">IF($B531="","",IFERROR(INDEX(고객사!$G$5:$G$104,MATCH($B531,고객사!$A$5:$A$104,0)),""))</f>
        <v/>
      </c>
      <c r="K531" s="16"/>
      <c r="L531" s="22" t="str">
        <f aca="false">IF($B531="","",K531*IFERROR(INDEX(고객사!$L$5:$L$104,MATCH($B531,고객사!$A$5:$A$104,0)),0))</f>
        <v/>
      </c>
      <c r="M531" s="23" t="str">
        <f aca="false">IF($B531="","",IF(AND(J531="N",G531&gt;0,K531=0,IFERROR(INDEX(고객사!$H$5:$H$104,MATCH($B531,고객사!$A$5:$A$104,0)),"")="자사 차량 운행"),"차량 미배정",""))</f>
        <v/>
      </c>
      <c r="N531" s="22" t="str">
        <f aca="false">IF($B531="","",IFERROR(INDEX(고객사!$J$5:$J$104,MATCH($B531,고객사!$A$5:$A$104,0)),0))</f>
        <v/>
      </c>
      <c r="O531" s="22" t="str">
        <f aca="false">IF($B531="","",G531*N531)</f>
        <v/>
      </c>
      <c r="P531" s="22" t="str">
        <f aca="false">IF($B531="","",IFERROR(INDEX(고객사!$K$5:$K$104,MATCH($B531,고객사!$A$5:$A$104,0)),0))</f>
        <v/>
      </c>
      <c r="Q531" s="22" t="str">
        <f aca="false">IF($B531="","",G531*P531)</f>
        <v/>
      </c>
      <c r="R531" s="22" t="str">
        <f aca="false">IF($B531="","",O531-Q531-L531)</f>
        <v/>
      </c>
      <c r="S531" s="21" t="str">
        <f aca="false">IF(OR($B531="",N(O531)=0),"",R531/O531)</f>
        <v/>
      </c>
      <c r="T531" s="14"/>
      <c r="U531" s="19" t="n">
        <f aca="false">IF(OR($B531="",$A531=""),0,IF(COUNTIFS($A$5:$A531,$A531,$B$5:$B531,$B531)=1,1,0))</f>
        <v>0</v>
      </c>
    </row>
    <row r="532" customFormat="false" ht="15" hidden="false" customHeight="false" outlineLevel="0" collapsed="false">
      <c r="A532" s="17"/>
      <c r="B532" s="13"/>
      <c r="C532" s="20" t="str">
        <f aca="false">IF($B532="","",IFERROR(INDEX(고객사!$B$5:$B$104,MATCH($B532,고객사!$A$5:$A$104,0)),"코드 확인"))</f>
        <v/>
      </c>
      <c r="D532" s="15"/>
      <c r="E532" s="15"/>
      <c r="F532" s="16"/>
      <c r="G532" s="16"/>
      <c r="H532" s="21" t="str">
        <f aca="false">IF(OR($B532="",F532=0),"",G532/F532)</f>
        <v/>
      </c>
      <c r="I532" s="22" t="str">
        <f aca="false">IF($B532="","",MAX(F532-G532,0))</f>
        <v/>
      </c>
      <c r="J532" s="23" t="str">
        <f aca="false">IF($B532="","",IFERROR(INDEX(고객사!$G$5:$G$104,MATCH($B532,고객사!$A$5:$A$104,0)),""))</f>
        <v/>
      </c>
      <c r="K532" s="16"/>
      <c r="L532" s="22" t="str">
        <f aca="false">IF($B532="","",K532*IFERROR(INDEX(고객사!$L$5:$L$104,MATCH($B532,고객사!$A$5:$A$104,0)),0))</f>
        <v/>
      </c>
      <c r="M532" s="23" t="str">
        <f aca="false">IF($B532="","",IF(AND(J532="N",G532&gt;0,K532=0,IFERROR(INDEX(고객사!$H$5:$H$104,MATCH($B532,고객사!$A$5:$A$104,0)),"")="자사 차량 운행"),"차량 미배정",""))</f>
        <v/>
      </c>
      <c r="N532" s="22" t="str">
        <f aca="false">IF($B532="","",IFERROR(INDEX(고객사!$J$5:$J$104,MATCH($B532,고객사!$A$5:$A$104,0)),0))</f>
        <v/>
      </c>
      <c r="O532" s="22" t="str">
        <f aca="false">IF($B532="","",G532*N532)</f>
        <v/>
      </c>
      <c r="P532" s="22" t="str">
        <f aca="false">IF($B532="","",IFERROR(INDEX(고객사!$K$5:$K$104,MATCH($B532,고객사!$A$5:$A$104,0)),0))</f>
        <v/>
      </c>
      <c r="Q532" s="22" t="str">
        <f aca="false">IF($B532="","",G532*P532)</f>
        <v/>
      </c>
      <c r="R532" s="22" t="str">
        <f aca="false">IF($B532="","",O532-Q532-L532)</f>
        <v/>
      </c>
      <c r="S532" s="21" t="str">
        <f aca="false">IF(OR($B532="",N(O532)=0),"",R532/O532)</f>
        <v/>
      </c>
      <c r="T532" s="14"/>
      <c r="U532" s="19" t="n">
        <f aca="false">IF(OR($B532="",$A532=""),0,IF(COUNTIFS($A$5:$A532,$A532,$B$5:$B532,$B532)=1,1,0))</f>
        <v>0</v>
      </c>
    </row>
    <row r="533" customFormat="false" ht="15" hidden="false" customHeight="false" outlineLevel="0" collapsed="false">
      <c r="A533" s="17"/>
      <c r="B533" s="13"/>
      <c r="C533" s="20" t="str">
        <f aca="false">IF($B533="","",IFERROR(INDEX(고객사!$B$5:$B$104,MATCH($B533,고객사!$A$5:$A$104,0)),"코드 확인"))</f>
        <v/>
      </c>
      <c r="D533" s="15"/>
      <c r="E533" s="15"/>
      <c r="F533" s="16"/>
      <c r="G533" s="16"/>
      <c r="H533" s="21" t="str">
        <f aca="false">IF(OR($B533="",F533=0),"",G533/F533)</f>
        <v/>
      </c>
      <c r="I533" s="22" t="str">
        <f aca="false">IF($B533="","",MAX(F533-G533,0))</f>
        <v/>
      </c>
      <c r="J533" s="23" t="str">
        <f aca="false">IF($B533="","",IFERROR(INDEX(고객사!$G$5:$G$104,MATCH($B533,고객사!$A$5:$A$104,0)),""))</f>
        <v/>
      </c>
      <c r="K533" s="16"/>
      <c r="L533" s="22" t="str">
        <f aca="false">IF($B533="","",K533*IFERROR(INDEX(고객사!$L$5:$L$104,MATCH($B533,고객사!$A$5:$A$104,0)),0))</f>
        <v/>
      </c>
      <c r="M533" s="23" t="str">
        <f aca="false">IF($B533="","",IF(AND(J533="N",G533&gt;0,K533=0,IFERROR(INDEX(고객사!$H$5:$H$104,MATCH($B533,고객사!$A$5:$A$104,0)),"")="자사 차량 운행"),"차량 미배정",""))</f>
        <v/>
      </c>
      <c r="N533" s="22" t="str">
        <f aca="false">IF($B533="","",IFERROR(INDEX(고객사!$J$5:$J$104,MATCH($B533,고객사!$A$5:$A$104,0)),0))</f>
        <v/>
      </c>
      <c r="O533" s="22" t="str">
        <f aca="false">IF($B533="","",G533*N533)</f>
        <v/>
      </c>
      <c r="P533" s="22" t="str">
        <f aca="false">IF($B533="","",IFERROR(INDEX(고객사!$K$5:$K$104,MATCH($B533,고객사!$A$5:$A$104,0)),0))</f>
        <v/>
      </c>
      <c r="Q533" s="22" t="str">
        <f aca="false">IF($B533="","",G533*P533)</f>
        <v/>
      </c>
      <c r="R533" s="22" t="str">
        <f aca="false">IF($B533="","",O533-Q533-L533)</f>
        <v/>
      </c>
      <c r="S533" s="21" t="str">
        <f aca="false">IF(OR($B533="",N(O533)=0),"",R533/O533)</f>
        <v/>
      </c>
      <c r="T533" s="14"/>
      <c r="U533" s="19" t="n">
        <f aca="false">IF(OR($B533="",$A533=""),0,IF(COUNTIFS($A$5:$A533,$A533,$B$5:$B533,$B533)=1,1,0))</f>
        <v>0</v>
      </c>
    </row>
    <row r="534" customFormat="false" ht="15" hidden="false" customHeight="false" outlineLevel="0" collapsed="false">
      <c r="A534" s="17"/>
      <c r="B534" s="13"/>
      <c r="C534" s="20" t="str">
        <f aca="false">IF($B534="","",IFERROR(INDEX(고객사!$B$5:$B$104,MATCH($B534,고객사!$A$5:$A$104,0)),"코드 확인"))</f>
        <v/>
      </c>
      <c r="D534" s="15"/>
      <c r="E534" s="15"/>
      <c r="F534" s="16"/>
      <c r="G534" s="16"/>
      <c r="H534" s="21" t="str">
        <f aca="false">IF(OR($B534="",F534=0),"",G534/F534)</f>
        <v/>
      </c>
      <c r="I534" s="22" t="str">
        <f aca="false">IF($B534="","",MAX(F534-G534,0))</f>
        <v/>
      </c>
      <c r="J534" s="23" t="str">
        <f aca="false">IF($B534="","",IFERROR(INDEX(고객사!$G$5:$G$104,MATCH($B534,고객사!$A$5:$A$104,0)),""))</f>
        <v/>
      </c>
      <c r="K534" s="16"/>
      <c r="L534" s="22" t="str">
        <f aca="false">IF($B534="","",K534*IFERROR(INDEX(고객사!$L$5:$L$104,MATCH($B534,고객사!$A$5:$A$104,0)),0))</f>
        <v/>
      </c>
      <c r="M534" s="23" t="str">
        <f aca="false">IF($B534="","",IF(AND(J534="N",G534&gt;0,K534=0,IFERROR(INDEX(고객사!$H$5:$H$104,MATCH($B534,고객사!$A$5:$A$104,0)),"")="자사 차량 운행"),"차량 미배정",""))</f>
        <v/>
      </c>
      <c r="N534" s="22" t="str">
        <f aca="false">IF($B534="","",IFERROR(INDEX(고객사!$J$5:$J$104,MATCH($B534,고객사!$A$5:$A$104,0)),0))</f>
        <v/>
      </c>
      <c r="O534" s="22" t="str">
        <f aca="false">IF($B534="","",G534*N534)</f>
        <v/>
      </c>
      <c r="P534" s="22" t="str">
        <f aca="false">IF($B534="","",IFERROR(INDEX(고객사!$K$5:$K$104,MATCH($B534,고객사!$A$5:$A$104,0)),0))</f>
        <v/>
      </c>
      <c r="Q534" s="22" t="str">
        <f aca="false">IF($B534="","",G534*P534)</f>
        <v/>
      </c>
      <c r="R534" s="22" t="str">
        <f aca="false">IF($B534="","",O534-Q534-L534)</f>
        <v/>
      </c>
      <c r="S534" s="21" t="str">
        <f aca="false">IF(OR($B534="",N(O534)=0),"",R534/O534)</f>
        <v/>
      </c>
      <c r="T534" s="14"/>
      <c r="U534" s="19" t="n">
        <f aca="false">IF(OR($B534="",$A534=""),0,IF(COUNTIFS($A$5:$A534,$A534,$B$5:$B534,$B534)=1,1,0))</f>
        <v>0</v>
      </c>
    </row>
    <row r="535" customFormat="false" ht="15" hidden="false" customHeight="false" outlineLevel="0" collapsed="false">
      <c r="A535" s="17"/>
      <c r="B535" s="13"/>
      <c r="C535" s="20" t="str">
        <f aca="false">IF($B535="","",IFERROR(INDEX(고객사!$B$5:$B$104,MATCH($B535,고객사!$A$5:$A$104,0)),"코드 확인"))</f>
        <v/>
      </c>
      <c r="D535" s="15"/>
      <c r="E535" s="15"/>
      <c r="F535" s="16"/>
      <c r="G535" s="16"/>
      <c r="H535" s="21" t="str">
        <f aca="false">IF(OR($B535="",F535=0),"",G535/F535)</f>
        <v/>
      </c>
      <c r="I535" s="22" t="str">
        <f aca="false">IF($B535="","",MAX(F535-G535,0))</f>
        <v/>
      </c>
      <c r="J535" s="23" t="str">
        <f aca="false">IF($B535="","",IFERROR(INDEX(고객사!$G$5:$G$104,MATCH($B535,고객사!$A$5:$A$104,0)),""))</f>
        <v/>
      </c>
      <c r="K535" s="16"/>
      <c r="L535" s="22" t="str">
        <f aca="false">IF($B535="","",K535*IFERROR(INDEX(고객사!$L$5:$L$104,MATCH($B535,고객사!$A$5:$A$104,0)),0))</f>
        <v/>
      </c>
      <c r="M535" s="23" t="str">
        <f aca="false">IF($B535="","",IF(AND(J535="N",G535&gt;0,K535=0,IFERROR(INDEX(고객사!$H$5:$H$104,MATCH($B535,고객사!$A$5:$A$104,0)),"")="자사 차량 운행"),"차량 미배정",""))</f>
        <v/>
      </c>
      <c r="N535" s="22" t="str">
        <f aca="false">IF($B535="","",IFERROR(INDEX(고객사!$J$5:$J$104,MATCH($B535,고객사!$A$5:$A$104,0)),0))</f>
        <v/>
      </c>
      <c r="O535" s="22" t="str">
        <f aca="false">IF($B535="","",G535*N535)</f>
        <v/>
      </c>
      <c r="P535" s="22" t="str">
        <f aca="false">IF($B535="","",IFERROR(INDEX(고객사!$K$5:$K$104,MATCH($B535,고객사!$A$5:$A$104,0)),0))</f>
        <v/>
      </c>
      <c r="Q535" s="22" t="str">
        <f aca="false">IF($B535="","",G535*P535)</f>
        <v/>
      </c>
      <c r="R535" s="22" t="str">
        <f aca="false">IF($B535="","",O535-Q535-L535)</f>
        <v/>
      </c>
      <c r="S535" s="21" t="str">
        <f aca="false">IF(OR($B535="",N(O535)=0),"",R535/O535)</f>
        <v/>
      </c>
      <c r="T535" s="14"/>
      <c r="U535" s="19" t="n">
        <f aca="false">IF(OR($B535="",$A535=""),0,IF(COUNTIFS($A$5:$A535,$A535,$B$5:$B535,$B535)=1,1,0))</f>
        <v>0</v>
      </c>
    </row>
    <row r="536" customFormat="false" ht="15" hidden="false" customHeight="false" outlineLevel="0" collapsed="false">
      <c r="A536" s="17"/>
      <c r="B536" s="13"/>
      <c r="C536" s="20" t="str">
        <f aca="false">IF($B536="","",IFERROR(INDEX(고객사!$B$5:$B$104,MATCH($B536,고객사!$A$5:$A$104,0)),"코드 확인"))</f>
        <v/>
      </c>
      <c r="D536" s="15"/>
      <c r="E536" s="15"/>
      <c r="F536" s="16"/>
      <c r="G536" s="16"/>
      <c r="H536" s="21" t="str">
        <f aca="false">IF(OR($B536="",F536=0),"",G536/F536)</f>
        <v/>
      </c>
      <c r="I536" s="22" t="str">
        <f aca="false">IF($B536="","",MAX(F536-G536,0))</f>
        <v/>
      </c>
      <c r="J536" s="23" t="str">
        <f aca="false">IF($B536="","",IFERROR(INDEX(고객사!$G$5:$G$104,MATCH($B536,고객사!$A$5:$A$104,0)),""))</f>
        <v/>
      </c>
      <c r="K536" s="16"/>
      <c r="L536" s="22" t="str">
        <f aca="false">IF($B536="","",K536*IFERROR(INDEX(고객사!$L$5:$L$104,MATCH($B536,고객사!$A$5:$A$104,0)),0))</f>
        <v/>
      </c>
      <c r="M536" s="23" t="str">
        <f aca="false">IF($B536="","",IF(AND(J536="N",G536&gt;0,K536=0,IFERROR(INDEX(고객사!$H$5:$H$104,MATCH($B536,고객사!$A$5:$A$104,0)),"")="자사 차량 운행"),"차량 미배정",""))</f>
        <v/>
      </c>
      <c r="N536" s="22" t="str">
        <f aca="false">IF($B536="","",IFERROR(INDEX(고객사!$J$5:$J$104,MATCH($B536,고객사!$A$5:$A$104,0)),0))</f>
        <v/>
      </c>
      <c r="O536" s="22" t="str">
        <f aca="false">IF($B536="","",G536*N536)</f>
        <v/>
      </c>
      <c r="P536" s="22" t="str">
        <f aca="false">IF($B536="","",IFERROR(INDEX(고객사!$K$5:$K$104,MATCH($B536,고객사!$A$5:$A$104,0)),0))</f>
        <v/>
      </c>
      <c r="Q536" s="22" t="str">
        <f aca="false">IF($B536="","",G536*P536)</f>
        <v/>
      </c>
      <c r="R536" s="22" t="str">
        <f aca="false">IF($B536="","",O536-Q536-L536)</f>
        <v/>
      </c>
      <c r="S536" s="21" t="str">
        <f aca="false">IF(OR($B536="",N(O536)=0),"",R536/O536)</f>
        <v/>
      </c>
      <c r="T536" s="14"/>
      <c r="U536" s="19" t="n">
        <f aca="false">IF(OR($B536="",$A536=""),0,IF(COUNTIFS($A$5:$A536,$A536,$B$5:$B536,$B536)=1,1,0))</f>
        <v>0</v>
      </c>
    </row>
    <row r="537" customFormat="false" ht="15" hidden="false" customHeight="false" outlineLevel="0" collapsed="false">
      <c r="A537" s="17"/>
      <c r="B537" s="13"/>
      <c r="C537" s="20" t="str">
        <f aca="false">IF($B537="","",IFERROR(INDEX(고객사!$B$5:$B$104,MATCH($B537,고객사!$A$5:$A$104,0)),"코드 확인"))</f>
        <v/>
      </c>
      <c r="D537" s="15"/>
      <c r="E537" s="15"/>
      <c r="F537" s="16"/>
      <c r="G537" s="16"/>
      <c r="H537" s="21" t="str">
        <f aca="false">IF(OR($B537="",F537=0),"",G537/F537)</f>
        <v/>
      </c>
      <c r="I537" s="22" t="str">
        <f aca="false">IF($B537="","",MAX(F537-G537,0))</f>
        <v/>
      </c>
      <c r="J537" s="23" t="str">
        <f aca="false">IF($B537="","",IFERROR(INDEX(고객사!$G$5:$G$104,MATCH($B537,고객사!$A$5:$A$104,0)),""))</f>
        <v/>
      </c>
      <c r="K537" s="16"/>
      <c r="L537" s="22" t="str">
        <f aca="false">IF($B537="","",K537*IFERROR(INDEX(고객사!$L$5:$L$104,MATCH($B537,고객사!$A$5:$A$104,0)),0))</f>
        <v/>
      </c>
      <c r="M537" s="23" t="str">
        <f aca="false">IF($B537="","",IF(AND(J537="N",G537&gt;0,K537=0,IFERROR(INDEX(고객사!$H$5:$H$104,MATCH($B537,고객사!$A$5:$A$104,0)),"")="자사 차량 운행"),"차량 미배정",""))</f>
        <v/>
      </c>
      <c r="N537" s="22" t="str">
        <f aca="false">IF($B537="","",IFERROR(INDEX(고객사!$J$5:$J$104,MATCH($B537,고객사!$A$5:$A$104,0)),0))</f>
        <v/>
      </c>
      <c r="O537" s="22" t="str">
        <f aca="false">IF($B537="","",G537*N537)</f>
        <v/>
      </c>
      <c r="P537" s="22" t="str">
        <f aca="false">IF($B537="","",IFERROR(INDEX(고객사!$K$5:$K$104,MATCH($B537,고객사!$A$5:$A$104,0)),0))</f>
        <v/>
      </c>
      <c r="Q537" s="22" t="str">
        <f aca="false">IF($B537="","",G537*P537)</f>
        <v/>
      </c>
      <c r="R537" s="22" t="str">
        <f aca="false">IF($B537="","",O537-Q537-L537)</f>
        <v/>
      </c>
      <c r="S537" s="21" t="str">
        <f aca="false">IF(OR($B537="",N(O537)=0),"",R537/O537)</f>
        <v/>
      </c>
      <c r="T537" s="14"/>
      <c r="U537" s="19" t="n">
        <f aca="false">IF(OR($B537="",$A537=""),0,IF(COUNTIFS($A$5:$A537,$A537,$B$5:$B537,$B537)=1,1,0))</f>
        <v>0</v>
      </c>
    </row>
    <row r="538" customFormat="false" ht="15" hidden="false" customHeight="false" outlineLevel="0" collapsed="false">
      <c r="A538" s="17"/>
      <c r="B538" s="13"/>
      <c r="C538" s="20" t="str">
        <f aca="false">IF($B538="","",IFERROR(INDEX(고객사!$B$5:$B$104,MATCH($B538,고객사!$A$5:$A$104,0)),"코드 확인"))</f>
        <v/>
      </c>
      <c r="D538" s="15"/>
      <c r="E538" s="15"/>
      <c r="F538" s="16"/>
      <c r="G538" s="16"/>
      <c r="H538" s="21" t="str">
        <f aca="false">IF(OR($B538="",F538=0),"",G538/F538)</f>
        <v/>
      </c>
      <c r="I538" s="22" t="str">
        <f aca="false">IF($B538="","",MAX(F538-G538,0))</f>
        <v/>
      </c>
      <c r="J538" s="23" t="str">
        <f aca="false">IF($B538="","",IFERROR(INDEX(고객사!$G$5:$G$104,MATCH($B538,고객사!$A$5:$A$104,0)),""))</f>
        <v/>
      </c>
      <c r="K538" s="16"/>
      <c r="L538" s="22" t="str">
        <f aca="false">IF($B538="","",K538*IFERROR(INDEX(고객사!$L$5:$L$104,MATCH($B538,고객사!$A$5:$A$104,0)),0))</f>
        <v/>
      </c>
      <c r="M538" s="23" t="str">
        <f aca="false">IF($B538="","",IF(AND(J538="N",G538&gt;0,K538=0,IFERROR(INDEX(고객사!$H$5:$H$104,MATCH($B538,고객사!$A$5:$A$104,0)),"")="자사 차량 운행"),"차량 미배정",""))</f>
        <v/>
      </c>
      <c r="N538" s="22" t="str">
        <f aca="false">IF($B538="","",IFERROR(INDEX(고객사!$J$5:$J$104,MATCH($B538,고객사!$A$5:$A$104,0)),0))</f>
        <v/>
      </c>
      <c r="O538" s="22" t="str">
        <f aca="false">IF($B538="","",G538*N538)</f>
        <v/>
      </c>
      <c r="P538" s="22" t="str">
        <f aca="false">IF($B538="","",IFERROR(INDEX(고객사!$K$5:$K$104,MATCH($B538,고객사!$A$5:$A$104,0)),0))</f>
        <v/>
      </c>
      <c r="Q538" s="22" t="str">
        <f aca="false">IF($B538="","",G538*P538)</f>
        <v/>
      </c>
      <c r="R538" s="22" t="str">
        <f aca="false">IF($B538="","",O538-Q538-L538)</f>
        <v/>
      </c>
      <c r="S538" s="21" t="str">
        <f aca="false">IF(OR($B538="",N(O538)=0),"",R538/O538)</f>
        <v/>
      </c>
      <c r="T538" s="14"/>
      <c r="U538" s="19" t="n">
        <f aca="false">IF(OR($B538="",$A538=""),0,IF(COUNTIFS($A$5:$A538,$A538,$B$5:$B538,$B538)=1,1,0))</f>
        <v>0</v>
      </c>
    </row>
    <row r="539" customFormat="false" ht="15" hidden="false" customHeight="false" outlineLevel="0" collapsed="false">
      <c r="A539" s="17"/>
      <c r="B539" s="13"/>
      <c r="C539" s="20" t="str">
        <f aca="false">IF($B539="","",IFERROR(INDEX(고객사!$B$5:$B$104,MATCH($B539,고객사!$A$5:$A$104,0)),"코드 확인"))</f>
        <v/>
      </c>
      <c r="D539" s="15"/>
      <c r="E539" s="15"/>
      <c r="F539" s="16"/>
      <c r="G539" s="16"/>
      <c r="H539" s="21" t="str">
        <f aca="false">IF(OR($B539="",F539=0),"",G539/F539)</f>
        <v/>
      </c>
      <c r="I539" s="22" t="str">
        <f aca="false">IF($B539="","",MAX(F539-G539,0))</f>
        <v/>
      </c>
      <c r="J539" s="23" t="str">
        <f aca="false">IF($B539="","",IFERROR(INDEX(고객사!$G$5:$G$104,MATCH($B539,고객사!$A$5:$A$104,0)),""))</f>
        <v/>
      </c>
      <c r="K539" s="16"/>
      <c r="L539" s="22" t="str">
        <f aca="false">IF($B539="","",K539*IFERROR(INDEX(고객사!$L$5:$L$104,MATCH($B539,고객사!$A$5:$A$104,0)),0))</f>
        <v/>
      </c>
      <c r="M539" s="23" t="str">
        <f aca="false">IF($B539="","",IF(AND(J539="N",G539&gt;0,K539=0,IFERROR(INDEX(고객사!$H$5:$H$104,MATCH($B539,고객사!$A$5:$A$104,0)),"")="자사 차량 운행"),"차량 미배정",""))</f>
        <v/>
      </c>
      <c r="N539" s="22" t="str">
        <f aca="false">IF($B539="","",IFERROR(INDEX(고객사!$J$5:$J$104,MATCH($B539,고객사!$A$5:$A$104,0)),0))</f>
        <v/>
      </c>
      <c r="O539" s="22" t="str">
        <f aca="false">IF($B539="","",G539*N539)</f>
        <v/>
      </c>
      <c r="P539" s="22" t="str">
        <f aca="false">IF($B539="","",IFERROR(INDEX(고객사!$K$5:$K$104,MATCH($B539,고객사!$A$5:$A$104,0)),0))</f>
        <v/>
      </c>
      <c r="Q539" s="22" t="str">
        <f aca="false">IF($B539="","",G539*P539)</f>
        <v/>
      </c>
      <c r="R539" s="22" t="str">
        <f aca="false">IF($B539="","",O539-Q539-L539)</f>
        <v/>
      </c>
      <c r="S539" s="21" t="str">
        <f aca="false">IF(OR($B539="",N(O539)=0),"",R539/O539)</f>
        <v/>
      </c>
      <c r="T539" s="14"/>
      <c r="U539" s="19" t="n">
        <f aca="false">IF(OR($B539="",$A539=""),0,IF(COUNTIFS($A$5:$A539,$A539,$B$5:$B539,$B539)=1,1,0))</f>
        <v>0</v>
      </c>
    </row>
    <row r="540" customFormat="false" ht="15" hidden="false" customHeight="false" outlineLevel="0" collapsed="false">
      <c r="A540" s="17"/>
      <c r="B540" s="13"/>
      <c r="C540" s="20" t="str">
        <f aca="false">IF($B540="","",IFERROR(INDEX(고객사!$B$5:$B$104,MATCH($B540,고객사!$A$5:$A$104,0)),"코드 확인"))</f>
        <v/>
      </c>
      <c r="D540" s="15"/>
      <c r="E540" s="15"/>
      <c r="F540" s="16"/>
      <c r="G540" s="16"/>
      <c r="H540" s="21" t="str">
        <f aca="false">IF(OR($B540="",F540=0),"",G540/F540)</f>
        <v/>
      </c>
      <c r="I540" s="22" t="str">
        <f aca="false">IF($B540="","",MAX(F540-G540,0))</f>
        <v/>
      </c>
      <c r="J540" s="23" t="str">
        <f aca="false">IF($B540="","",IFERROR(INDEX(고객사!$G$5:$G$104,MATCH($B540,고객사!$A$5:$A$104,0)),""))</f>
        <v/>
      </c>
      <c r="K540" s="16"/>
      <c r="L540" s="22" t="str">
        <f aca="false">IF($B540="","",K540*IFERROR(INDEX(고객사!$L$5:$L$104,MATCH($B540,고객사!$A$5:$A$104,0)),0))</f>
        <v/>
      </c>
      <c r="M540" s="23" t="str">
        <f aca="false">IF($B540="","",IF(AND(J540="N",G540&gt;0,K540=0,IFERROR(INDEX(고객사!$H$5:$H$104,MATCH($B540,고객사!$A$5:$A$104,0)),"")="자사 차량 운행"),"차량 미배정",""))</f>
        <v/>
      </c>
      <c r="N540" s="22" t="str">
        <f aca="false">IF($B540="","",IFERROR(INDEX(고객사!$J$5:$J$104,MATCH($B540,고객사!$A$5:$A$104,0)),0))</f>
        <v/>
      </c>
      <c r="O540" s="22" t="str">
        <f aca="false">IF($B540="","",G540*N540)</f>
        <v/>
      </c>
      <c r="P540" s="22" t="str">
        <f aca="false">IF($B540="","",IFERROR(INDEX(고객사!$K$5:$K$104,MATCH($B540,고객사!$A$5:$A$104,0)),0))</f>
        <v/>
      </c>
      <c r="Q540" s="22" t="str">
        <f aca="false">IF($B540="","",G540*P540)</f>
        <v/>
      </c>
      <c r="R540" s="22" t="str">
        <f aca="false">IF($B540="","",O540-Q540-L540)</f>
        <v/>
      </c>
      <c r="S540" s="21" t="str">
        <f aca="false">IF(OR($B540="",N(O540)=0),"",R540/O540)</f>
        <v/>
      </c>
      <c r="T540" s="14"/>
      <c r="U540" s="19" t="n">
        <f aca="false">IF(OR($B540="",$A540=""),0,IF(COUNTIFS($A$5:$A540,$A540,$B$5:$B540,$B540)=1,1,0))</f>
        <v>0</v>
      </c>
    </row>
    <row r="541" customFormat="false" ht="15" hidden="false" customHeight="false" outlineLevel="0" collapsed="false">
      <c r="A541" s="17"/>
      <c r="B541" s="13"/>
      <c r="C541" s="20" t="str">
        <f aca="false">IF($B541="","",IFERROR(INDEX(고객사!$B$5:$B$104,MATCH($B541,고객사!$A$5:$A$104,0)),"코드 확인"))</f>
        <v/>
      </c>
      <c r="D541" s="15"/>
      <c r="E541" s="15"/>
      <c r="F541" s="16"/>
      <c r="G541" s="16"/>
      <c r="H541" s="21" t="str">
        <f aca="false">IF(OR($B541="",F541=0),"",G541/F541)</f>
        <v/>
      </c>
      <c r="I541" s="22" t="str">
        <f aca="false">IF($B541="","",MAX(F541-G541,0))</f>
        <v/>
      </c>
      <c r="J541" s="23" t="str">
        <f aca="false">IF($B541="","",IFERROR(INDEX(고객사!$G$5:$G$104,MATCH($B541,고객사!$A$5:$A$104,0)),""))</f>
        <v/>
      </c>
      <c r="K541" s="16"/>
      <c r="L541" s="22" t="str">
        <f aca="false">IF($B541="","",K541*IFERROR(INDEX(고객사!$L$5:$L$104,MATCH($B541,고객사!$A$5:$A$104,0)),0))</f>
        <v/>
      </c>
      <c r="M541" s="23" t="str">
        <f aca="false">IF($B541="","",IF(AND(J541="N",G541&gt;0,K541=0,IFERROR(INDEX(고객사!$H$5:$H$104,MATCH($B541,고객사!$A$5:$A$104,0)),"")="자사 차량 운행"),"차량 미배정",""))</f>
        <v/>
      </c>
      <c r="N541" s="22" t="str">
        <f aca="false">IF($B541="","",IFERROR(INDEX(고객사!$J$5:$J$104,MATCH($B541,고객사!$A$5:$A$104,0)),0))</f>
        <v/>
      </c>
      <c r="O541" s="22" t="str">
        <f aca="false">IF($B541="","",G541*N541)</f>
        <v/>
      </c>
      <c r="P541" s="22" t="str">
        <f aca="false">IF($B541="","",IFERROR(INDEX(고객사!$K$5:$K$104,MATCH($B541,고객사!$A$5:$A$104,0)),0))</f>
        <v/>
      </c>
      <c r="Q541" s="22" t="str">
        <f aca="false">IF($B541="","",G541*P541)</f>
        <v/>
      </c>
      <c r="R541" s="22" t="str">
        <f aca="false">IF($B541="","",O541-Q541-L541)</f>
        <v/>
      </c>
      <c r="S541" s="21" t="str">
        <f aca="false">IF(OR($B541="",N(O541)=0),"",R541/O541)</f>
        <v/>
      </c>
      <c r="T541" s="14"/>
      <c r="U541" s="19" t="n">
        <f aca="false">IF(OR($B541="",$A541=""),0,IF(COUNTIFS($A$5:$A541,$A541,$B$5:$B541,$B541)=1,1,0))</f>
        <v>0</v>
      </c>
    </row>
    <row r="542" customFormat="false" ht="15" hidden="false" customHeight="false" outlineLevel="0" collapsed="false">
      <c r="A542" s="17"/>
      <c r="B542" s="13"/>
      <c r="C542" s="20" t="str">
        <f aca="false">IF($B542="","",IFERROR(INDEX(고객사!$B$5:$B$104,MATCH($B542,고객사!$A$5:$A$104,0)),"코드 확인"))</f>
        <v/>
      </c>
      <c r="D542" s="15"/>
      <c r="E542" s="15"/>
      <c r="F542" s="16"/>
      <c r="G542" s="16"/>
      <c r="H542" s="21" t="str">
        <f aca="false">IF(OR($B542="",F542=0),"",G542/F542)</f>
        <v/>
      </c>
      <c r="I542" s="22" t="str">
        <f aca="false">IF($B542="","",MAX(F542-G542,0))</f>
        <v/>
      </c>
      <c r="J542" s="23" t="str">
        <f aca="false">IF($B542="","",IFERROR(INDEX(고객사!$G$5:$G$104,MATCH($B542,고객사!$A$5:$A$104,0)),""))</f>
        <v/>
      </c>
      <c r="K542" s="16"/>
      <c r="L542" s="22" t="str">
        <f aca="false">IF($B542="","",K542*IFERROR(INDEX(고객사!$L$5:$L$104,MATCH($B542,고객사!$A$5:$A$104,0)),0))</f>
        <v/>
      </c>
      <c r="M542" s="23" t="str">
        <f aca="false">IF($B542="","",IF(AND(J542="N",G542&gt;0,K542=0,IFERROR(INDEX(고객사!$H$5:$H$104,MATCH($B542,고객사!$A$5:$A$104,0)),"")="자사 차량 운행"),"차량 미배정",""))</f>
        <v/>
      </c>
      <c r="N542" s="22" t="str">
        <f aca="false">IF($B542="","",IFERROR(INDEX(고객사!$J$5:$J$104,MATCH($B542,고객사!$A$5:$A$104,0)),0))</f>
        <v/>
      </c>
      <c r="O542" s="22" t="str">
        <f aca="false">IF($B542="","",G542*N542)</f>
        <v/>
      </c>
      <c r="P542" s="22" t="str">
        <f aca="false">IF($B542="","",IFERROR(INDEX(고객사!$K$5:$K$104,MATCH($B542,고객사!$A$5:$A$104,0)),0))</f>
        <v/>
      </c>
      <c r="Q542" s="22" t="str">
        <f aca="false">IF($B542="","",G542*P542)</f>
        <v/>
      </c>
      <c r="R542" s="22" t="str">
        <f aca="false">IF($B542="","",O542-Q542-L542)</f>
        <v/>
      </c>
      <c r="S542" s="21" t="str">
        <f aca="false">IF(OR($B542="",N(O542)=0),"",R542/O542)</f>
        <v/>
      </c>
      <c r="T542" s="14"/>
      <c r="U542" s="19" t="n">
        <f aca="false">IF(OR($B542="",$A542=""),0,IF(COUNTIFS($A$5:$A542,$A542,$B$5:$B542,$B542)=1,1,0))</f>
        <v>0</v>
      </c>
    </row>
    <row r="543" customFormat="false" ht="15" hidden="false" customHeight="false" outlineLevel="0" collapsed="false">
      <c r="A543" s="17"/>
      <c r="B543" s="13"/>
      <c r="C543" s="20" t="str">
        <f aca="false">IF($B543="","",IFERROR(INDEX(고객사!$B$5:$B$104,MATCH($B543,고객사!$A$5:$A$104,0)),"코드 확인"))</f>
        <v/>
      </c>
      <c r="D543" s="15"/>
      <c r="E543" s="15"/>
      <c r="F543" s="16"/>
      <c r="G543" s="16"/>
      <c r="H543" s="21" t="str">
        <f aca="false">IF(OR($B543="",F543=0),"",G543/F543)</f>
        <v/>
      </c>
      <c r="I543" s="22" t="str">
        <f aca="false">IF($B543="","",MAX(F543-G543,0))</f>
        <v/>
      </c>
      <c r="J543" s="23" t="str">
        <f aca="false">IF($B543="","",IFERROR(INDEX(고객사!$G$5:$G$104,MATCH($B543,고객사!$A$5:$A$104,0)),""))</f>
        <v/>
      </c>
      <c r="K543" s="16"/>
      <c r="L543" s="22" t="str">
        <f aca="false">IF($B543="","",K543*IFERROR(INDEX(고객사!$L$5:$L$104,MATCH($B543,고객사!$A$5:$A$104,0)),0))</f>
        <v/>
      </c>
      <c r="M543" s="23" t="str">
        <f aca="false">IF($B543="","",IF(AND(J543="N",G543&gt;0,K543=0,IFERROR(INDEX(고객사!$H$5:$H$104,MATCH($B543,고객사!$A$5:$A$104,0)),"")="자사 차량 운행"),"차량 미배정",""))</f>
        <v/>
      </c>
      <c r="N543" s="22" t="str">
        <f aca="false">IF($B543="","",IFERROR(INDEX(고객사!$J$5:$J$104,MATCH($B543,고객사!$A$5:$A$104,0)),0))</f>
        <v/>
      </c>
      <c r="O543" s="22" t="str">
        <f aca="false">IF($B543="","",G543*N543)</f>
        <v/>
      </c>
      <c r="P543" s="22" t="str">
        <f aca="false">IF($B543="","",IFERROR(INDEX(고객사!$K$5:$K$104,MATCH($B543,고객사!$A$5:$A$104,0)),0))</f>
        <v/>
      </c>
      <c r="Q543" s="22" t="str">
        <f aca="false">IF($B543="","",G543*P543)</f>
        <v/>
      </c>
      <c r="R543" s="22" t="str">
        <f aca="false">IF($B543="","",O543-Q543-L543)</f>
        <v/>
      </c>
      <c r="S543" s="21" t="str">
        <f aca="false">IF(OR($B543="",N(O543)=0),"",R543/O543)</f>
        <v/>
      </c>
      <c r="T543" s="14"/>
      <c r="U543" s="19" t="n">
        <f aca="false">IF(OR($B543="",$A543=""),0,IF(COUNTIFS($A$5:$A543,$A543,$B$5:$B543,$B543)=1,1,0))</f>
        <v>0</v>
      </c>
    </row>
    <row r="544" customFormat="false" ht="15" hidden="false" customHeight="false" outlineLevel="0" collapsed="false">
      <c r="A544" s="17"/>
      <c r="B544" s="13"/>
      <c r="C544" s="20" t="str">
        <f aca="false">IF($B544="","",IFERROR(INDEX(고객사!$B$5:$B$104,MATCH($B544,고객사!$A$5:$A$104,0)),"코드 확인"))</f>
        <v/>
      </c>
      <c r="D544" s="15"/>
      <c r="E544" s="15"/>
      <c r="F544" s="16"/>
      <c r="G544" s="16"/>
      <c r="H544" s="21" t="str">
        <f aca="false">IF(OR($B544="",F544=0),"",G544/F544)</f>
        <v/>
      </c>
      <c r="I544" s="22" t="str">
        <f aca="false">IF($B544="","",MAX(F544-G544,0))</f>
        <v/>
      </c>
      <c r="J544" s="23" t="str">
        <f aca="false">IF($B544="","",IFERROR(INDEX(고객사!$G$5:$G$104,MATCH($B544,고객사!$A$5:$A$104,0)),""))</f>
        <v/>
      </c>
      <c r="K544" s="16"/>
      <c r="L544" s="22" t="str">
        <f aca="false">IF($B544="","",K544*IFERROR(INDEX(고객사!$L$5:$L$104,MATCH($B544,고객사!$A$5:$A$104,0)),0))</f>
        <v/>
      </c>
      <c r="M544" s="23" t="str">
        <f aca="false">IF($B544="","",IF(AND(J544="N",G544&gt;0,K544=0,IFERROR(INDEX(고객사!$H$5:$H$104,MATCH($B544,고객사!$A$5:$A$104,0)),"")="자사 차량 운행"),"차량 미배정",""))</f>
        <v/>
      </c>
      <c r="N544" s="22" t="str">
        <f aca="false">IF($B544="","",IFERROR(INDEX(고객사!$J$5:$J$104,MATCH($B544,고객사!$A$5:$A$104,0)),0))</f>
        <v/>
      </c>
      <c r="O544" s="22" t="str">
        <f aca="false">IF($B544="","",G544*N544)</f>
        <v/>
      </c>
      <c r="P544" s="22" t="str">
        <f aca="false">IF($B544="","",IFERROR(INDEX(고객사!$K$5:$K$104,MATCH($B544,고객사!$A$5:$A$104,0)),0))</f>
        <v/>
      </c>
      <c r="Q544" s="22" t="str">
        <f aca="false">IF($B544="","",G544*P544)</f>
        <v/>
      </c>
      <c r="R544" s="22" t="str">
        <f aca="false">IF($B544="","",O544-Q544-L544)</f>
        <v/>
      </c>
      <c r="S544" s="21" t="str">
        <f aca="false">IF(OR($B544="",N(O544)=0),"",R544/O544)</f>
        <v/>
      </c>
      <c r="T544" s="14"/>
      <c r="U544" s="19" t="n">
        <f aca="false">IF(OR($B544="",$A544=""),0,IF(COUNTIFS($A$5:$A544,$A544,$B$5:$B544,$B544)=1,1,0))</f>
        <v>0</v>
      </c>
    </row>
    <row r="545" customFormat="false" ht="15" hidden="false" customHeight="false" outlineLevel="0" collapsed="false">
      <c r="A545" s="17"/>
      <c r="B545" s="13"/>
      <c r="C545" s="20" t="str">
        <f aca="false">IF($B545="","",IFERROR(INDEX(고객사!$B$5:$B$104,MATCH($B545,고객사!$A$5:$A$104,0)),"코드 확인"))</f>
        <v/>
      </c>
      <c r="D545" s="15"/>
      <c r="E545" s="15"/>
      <c r="F545" s="16"/>
      <c r="G545" s="16"/>
      <c r="H545" s="21" t="str">
        <f aca="false">IF(OR($B545="",F545=0),"",G545/F545)</f>
        <v/>
      </c>
      <c r="I545" s="22" t="str">
        <f aca="false">IF($B545="","",MAX(F545-G545,0))</f>
        <v/>
      </c>
      <c r="J545" s="23" t="str">
        <f aca="false">IF($B545="","",IFERROR(INDEX(고객사!$G$5:$G$104,MATCH($B545,고객사!$A$5:$A$104,0)),""))</f>
        <v/>
      </c>
      <c r="K545" s="16"/>
      <c r="L545" s="22" t="str">
        <f aca="false">IF($B545="","",K545*IFERROR(INDEX(고객사!$L$5:$L$104,MATCH($B545,고객사!$A$5:$A$104,0)),0))</f>
        <v/>
      </c>
      <c r="M545" s="23" t="str">
        <f aca="false">IF($B545="","",IF(AND(J545="N",G545&gt;0,K545=0,IFERROR(INDEX(고객사!$H$5:$H$104,MATCH($B545,고객사!$A$5:$A$104,0)),"")="자사 차량 운행"),"차량 미배정",""))</f>
        <v/>
      </c>
      <c r="N545" s="22" t="str">
        <f aca="false">IF($B545="","",IFERROR(INDEX(고객사!$J$5:$J$104,MATCH($B545,고객사!$A$5:$A$104,0)),0))</f>
        <v/>
      </c>
      <c r="O545" s="22" t="str">
        <f aca="false">IF($B545="","",G545*N545)</f>
        <v/>
      </c>
      <c r="P545" s="22" t="str">
        <f aca="false">IF($B545="","",IFERROR(INDEX(고객사!$K$5:$K$104,MATCH($B545,고객사!$A$5:$A$104,0)),0))</f>
        <v/>
      </c>
      <c r="Q545" s="22" t="str">
        <f aca="false">IF($B545="","",G545*P545)</f>
        <v/>
      </c>
      <c r="R545" s="22" t="str">
        <f aca="false">IF($B545="","",O545-Q545-L545)</f>
        <v/>
      </c>
      <c r="S545" s="21" t="str">
        <f aca="false">IF(OR($B545="",N(O545)=0),"",R545/O545)</f>
        <v/>
      </c>
      <c r="T545" s="14"/>
      <c r="U545" s="19" t="n">
        <f aca="false">IF(OR($B545="",$A545=""),0,IF(COUNTIFS($A$5:$A545,$A545,$B$5:$B545,$B545)=1,1,0))</f>
        <v>0</v>
      </c>
    </row>
    <row r="546" customFormat="false" ht="15" hidden="false" customHeight="false" outlineLevel="0" collapsed="false">
      <c r="A546" s="17"/>
      <c r="B546" s="13"/>
      <c r="C546" s="20" t="str">
        <f aca="false">IF($B546="","",IFERROR(INDEX(고객사!$B$5:$B$104,MATCH($B546,고객사!$A$5:$A$104,0)),"코드 확인"))</f>
        <v/>
      </c>
      <c r="D546" s="15"/>
      <c r="E546" s="15"/>
      <c r="F546" s="16"/>
      <c r="G546" s="16"/>
      <c r="H546" s="21" t="str">
        <f aca="false">IF(OR($B546="",F546=0),"",G546/F546)</f>
        <v/>
      </c>
      <c r="I546" s="22" t="str">
        <f aca="false">IF($B546="","",MAX(F546-G546,0))</f>
        <v/>
      </c>
      <c r="J546" s="23" t="str">
        <f aca="false">IF($B546="","",IFERROR(INDEX(고객사!$G$5:$G$104,MATCH($B546,고객사!$A$5:$A$104,0)),""))</f>
        <v/>
      </c>
      <c r="K546" s="16"/>
      <c r="L546" s="22" t="str">
        <f aca="false">IF($B546="","",K546*IFERROR(INDEX(고객사!$L$5:$L$104,MATCH($B546,고객사!$A$5:$A$104,0)),0))</f>
        <v/>
      </c>
      <c r="M546" s="23" t="str">
        <f aca="false">IF($B546="","",IF(AND(J546="N",G546&gt;0,K546=0,IFERROR(INDEX(고객사!$H$5:$H$104,MATCH($B546,고객사!$A$5:$A$104,0)),"")="자사 차량 운행"),"차량 미배정",""))</f>
        <v/>
      </c>
      <c r="N546" s="22" t="str">
        <f aca="false">IF($B546="","",IFERROR(INDEX(고객사!$J$5:$J$104,MATCH($B546,고객사!$A$5:$A$104,0)),0))</f>
        <v/>
      </c>
      <c r="O546" s="22" t="str">
        <f aca="false">IF($B546="","",G546*N546)</f>
        <v/>
      </c>
      <c r="P546" s="22" t="str">
        <f aca="false">IF($B546="","",IFERROR(INDEX(고객사!$K$5:$K$104,MATCH($B546,고객사!$A$5:$A$104,0)),0))</f>
        <v/>
      </c>
      <c r="Q546" s="22" t="str">
        <f aca="false">IF($B546="","",G546*P546)</f>
        <v/>
      </c>
      <c r="R546" s="22" t="str">
        <f aca="false">IF($B546="","",O546-Q546-L546)</f>
        <v/>
      </c>
      <c r="S546" s="21" t="str">
        <f aca="false">IF(OR($B546="",N(O546)=0),"",R546/O546)</f>
        <v/>
      </c>
      <c r="T546" s="14"/>
      <c r="U546" s="19" t="n">
        <f aca="false">IF(OR($B546="",$A546=""),0,IF(COUNTIFS($A$5:$A546,$A546,$B$5:$B546,$B546)=1,1,0))</f>
        <v>0</v>
      </c>
    </row>
    <row r="547" customFormat="false" ht="15" hidden="false" customHeight="false" outlineLevel="0" collapsed="false">
      <c r="A547" s="17"/>
      <c r="B547" s="13"/>
      <c r="C547" s="20" t="str">
        <f aca="false">IF($B547="","",IFERROR(INDEX(고객사!$B$5:$B$104,MATCH($B547,고객사!$A$5:$A$104,0)),"코드 확인"))</f>
        <v/>
      </c>
      <c r="D547" s="15"/>
      <c r="E547" s="15"/>
      <c r="F547" s="16"/>
      <c r="G547" s="16"/>
      <c r="H547" s="21" t="str">
        <f aca="false">IF(OR($B547="",F547=0),"",G547/F547)</f>
        <v/>
      </c>
      <c r="I547" s="22" t="str">
        <f aca="false">IF($B547="","",MAX(F547-G547,0))</f>
        <v/>
      </c>
      <c r="J547" s="23" t="str">
        <f aca="false">IF($B547="","",IFERROR(INDEX(고객사!$G$5:$G$104,MATCH($B547,고객사!$A$5:$A$104,0)),""))</f>
        <v/>
      </c>
      <c r="K547" s="16"/>
      <c r="L547" s="22" t="str">
        <f aca="false">IF($B547="","",K547*IFERROR(INDEX(고객사!$L$5:$L$104,MATCH($B547,고객사!$A$5:$A$104,0)),0))</f>
        <v/>
      </c>
      <c r="M547" s="23" t="str">
        <f aca="false">IF($B547="","",IF(AND(J547="N",G547&gt;0,K547=0,IFERROR(INDEX(고객사!$H$5:$H$104,MATCH($B547,고객사!$A$5:$A$104,0)),"")="자사 차량 운행"),"차량 미배정",""))</f>
        <v/>
      </c>
      <c r="N547" s="22" t="str">
        <f aca="false">IF($B547="","",IFERROR(INDEX(고객사!$J$5:$J$104,MATCH($B547,고객사!$A$5:$A$104,0)),0))</f>
        <v/>
      </c>
      <c r="O547" s="22" t="str">
        <f aca="false">IF($B547="","",G547*N547)</f>
        <v/>
      </c>
      <c r="P547" s="22" t="str">
        <f aca="false">IF($B547="","",IFERROR(INDEX(고객사!$K$5:$K$104,MATCH($B547,고객사!$A$5:$A$104,0)),0))</f>
        <v/>
      </c>
      <c r="Q547" s="22" t="str">
        <f aca="false">IF($B547="","",G547*P547)</f>
        <v/>
      </c>
      <c r="R547" s="22" t="str">
        <f aca="false">IF($B547="","",O547-Q547-L547)</f>
        <v/>
      </c>
      <c r="S547" s="21" t="str">
        <f aca="false">IF(OR($B547="",N(O547)=0),"",R547/O547)</f>
        <v/>
      </c>
      <c r="T547" s="14"/>
      <c r="U547" s="19" t="n">
        <f aca="false">IF(OR($B547="",$A547=""),0,IF(COUNTIFS($A$5:$A547,$A547,$B$5:$B547,$B547)=1,1,0))</f>
        <v>0</v>
      </c>
    </row>
    <row r="548" customFormat="false" ht="15" hidden="false" customHeight="false" outlineLevel="0" collapsed="false">
      <c r="A548" s="17"/>
      <c r="B548" s="13"/>
      <c r="C548" s="20" t="str">
        <f aca="false">IF($B548="","",IFERROR(INDEX(고객사!$B$5:$B$104,MATCH($B548,고객사!$A$5:$A$104,0)),"코드 확인"))</f>
        <v/>
      </c>
      <c r="D548" s="15"/>
      <c r="E548" s="15"/>
      <c r="F548" s="16"/>
      <c r="G548" s="16"/>
      <c r="H548" s="21" t="str">
        <f aca="false">IF(OR($B548="",F548=0),"",G548/F548)</f>
        <v/>
      </c>
      <c r="I548" s="22" t="str">
        <f aca="false">IF($B548="","",MAX(F548-G548,0))</f>
        <v/>
      </c>
      <c r="J548" s="23" t="str">
        <f aca="false">IF($B548="","",IFERROR(INDEX(고객사!$G$5:$G$104,MATCH($B548,고객사!$A$5:$A$104,0)),""))</f>
        <v/>
      </c>
      <c r="K548" s="16"/>
      <c r="L548" s="22" t="str">
        <f aca="false">IF($B548="","",K548*IFERROR(INDEX(고객사!$L$5:$L$104,MATCH($B548,고객사!$A$5:$A$104,0)),0))</f>
        <v/>
      </c>
      <c r="M548" s="23" t="str">
        <f aca="false">IF($B548="","",IF(AND(J548="N",G548&gt;0,K548=0,IFERROR(INDEX(고객사!$H$5:$H$104,MATCH($B548,고객사!$A$5:$A$104,0)),"")="자사 차량 운행"),"차량 미배정",""))</f>
        <v/>
      </c>
      <c r="N548" s="22" t="str">
        <f aca="false">IF($B548="","",IFERROR(INDEX(고객사!$J$5:$J$104,MATCH($B548,고객사!$A$5:$A$104,0)),0))</f>
        <v/>
      </c>
      <c r="O548" s="22" t="str">
        <f aca="false">IF($B548="","",G548*N548)</f>
        <v/>
      </c>
      <c r="P548" s="22" t="str">
        <f aca="false">IF($B548="","",IFERROR(INDEX(고객사!$K$5:$K$104,MATCH($B548,고객사!$A$5:$A$104,0)),0))</f>
        <v/>
      </c>
      <c r="Q548" s="22" t="str">
        <f aca="false">IF($B548="","",G548*P548)</f>
        <v/>
      </c>
      <c r="R548" s="22" t="str">
        <f aca="false">IF($B548="","",O548-Q548-L548)</f>
        <v/>
      </c>
      <c r="S548" s="21" t="str">
        <f aca="false">IF(OR($B548="",N(O548)=0),"",R548/O548)</f>
        <v/>
      </c>
      <c r="T548" s="14"/>
      <c r="U548" s="19" t="n">
        <f aca="false">IF(OR($B548="",$A548=""),0,IF(COUNTIFS($A$5:$A548,$A548,$B$5:$B548,$B548)=1,1,0))</f>
        <v>0</v>
      </c>
    </row>
    <row r="549" customFormat="false" ht="15" hidden="false" customHeight="false" outlineLevel="0" collapsed="false">
      <c r="A549" s="17"/>
      <c r="B549" s="13"/>
      <c r="C549" s="20" t="str">
        <f aca="false">IF($B549="","",IFERROR(INDEX(고객사!$B$5:$B$104,MATCH($B549,고객사!$A$5:$A$104,0)),"코드 확인"))</f>
        <v/>
      </c>
      <c r="D549" s="15"/>
      <c r="E549" s="15"/>
      <c r="F549" s="16"/>
      <c r="G549" s="16"/>
      <c r="H549" s="21" t="str">
        <f aca="false">IF(OR($B549="",F549=0),"",G549/F549)</f>
        <v/>
      </c>
      <c r="I549" s="22" t="str">
        <f aca="false">IF($B549="","",MAX(F549-G549,0))</f>
        <v/>
      </c>
      <c r="J549" s="23" t="str">
        <f aca="false">IF($B549="","",IFERROR(INDEX(고객사!$G$5:$G$104,MATCH($B549,고객사!$A$5:$A$104,0)),""))</f>
        <v/>
      </c>
      <c r="K549" s="16"/>
      <c r="L549" s="22" t="str">
        <f aca="false">IF($B549="","",K549*IFERROR(INDEX(고객사!$L$5:$L$104,MATCH($B549,고객사!$A$5:$A$104,0)),0))</f>
        <v/>
      </c>
      <c r="M549" s="23" t="str">
        <f aca="false">IF($B549="","",IF(AND(J549="N",G549&gt;0,K549=0,IFERROR(INDEX(고객사!$H$5:$H$104,MATCH($B549,고객사!$A$5:$A$104,0)),"")="자사 차량 운행"),"차량 미배정",""))</f>
        <v/>
      </c>
      <c r="N549" s="22" t="str">
        <f aca="false">IF($B549="","",IFERROR(INDEX(고객사!$J$5:$J$104,MATCH($B549,고객사!$A$5:$A$104,0)),0))</f>
        <v/>
      </c>
      <c r="O549" s="22" t="str">
        <f aca="false">IF($B549="","",G549*N549)</f>
        <v/>
      </c>
      <c r="P549" s="22" t="str">
        <f aca="false">IF($B549="","",IFERROR(INDEX(고객사!$K$5:$K$104,MATCH($B549,고객사!$A$5:$A$104,0)),0))</f>
        <v/>
      </c>
      <c r="Q549" s="22" t="str">
        <f aca="false">IF($B549="","",G549*P549)</f>
        <v/>
      </c>
      <c r="R549" s="22" t="str">
        <f aca="false">IF($B549="","",O549-Q549-L549)</f>
        <v/>
      </c>
      <c r="S549" s="21" t="str">
        <f aca="false">IF(OR($B549="",N(O549)=0),"",R549/O549)</f>
        <v/>
      </c>
      <c r="T549" s="14"/>
      <c r="U549" s="19" t="n">
        <f aca="false">IF(OR($B549="",$A549=""),0,IF(COUNTIFS($A$5:$A549,$A549,$B$5:$B549,$B549)=1,1,0))</f>
        <v>0</v>
      </c>
    </row>
    <row r="550" customFormat="false" ht="15" hidden="false" customHeight="false" outlineLevel="0" collapsed="false">
      <c r="A550" s="17"/>
      <c r="B550" s="13"/>
      <c r="C550" s="20" t="str">
        <f aca="false">IF($B550="","",IFERROR(INDEX(고객사!$B$5:$B$104,MATCH($B550,고객사!$A$5:$A$104,0)),"코드 확인"))</f>
        <v/>
      </c>
      <c r="D550" s="15"/>
      <c r="E550" s="15"/>
      <c r="F550" s="16"/>
      <c r="G550" s="16"/>
      <c r="H550" s="21" t="str">
        <f aca="false">IF(OR($B550="",F550=0),"",G550/F550)</f>
        <v/>
      </c>
      <c r="I550" s="22" t="str">
        <f aca="false">IF($B550="","",MAX(F550-G550,0))</f>
        <v/>
      </c>
      <c r="J550" s="23" t="str">
        <f aca="false">IF($B550="","",IFERROR(INDEX(고객사!$G$5:$G$104,MATCH($B550,고객사!$A$5:$A$104,0)),""))</f>
        <v/>
      </c>
      <c r="K550" s="16"/>
      <c r="L550" s="22" t="str">
        <f aca="false">IF($B550="","",K550*IFERROR(INDEX(고객사!$L$5:$L$104,MATCH($B550,고객사!$A$5:$A$104,0)),0))</f>
        <v/>
      </c>
      <c r="M550" s="23" t="str">
        <f aca="false">IF($B550="","",IF(AND(J550="N",G550&gt;0,K550=0,IFERROR(INDEX(고객사!$H$5:$H$104,MATCH($B550,고객사!$A$5:$A$104,0)),"")="자사 차량 운행"),"차량 미배정",""))</f>
        <v/>
      </c>
      <c r="N550" s="22" t="str">
        <f aca="false">IF($B550="","",IFERROR(INDEX(고객사!$J$5:$J$104,MATCH($B550,고객사!$A$5:$A$104,0)),0))</f>
        <v/>
      </c>
      <c r="O550" s="22" t="str">
        <f aca="false">IF($B550="","",G550*N550)</f>
        <v/>
      </c>
      <c r="P550" s="22" t="str">
        <f aca="false">IF($B550="","",IFERROR(INDEX(고객사!$K$5:$K$104,MATCH($B550,고객사!$A$5:$A$104,0)),0))</f>
        <v/>
      </c>
      <c r="Q550" s="22" t="str">
        <f aca="false">IF($B550="","",G550*P550)</f>
        <v/>
      </c>
      <c r="R550" s="22" t="str">
        <f aca="false">IF($B550="","",O550-Q550-L550)</f>
        <v/>
      </c>
      <c r="S550" s="21" t="str">
        <f aca="false">IF(OR($B550="",N(O550)=0),"",R550/O550)</f>
        <v/>
      </c>
      <c r="T550" s="14"/>
      <c r="U550" s="19" t="n">
        <f aca="false">IF(OR($B550="",$A550=""),0,IF(COUNTIFS($A$5:$A550,$A550,$B$5:$B550,$B550)=1,1,0))</f>
        <v>0</v>
      </c>
    </row>
    <row r="551" customFormat="false" ht="15" hidden="false" customHeight="false" outlineLevel="0" collapsed="false">
      <c r="A551" s="17"/>
      <c r="B551" s="13"/>
      <c r="C551" s="20" t="str">
        <f aca="false">IF($B551="","",IFERROR(INDEX(고객사!$B$5:$B$104,MATCH($B551,고객사!$A$5:$A$104,0)),"코드 확인"))</f>
        <v/>
      </c>
      <c r="D551" s="15"/>
      <c r="E551" s="15"/>
      <c r="F551" s="16"/>
      <c r="G551" s="16"/>
      <c r="H551" s="21" t="str">
        <f aca="false">IF(OR($B551="",F551=0),"",G551/F551)</f>
        <v/>
      </c>
      <c r="I551" s="22" t="str">
        <f aca="false">IF($B551="","",MAX(F551-G551,0))</f>
        <v/>
      </c>
      <c r="J551" s="23" t="str">
        <f aca="false">IF($B551="","",IFERROR(INDEX(고객사!$G$5:$G$104,MATCH($B551,고객사!$A$5:$A$104,0)),""))</f>
        <v/>
      </c>
      <c r="K551" s="16"/>
      <c r="L551" s="22" t="str">
        <f aca="false">IF($B551="","",K551*IFERROR(INDEX(고객사!$L$5:$L$104,MATCH($B551,고객사!$A$5:$A$104,0)),0))</f>
        <v/>
      </c>
      <c r="M551" s="23" t="str">
        <f aca="false">IF($B551="","",IF(AND(J551="N",G551&gt;0,K551=0,IFERROR(INDEX(고객사!$H$5:$H$104,MATCH($B551,고객사!$A$5:$A$104,0)),"")="자사 차량 운행"),"차량 미배정",""))</f>
        <v/>
      </c>
      <c r="N551" s="22" t="str">
        <f aca="false">IF($B551="","",IFERROR(INDEX(고객사!$J$5:$J$104,MATCH($B551,고객사!$A$5:$A$104,0)),0))</f>
        <v/>
      </c>
      <c r="O551" s="22" t="str">
        <f aca="false">IF($B551="","",G551*N551)</f>
        <v/>
      </c>
      <c r="P551" s="22" t="str">
        <f aca="false">IF($B551="","",IFERROR(INDEX(고객사!$K$5:$K$104,MATCH($B551,고객사!$A$5:$A$104,0)),0))</f>
        <v/>
      </c>
      <c r="Q551" s="22" t="str">
        <f aca="false">IF($B551="","",G551*P551)</f>
        <v/>
      </c>
      <c r="R551" s="22" t="str">
        <f aca="false">IF($B551="","",O551-Q551-L551)</f>
        <v/>
      </c>
      <c r="S551" s="21" t="str">
        <f aca="false">IF(OR($B551="",N(O551)=0),"",R551/O551)</f>
        <v/>
      </c>
      <c r="T551" s="14"/>
      <c r="U551" s="19" t="n">
        <f aca="false">IF(OR($B551="",$A551=""),0,IF(COUNTIFS($A$5:$A551,$A551,$B$5:$B551,$B551)=1,1,0))</f>
        <v>0</v>
      </c>
    </row>
    <row r="552" customFormat="false" ht="15" hidden="false" customHeight="false" outlineLevel="0" collapsed="false">
      <c r="A552" s="17"/>
      <c r="B552" s="13"/>
      <c r="C552" s="20" t="str">
        <f aca="false">IF($B552="","",IFERROR(INDEX(고객사!$B$5:$B$104,MATCH($B552,고객사!$A$5:$A$104,0)),"코드 확인"))</f>
        <v/>
      </c>
      <c r="D552" s="15"/>
      <c r="E552" s="15"/>
      <c r="F552" s="16"/>
      <c r="G552" s="16"/>
      <c r="H552" s="21" t="str">
        <f aca="false">IF(OR($B552="",F552=0),"",G552/F552)</f>
        <v/>
      </c>
      <c r="I552" s="22" t="str">
        <f aca="false">IF($B552="","",MAX(F552-G552,0))</f>
        <v/>
      </c>
      <c r="J552" s="23" t="str">
        <f aca="false">IF($B552="","",IFERROR(INDEX(고객사!$G$5:$G$104,MATCH($B552,고객사!$A$5:$A$104,0)),""))</f>
        <v/>
      </c>
      <c r="K552" s="16"/>
      <c r="L552" s="22" t="str">
        <f aca="false">IF($B552="","",K552*IFERROR(INDEX(고객사!$L$5:$L$104,MATCH($B552,고객사!$A$5:$A$104,0)),0))</f>
        <v/>
      </c>
      <c r="M552" s="23" t="str">
        <f aca="false">IF($B552="","",IF(AND(J552="N",G552&gt;0,K552=0,IFERROR(INDEX(고객사!$H$5:$H$104,MATCH($B552,고객사!$A$5:$A$104,0)),"")="자사 차량 운행"),"차량 미배정",""))</f>
        <v/>
      </c>
      <c r="N552" s="22" t="str">
        <f aca="false">IF($B552="","",IFERROR(INDEX(고객사!$J$5:$J$104,MATCH($B552,고객사!$A$5:$A$104,0)),0))</f>
        <v/>
      </c>
      <c r="O552" s="22" t="str">
        <f aca="false">IF($B552="","",G552*N552)</f>
        <v/>
      </c>
      <c r="P552" s="22" t="str">
        <f aca="false">IF($B552="","",IFERROR(INDEX(고객사!$K$5:$K$104,MATCH($B552,고객사!$A$5:$A$104,0)),0))</f>
        <v/>
      </c>
      <c r="Q552" s="22" t="str">
        <f aca="false">IF($B552="","",G552*P552)</f>
        <v/>
      </c>
      <c r="R552" s="22" t="str">
        <f aca="false">IF($B552="","",O552-Q552-L552)</f>
        <v/>
      </c>
      <c r="S552" s="21" t="str">
        <f aca="false">IF(OR($B552="",N(O552)=0),"",R552/O552)</f>
        <v/>
      </c>
      <c r="T552" s="14"/>
      <c r="U552" s="19" t="n">
        <f aca="false">IF(OR($B552="",$A552=""),0,IF(COUNTIFS($A$5:$A552,$A552,$B$5:$B552,$B552)=1,1,0))</f>
        <v>0</v>
      </c>
    </row>
    <row r="553" customFormat="false" ht="15" hidden="false" customHeight="false" outlineLevel="0" collapsed="false">
      <c r="A553" s="17"/>
      <c r="B553" s="13"/>
      <c r="C553" s="20" t="str">
        <f aca="false">IF($B553="","",IFERROR(INDEX(고객사!$B$5:$B$104,MATCH($B553,고객사!$A$5:$A$104,0)),"코드 확인"))</f>
        <v/>
      </c>
      <c r="D553" s="15"/>
      <c r="E553" s="15"/>
      <c r="F553" s="16"/>
      <c r="G553" s="16"/>
      <c r="H553" s="21" t="str">
        <f aca="false">IF(OR($B553="",F553=0),"",G553/F553)</f>
        <v/>
      </c>
      <c r="I553" s="22" t="str">
        <f aca="false">IF($B553="","",MAX(F553-G553,0))</f>
        <v/>
      </c>
      <c r="J553" s="23" t="str">
        <f aca="false">IF($B553="","",IFERROR(INDEX(고객사!$G$5:$G$104,MATCH($B553,고객사!$A$5:$A$104,0)),""))</f>
        <v/>
      </c>
      <c r="K553" s="16"/>
      <c r="L553" s="22" t="str">
        <f aca="false">IF($B553="","",K553*IFERROR(INDEX(고객사!$L$5:$L$104,MATCH($B553,고객사!$A$5:$A$104,0)),0))</f>
        <v/>
      </c>
      <c r="M553" s="23" t="str">
        <f aca="false">IF($B553="","",IF(AND(J553="N",G553&gt;0,K553=0,IFERROR(INDEX(고객사!$H$5:$H$104,MATCH($B553,고객사!$A$5:$A$104,0)),"")="자사 차량 운행"),"차량 미배정",""))</f>
        <v/>
      </c>
      <c r="N553" s="22" t="str">
        <f aca="false">IF($B553="","",IFERROR(INDEX(고객사!$J$5:$J$104,MATCH($B553,고객사!$A$5:$A$104,0)),0))</f>
        <v/>
      </c>
      <c r="O553" s="22" t="str">
        <f aca="false">IF($B553="","",G553*N553)</f>
        <v/>
      </c>
      <c r="P553" s="22" t="str">
        <f aca="false">IF($B553="","",IFERROR(INDEX(고객사!$K$5:$K$104,MATCH($B553,고객사!$A$5:$A$104,0)),0))</f>
        <v/>
      </c>
      <c r="Q553" s="22" t="str">
        <f aca="false">IF($B553="","",G553*P553)</f>
        <v/>
      </c>
      <c r="R553" s="22" t="str">
        <f aca="false">IF($B553="","",O553-Q553-L553)</f>
        <v/>
      </c>
      <c r="S553" s="21" t="str">
        <f aca="false">IF(OR($B553="",N(O553)=0),"",R553/O553)</f>
        <v/>
      </c>
      <c r="T553" s="14"/>
      <c r="U553" s="19" t="n">
        <f aca="false">IF(OR($B553="",$A553=""),0,IF(COUNTIFS($A$5:$A553,$A553,$B$5:$B553,$B553)=1,1,0))</f>
        <v>0</v>
      </c>
    </row>
    <row r="554" customFormat="false" ht="15" hidden="false" customHeight="false" outlineLevel="0" collapsed="false">
      <c r="A554" s="17"/>
      <c r="B554" s="13"/>
      <c r="C554" s="20" t="str">
        <f aca="false">IF($B554="","",IFERROR(INDEX(고객사!$B$5:$B$104,MATCH($B554,고객사!$A$5:$A$104,0)),"코드 확인"))</f>
        <v/>
      </c>
      <c r="D554" s="15"/>
      <c r="E554" s="15"/>
      <c r="F554" s="16"/>
      <c r="G554" s="16"/>
      <c r="H554" s="21" t="str">
        <f aca="false">IF(OR($B554="",F554=0),"",G554/F554)</f>
        <v/>
      </c>
      <c r="I554" s="22" t="str">
        <f aca="false">IF($B554="","",MAX(F554-G554,0))</f>
        <v/>
      </c>
      <c r="J554" s="23" t="str">
        <f aca="false">IF($B554="","",IFERROR(INDEX(고객사!$G$5:$G$104,MATCH($B554,고객사!$A$5:$A$104,0)),""))</f>
        <v/>
      </c>
      <c r="K554" s="16"/>
      <c r="L554" s="22" t="str">
        <f aca="false">IF($B554="","",K554*IFERROR(INDEX(고객사!$L$5:$L$104,MATCH($B554,고객사!$A$5:$A$104,0)),0))</f>
        <v/>
      </c>
      <c r="M554" s="23" t="str">
        <f aca="false">IF($B554="","",IF(AND(J554="N",G554&gt;0,K554=0,IFERROR(INDEX(고객사!$H$5:$H$104,MATCH($B554,고객사!$A$5:$A$104,0)),"")="자사 차량 운행"),"차량 미배정",""))</f>
        <v/>
      </c>
      <c r="N554" s="22" t="str">
        <f aca="false">IF($B554="","",IFERROR(INDEX(고객사!$J$5:$J$104,MATCH($B554,고객사!$A$5:$A$104,0)),0))</f>
        <v/>
      </c>
      <c r="O554" s="22" t="str">
        <f aca="false">IF($B554="","",G554*N554)</f>
        <v/>
      </c>
      <c r="P554" s="22" t="str">
        <f aca="false">IF($B554="","",IFERROR(INDEX(고객사!$K$5:$K$104,MATCH($B554,고객사!$A$5:$A$104,0)),0))</f>
        <v/>
      </c>
      <c r="Q554" s="22" t="str">
        <f aca="false">IF($B554="","",G554*P554)</f>
        <v/>
      </c>
      <c r="R554" s="22" t="str">
        <f aca="false">IF($B554="","",O554-Q554-L554)</f>
        <v/>
      </c>
      <c r="S554" s="21" t="str">
        <f aca="false">IF(OR($B554="",N(O554)=0),"",R554/O554)</f>
        <v/>
      </c>
      <c r="T554" s="14"/>
      <c r="U554" s="19" t="n">
        <f aca="false">IF(OR($B554="",$A554=""),0,IF(COUNTIFS($A$5:$A554,$A554,$B$5:$B554,$B554)=1,1,0))</f>
        <v>0</v>
      </c>
    </row>
    <row r="555" customFormat="false" ht="15" hidden="false" customHeight="false" outlineLevel="0" collapsed="false">
      <c r="A555" s="17"/>
      <c r="B555" s="13"/>
      <c r="C555" s="20" t="str">
        <f aca="false">IF($B555="","",IFERROR(INDEX(고객사!$B$5:$B$104,MATCH($B555,고객사!$A$5:$A$104,0)),"코드 확인"))</f>
        <v/>
      </c>
      <c r="D555" s="15"/>
      <c r="E555" s="15"/>
      <c r="F555" s="16"/>
      <c r="G555" s="16"/>
      <c r="H555" s="21" t="str">
        <f aca="false">IF(OR($B555="",F555=0),"",G555/F555)</f>
        <v/>
      </c>
      <c r="I555" s="22" t="str">
        <f aca="false">IF($B555="","",MAX(F555-G555,0))</f>
        <v/>
      </c>
      <c r="J555" s="23" t="str">
        <f aca="false">IF($B555="","",IFERROR(INDEX(고객사!$G$5:$G$104,MATCH($B555,고객사!$A$5:$A$104,0)),""))</f>
        <v/>
      </c>
      <c r="K555" s="16"/>
      <c r="L555" s="22" t="str">
        <f aca="false">IF($B555="","",K555*IFERROR(INDEX(고객사!$L$5:$L$104,MATCH($B555,고객사!$A$5:$A$104,0)),0))</f>
        <v/>
      </c>
      <c r="M555" s="23" t="str">
        <f aca="false">IF($B555="","",IF(AND(J555="N",G555&gt;0,K555=0,IFERROR(INDEX(고객사!$H$5:$H$104,MATCH($B555,고객사!$A$5:$A$104,0)),"")="자사 차량 운행"),"차량 미배정",""))</f>
        <v/>
      </c>
      <c r="N555" s="22" t="str">
        <f aca="false">IF($B555="","",IFERROR(INDEX(고객사!$J$5:$J$104,MATCH($B555,고객사!$A$5:$A$104,0)),0))</f>
        <v/>
      </c>
      <c r="O555" s="22" t="str">
        <f aca="false">IF($B555="","",G555*N555)</f>
        <v/>
      </c>
      <c r="P555" s="22" t="str">
        <f aca="false">IF($B555="","",IFERROR(INDEX(고객사!$K$5:$K$104,MATCH($B555,고객사!$A$5:$A$104,0)),0))</f>
        <v/>
      </c>
      <c r="Q555" s="22" t="str">
        <f aca="false">IF($B555="","",G555*P555)</f>
        <v/>
      </c>
      <c r="R555" s="22" t="str">
        <f aca="false">IF($B555="","",O555-Q555-L555)</f>
        <v/>
      </c>
      <c r="S555" s="21" t="str">
        <f aca="false">IF(OR($B555="",N(O555)=0),"",R555/O555)</f>
        <v/>
      </c>
      <c r="T555" s="14"/>
      <c r="U555" s="19" t="n">
        <f aca="false">IF(OR($B555="",$A555=""),0,IF(COUNTIFS($A$5:$A555,$A555,$B$5:$B555,$B555)=1,1,0))</f>
        <v>0</v>
      </c>
    </row>
    <row r="556" customFormat="false" ht="15" hidden="false" customHeight="false" outlineLevel="0" collapsed="false">
      <c r="A556" s="17"/>
      <c r="B556" s="13"/>
      <c r="C556" s="20" t="str">
        <f aca="false">IF($B556="","",IFERROR(INDEX(고객사!$B$5:$B$104,MATCH($B556,고객사!$A$5:$A$104,0)),"코드 확인"))</f>
        <v/>
      </c>
      <c r="D556" s="15"/>
      <c r="E556" s="15"/>
      <c r="F556" s="16"/>
      <c r="G556" s="16"/>
      <c r="H556" s="21" t="str">
        <f aca="false">IF(OR($B556="",F556=0),"",G556/F556)</f>
        <v/>
      </c>
      <c r="I556" s="22" t="str">
        <f aca="false">IF($B556="","",MAX(F556-G556,0))</f>
        <v/>
      </c>
      <c r="J556" s="23" t="str">
        <f aca="false">IF($B556="","",IFERROR(INDEX(고객사!$G$5:$G$104,MATCH($B556,고객사!$A$5:$A$104,0)),""))</f>
        <v/>
      </c>
      <c r="K556" s="16"/>
      <c r="L556" s="22" t="str">
        <f aca="false">IF($B556="","",K556*IFERROR(INDEX(고객사!$L$5:$L$104,MATCH($B556,고객사!$A$5:$A$104,0)),0))</f>
        <v/>
      </c>
      <c r="M556" s="23" t="str">
        <f aca="false">IF($B556="","",IF(AND(J556="N",G556&gt;0,K556=0,IFERROR(INDEX(고객사!$H$5:$H$104,MATCH($B556,고객사!$A$5:$A$104,0)),"")="자사 차량 운행"),"차량 미배정",""))</f>
        <v/>
      </c>
      <c r="N556" s="22" t="str">
        <f aca="false">IF($B556="","",IFERROR(INDEX(고객사!$J$5:$J$104,MATCH($B556,고객사!$A$5:$A$104,0)),0))</f>
        <v/>
      </c>
      <c r="O556" s="22" t="str">
        <f aca="false">IF($B556="","",G556*N556)</f>
        <v/>
      </c>
      <c r="P556" s="22" t="str">
        <f aca="false">IF($B556="","",IFERROR(INDEX(고객사!$K$5:$K$104,MATCH($B556,고객사!$A$5:$A$104,0)),0))</f>
        <v/>
      </c>
      <c r="Q556" s="22" t="str">
        <f aca="false">IF($B556="","",G556*P556)</f>
        <v/>
      </c>
      <c r="R556" s="22" t="str">
        <f aca="false">IF($B556="","",O556-Q556-L556)</f>
        <v/>
      </c>
      <c r="S556" s="21" t="str">
        <f aca="false">IF(OR($B556="",N(O556)=0),"",R556/O556)</f>
        <v/>
      </c>
      <c r="T556" s="14"/>
      <c r="U556" s="19" t="n">
        <f aca="false">IF(OR($B556="",$A556=""),0,IF(COUNTIFS($A$5:$A556,$A556,$B$5:$B556,$B556)=1,1,0))</f>
        <v>0</v>
      </c>
    </row>
    <row r="557" customFormat="false" ht="15" hidden="false" customHeight="false" outlineLevel="0" collapsed="false">
      <c r="A557" s="17"/>
      <c r="B557" s="13"/>
      <c r="C557" s="20" t="str">
        <f aca="false">IF($B557="","",IFERROR(INDEX(고객사!$B$5:$B$104,MATCH($B557,고객사!$A$5:$A$104,0)),"코드 확인"))</f>
        <v/>
      </c>
      <c r="D557" s="15"/>
      <c r="E557" s="15"/>
      <c r="F557" s="16"/>
      <c r="G557" s="16"/>
      <c r="H557" s="21" t="str">
        <f aca="false">IF(OR($B557="",F557=0),"",G557/F557)</f>
        <v/>
      </c>
      <c r="I557" s="22" t="str">
        <f aca="false">IF($B557="","",MAX(F557-G557,0))</f>
        <v/>
      </c>
      <c r="J557" s="23" t="str">
        <f aca="false">IF($B557="","",IFERROR(INDEX(고객사!$G$5:$G$104,MATCH($B557,고객사!$A$5:$A$104,0)),""))</f>
        <v/>
      </c>
      <c r="K557" s="16"/>
      <c r="L557" s="22" t="str">
        <f aca="false">IF($B557="","",K557*IFERROR(INDEX(고객사!$L$5:$L$104,MATCH($B557,고객사!$A$5:$A$104,0)),0))</f>
        <v/>
      </c>
      <c r="M557" s="23" t="str">
        <f aca="false">IF($B557="","",IF(AND(J557="N",G557&gt;0,K557=0,IFERROR(INDEX(고객사!$H$5:$H$104,MATCH($B557,고객사!$A$5:$A$104,0)),"")="자사 차량 운행"),"차량 미배정",""))</f>
        <v/>
      </c>
      <c r="N557" s="22" t="str">
        <f aca="false">IF($B557="","",IFERROR(INDEX(고객사!$J$5:$J$104,MATCH($B557,고객사!$A$5:$A$104,0)),0))</f>
        <v/>
      </c>
      <c r="O557" s="22" t="str">
        <f aca="false">IF($B557="","",G557*N557)</f>
        <v/>
      </c>
      <c r="P557" s="22" t="str">
        <f aca="false">IF($B557="","",IFERROR(INDEX(고객사!$K$5:$K$104,MATCH($B557,고객사!$A$5:$A$104,0)),0))</f>
        <v/>
      </c>
      <c r="Q557" s="22" t="str">
        <f aca="false">IF($B557="","",G557*P557)</f>
        <v/>
      </c>
      <c r="R557" s="22" t="str">
        <f aca="false">IF($B557="","",O557-Q557-L557)</f>
        <v/>
      </c>
      <c r="S557" s="21" t="str">
        <f aca="false">IF(OR($B557="",N(O557)=0),"",R557/O557)</f>
        <v/>
      </c>
      <c r="T557" s="14"/>
      <c r="U557" s="19" t="n">
        <f aca="false">IF(OR($B557="",$A557=""),0,IF(COUNTIFS($A$5:$A557,$A557,$B$5:$B557,$B557)=1,1,0))</f>
        <v>0</v>
      </c>
    </row>
    <row r="558" customFormat="false" ht="15" hidden="false" customHeight="false" outlineLevel="0" collapsed="false">
      <c r="A558" s="17"/>
      <c r="B558" s="13"/>
      <c r="C558" s="20" t="str">
        <f aca="false">IF($B558="","",IFERROR(INDEX(고객사!$B$5:$B$104,MATCH($B558,고객사!$A$5:$A$104,0)),"코드 확인"))</f>
        <v/>
      </c>
      <c r="D558" s="15"/>
      <c r="E558" s="15"/>
      <c r="F558" s="16"/>
      <c r="G558" s="16"/>
      <c r="H558" s="21" t="str">
        <f aca="false">IF(OR($B558="",F558=0),"",G558/F558)</f>
        <v/>
      </c>
      <c r="I558" s="22" t="str">
        <f aca="false">IF($B558="","",MAX(F558-G558,0))</f>
        <v/>
      </c>
      <c r="J558" s="23" t="str">
        <f aca="false">IF($B558="","",IFERROR(INDEX(고객사!$G$5:$G$104,MATCH($B558,고객사!$A$5:$A$104,0)),""))</f>
        <v/>
      </c>
      <c r="K558" s="16"/>
      <c r="L558" s="22" t="str">
        <f aca="false">IF($B558="","",K558*IFERROR(INDEX(고객사!$L$5:$L$104,MATCH($B558,고객사!$A$5:$A$104,0)),0))</f>
        <v/>
      </c>
      <c r="M558" s="23" t="str">
        <f aca="false">IF($B558="","",IF(AND(J558="N",G558&gt;0,K558=0,IFERROR(INDEX(고객사!$H$5:$H$104,MATCH($B558,고객사!$A$5:$A$104,0)),"")="자사 차량 운행"),"차량 미배정",""))</f>
        <v/>
      </c>
      <c r="N558" s="22" t="str">
        <f aca="false">IF($B558="","",IFERROR(INDEX(고객사!$J$5:$J$104,MATCH($B558,고객사!$A$5:$A$104,0)),0))</f>
        <v/>
      </c>
      <c r="O558" s="22" t="str">
        <f aca="false">IF($B558="","",G558*N558)</f>
        <v/>
      </c>
      <c r="P558" s="22" t="str">
        <f aca="false">IF($B558="","",IFERROR(INDEX(고객사!$K$5:$K$104,MATCH($B558,고객사!$A$5:$A$104,0)),0))</f>
        <v/>
      </c>
      <c r="Q558" s="22" t="str">
        <f aca="false">IF($B558="","",G558*P558)</f>
        <v/>
      </c>
      <c r="R558" s="22" t="str">
        <f aca="false">IF($B558="","",O558-Q558-L558)</f>
        <v/>
      </c>
      <c r="S558" s="21" t="str">
        <f aca="false">IF(OR($B558="",N(O558)=0),"",R558/O558)</f>
        <v/>
      </c>
      <c r="T558" s="14"/>
      <c r="U558" s="19" t="n">
        <f aca="false">IF(OR($B558="",$A558=""),0,IF(COUNTIFS($A$5:$A558,$A558,$B$5:$B558,$B558)=1,1,0))</f>
        <v>0</v>
      </c>
    </row>
    <row r="559" customFormat="false" ht="15" hidden="false" customHeight="false" outlineLevel="0" collapsed="false">
      <c r="A559" s="17"/>
      <c r="B559" s="13"/>
      <c r="C559" s="20" t="str">
        <f aca="false">IF($B559="","",IFERROR(INDEX(고객사!$B$5:$B$104,MATCH($B559,고객사!$A$5:$A$104,0)),"코드 확인"))</f>
        <v/>
      </c>
      <c r="D559" s="15"/>
      <c r="E559" s="15"/>
      <c r="F559" s="16"/>
      <c r="G559" s="16"/>
      <c r="H559" s="21" t="str">
        <f aca="false">IF(OR($B559="",F559=0),"",G559/F559)</f>
        <v/>
      </c>
      <c r="I559" s="22" t="str">
        <f aca="false">IF($B559="","",MAX(F559-G559,0))</f>
        <v/>
      </c>
      <c r="J559" s="23" t="str">
        <f aca="false">IF($B559="","",IFERROR(INDEX(고객사!$G$5:$G$104,MATCH($B559,고객사!$A$5:$A$104,0)),""))</f>
        <v/>
      </c>
      <c r="K559" s="16"/>
      <c r="L559" s="22" t="str">
        <f aca="false">IF($B559="","",K559*IFERROR(INDEX(고객사!$L$5:$L$104,MATCH($B559,고객사!$A$5:$A$104,0)),0))</f>
        <v/>
      </c>
      <c r="M559" s="23" t="str">
        <f aca="false">IF($B559="","",IF(AND(J559="N",G559&gt;0,K559=0,IFERROR(INDEX(고객사!$H$5:$H$104,MATCH($B559,고객사!$A$5:$A$104,0)),"")="자사 차량 운행"),"차량 미배정",""))</f>
        <v/>
      </c>
      <c r="N559" s="22" t="str">
        <f aca="false">IF($B559="","",IFERROR(INDEX(고객사!$J$5:$J$104,MATCH($B559,고객사!$A$5:$A$104,0)),0))</f>
        <v/>
      </c>
      <c r="O559" s="22" t="str">
        <f aca="false">IF($B559="","",G559*N559)</f>
        <v/>
      </c>
      <c r="P559" s="22" t="str">
        <f aca="false">IF($B559="","",IFERROR(INDEX(고객사!$K$5:$K$104,MATCH($B559,고객사!$A$5:$A$104,0)),0))</f>
        <v/>
      </c>
      <c r="Q559" s="22" t="str">
        <f aca="false">IF($B559="","",G559*P559)</f>
        <v/>
      </c>
      <c r="R559" s="22" t="str">
        <f aca="false">IF($B559="","",O559-Q559-L559)</f>
        <v/>
      </c>
      <c r="S559" s="21" t="str">
        <f aca="false">IF(OR($B559="",N(O559)=0),"",R559/O559)</f>
        <v/>
      </c>
      <c r="T559" s="14"/>
      <c r="U559" s="19" t="n">
        <f aca="false">IF(OR($B559="",$A559=""),0,IF(COUNTIFS($A$5:$A559,$A559,$B$5:$B559,$B559)=1,1,0))</f>
        <v>0</v>
      </c>
    </row>
    <row r="560" customFormat="false" ht="15" hidden="false" customHeight="false" outlineLevel="0" collapsed="false">
      <c r="A560" s="17"/>
      <c r="B560" s="13"/>
      <c r="C560" s="20" t="str">
        <f aca="false">IF($B560="","",IFERROR(INDEX(고객사!$B$5:$B$104,MATCH($B560,고객사!$A$5:$A$104,0)),"코드 확인"))</f>
        <v/>
      </c>
      <c r="D560" s="15"/>
      <c r="E560" s="15"/>
      <c r="F560" s="16"/>
      <c r="G560" s="16"/>
      <c r="H560" s="21" t="str">
        <f aca="false">IF(OR($B560="",F560=0),"",G560/F560)</f>
        <v/>
      </c>
      <c r="I560" s="22" t="str">
        <f aca="false">IF($B560="","",MAX(F560-G560,0))</f>
        <v/>
      </c>
      <c r="J560" s="23" t="str">
        <f aca="false">IF($B560="","",IFERROR(INDEX(고객사!$G$5:$G$104,MATCH($B560,고객사!$A$5:$A$104,0)),""))</f>
        <v/>
      </c>
      <c r="K560" s="16"/>
      <c r="L560" s="22" t="str">
        <f aca="false">IF($B560="","",K560*IFERROR(INDEX(고객사!$L$5:$L$104,MATCH($B560,고객사!$A$5:$A$104,0)),0))</f>
        <v/>
      </c>
      <c r="M560" s="23" t="str">
        <f aca="false">IF($B560="","",IF(AND(J560="N",G560&gt;0,K560=0,IFERROR(INDEX(고객사!$H$5:$H$104,MATCH($B560,고객사!$A$5:$A$104,0)),"")="자사 차량 운행"),"차량 미배정",""))</f>
        <v/>
      </c>
      <c r="N560" s="22" t="str">
        <f aca="false">IF($B560="","",IFERROR(INDEX(고객사!$J$5:$J$104,MATCH($B560,고객사!$A$5:$A$104,0)),0))</f>
        <v/>
      </c>
      <c r="O560" s="22" t="str">
        <f aca="false">IF($B560="","",G560*N560)</f>
        <v/>
      </c>
      <c r="P560" s="22" t="str">
        <f aca="false">IF($B560="","",IFERROR(INDEX(고객사!$K$5:$K$104,MATCH($B560,고객사!$A$5:$A$104,0)),0))</f>
        <v/>
      </c>
      <c r="Q560" s="22" t="str">
        <f aca="false">IF($B560="","",G560*P560)</f>
        <v/>
      </c>
      <c r="R560" s="22" t="str">
        <f aca="false">IF($B560="","",O560-Q560-L560)</f>
        <v/>
      </c>
      <c r="S560" s="21" t="str">
        <f aca="false">IF(OR($B560="",N(O560)=0),"",R560/O560)</f>
        <v/>
      </c>
      <c r="T560" s="14"/>
      <c r="U560" s="19" t="n">
        <f aca="false">IF(OR($B560="",$A560=""),0,IF(COUNTIFS($A$5:$A560,$A560,$B$5:$B560,$B560)=1,1,0))</f>
        <v>0</v>
      </c>
    </row>
    <row r="561" customFormat="false" ht="15" hidden="false" customHeight="false" outlineLevel="0" collapsed="false">
      <c r="A561" s="17"/>
      <c r="B561" s="13"/>
      <c r="C561" s="20" t="str">
        <f aca="false">IF($B561="","",IFERROR(INDEX(고객사!$B$5:$B$104,MATCH($B561,고객사!$A$5:$A$104,0)),"코드 확인"))</f>
        <v/>
      </c>
      <c r="D561" s="15"/>
      <c r="E561" s="15"/>
      <c r="F561" s="16"/>
      <c r="G561" s="16"/>
      <c r="H561" s="21" t="str">
        <f aca="false">IF(OR($B561="",F561=0),"",G561/F561)</f>
        <v/>
      </c>
      <c r="I561" s="22" t="str">
        <f aca="false">IF($B561="","",MAX(F561-G561,0))</f>
        <v/>
      </c>
      <c r="J561" s="23" t="str">
        <f aca="false">IF($B561="","",IFERROR(INDEX(고객사!$G$5:$G$104,MATCH($B561,고객사!$A$5:$A$104,0)),""))</f>
        <v/>
      </c>
      <c r="K561" s="16"/>
      <c r="L561" s="22" t="str">
        <f aca="false">IF($B561="","",K561*IFERROR(INDEX(고객사!$L$5:$L$104,MATCH($B561,고객사!$A$5:$A$104,0)),0))</f>
        <v/>
      </c>
      <c r="M561" s="23" t="str">
        <f aca="false">IF($B561="","",IF(AND(J561="N",G561&gt;0,K561=0,IFERROR(INDEX(고객사!$H$5:$H$104,MATCH($B561,고객사!$A$5:$A$104,0)),"")="자사 차량 운행"),"차량 미배정",""))</f>
        <v/>
      </c>
      <c r="N561" s="22" t="str">
        <f aca="false">IF($B561="","",IFERROR(INDEX(고객사!$J$5:$J$104,MATCH($B561,고객사!$A$5:$A$104,0)),0))</f>
        <v/>
      </c>
      <c r="O561" s="22" t="str">
        <f aca="false">IF($B561="","",G561*N561)</f>
        <v/>
      </c>
      <c r="P561" s="22" t="str">
        <f aca="false">IF($B561="","",IFERROR(INDEX(고객사!$K$5:$K$104,MATCH($B561,고객사!$A$5:$A$104,0)),0))</f>
        <v/>
      </c>
      <c r="Q561" s="22" t="str">
        <f aca="false">IF($B561="","",G561*P561)</f>
        <v/>
      </c>
      <c r="R561" s="22" t="str">
        <f aca="false">IF($B561="","",O561-Q561-L561)</f>
        <v/>
      </c>
      <c r="S561" s="21" t="str">
        <f aca="false">IF(OR($B561="",N(O561)=0),"",R561/O561)</f>
        <v/>
      </c>
      <c r="T561" s="14"/>
      <c r="U561" s="19" t="n">
        <f aca="false">IF(OR($B561="",$A561=""),0,IF(COUNTIFS($A$5:$A561,$A561,$B$5:$B561,$B561)=1,1,0))</f>
        <v>0</v>
      </c>
    </row>
    <row r="562" customFormat="false" ht="15" hidden="false" customHeight="false" outlineLevel="0" collapsed="false">
      <c r="A562" s="17"/>
      <c r="B562" s="13"/>
      <c r="C562" s="20" t="str">
        <f aca="false">IF($B562="","",IFERROR(INDEX(고객사!$B$5:$B$104,MATCH($B562,고객사!$A$5:$A$104,0)),"코드 확인"))</f>
        <v/>
      </c>
      <c r="D562" s="15"/>
      <c r="E562" s="15"/>
      <c r="F562" s="16"/>
      <c r="G562" s="16"/>
      <c r="H562" s="21" t="str">
        <f aca="false">IF(OR($B562="",F562=0),"",G562/F562)</f>
        <v/>
      </c>
      <c r="I562" s="22" t="str">
        <f aca="false">IF($B562="","",MAX(F562-G562,0))</f>
        <v/>
      </c>
      <c r="J562" s="23" t="str">
        <f aca="false">IF($B562="","",IFERROR(INDEX(고객사!$G$5:$G$104,MATCH($B562,고객사!$A$5:$A$104,0)),""))</f>
        <v/>
      </c>
      <c r="K562" s="16"/>
      <c r="L562" s="22" t="str">
        <f aca="false">IF($B562="","",K562*IFERROR(INDEX(고객사!$L$5:$L$104,MATCH($B562,고객사!$A$5:$A$104,0)),0))</f>
        <v/>
      </c>
      <c r="M562" s="23" t="str">
        <f aca="false">IF($B562="","",IF(AND(J562="N",G562&gt;0,K562=0,IFERROR(INDEX(고객사!$H$5:$H$104,MATCH($B562,고객사!$A$5:$A$104,0)),"")="자사 차량 운행"),"차량 미배정",""))</f>
        <v/>
      </c>
      <c r="N562" s="22" t="str">
        <f aca="false">IF($B562="","",IFERROR(INDEX(고객사!$J$5:$J$104,MATCH($B562,고객사!$A$5:$A$104,0)),0))</f>
        <v/>
      </c>
      <c r="O562" s="22" t="str">
        <f aca="false">IF($B562="","",G562*N562)</f>
        <v/>
      </c>
      <c r="P562" s="22" t="str">
        <f aca="false">IF($B562="","",IFERROR(INDEX(고객사!$K$5:$K$104,MATCH($B562,고객사!$A$5:$A$104,0)),0))</f>
        <v/>
      </c>
      <c r="Q562" s="22" t="str">
        <f aca="false">IF($B562="","",G562*P562)</f>
        <v/>
      </c>
      <c r="R562" s="22" t="str">
        <f aca="false">IF($B562="","",O562-Q562-L562)</f>
        <v/>
      </c>
      <c r="S562" s="21" t="str">
        <f aca="false">IF(OR($B562="",N(O562)=0),"",R562/O562)</f>
        <v/>
      </c>
      <c r="T562" s="14"/>
      <c r="U562" s="19" t="n">
        <f aca="false">IF(OR($B562="",$A562=""),0,IF(COUNTIFS($A$5:$A562,$A562,$B$5:$B562,$B562)=1,1,0))</f>
        <v>0</v>
      </c>
    </row>
    <row r="563" customFormat="false" ht="15" hidden="false" customHeight="false" outlineLevel="0" collapsed="false">
      <c r="A563" s="17"/>
      <c r="B563" s="13"/>
      <c r="C563" s="20" t="str">
        <f aca="false">IF($B563="","",IFERROR(INDEX(고객사!$B$5:$B$104,MATCH($B563,고객사!$A$5:$A$104,0)),"코드 확인"))</f>
        <v/>
      </c>
      <c r="D563" s="15"/>
      <c r="E563" s="15"/>
      <c r="F563" s="16"/>
      <c r="G563" s="16"/>
      <c r="H563" s="21" t="str">
        <f aca="false">IF(OR($B563="",F563=0),"",G563/F563)</f>
        <v/>
      </c>
      <c r="I563" s="22" t="str">
        <f aca="false">IF($B563="","",MAX(F563-G563,0))</f>
        <v/>
      </c>
      <c r="J563" s="23" t="str">
        <f aca="false">IF($B563="","",IFERROR(INDEX(고객사!$G$5:$G$104,MATCH($B563,고객사!$A$5:$A$104,0)),""))</f>
        <v/>
      </c>
      <c r="K563" s="16"/>
      <c r="L563" s="22" t="str">
        <f aca="false">IF($B563="","",K563*IFERROR(INDEX(고객사!$L$5:$L$104,MATCH($B563,고객사!$A$5:$A$104,0)),0))</f>
        <v/>
      </c>
      <c r="M563" s="23" t="str">
        <f aca="false">IF($B563="","",IF(AND(J563="N",G563&gt;0,K563=0,IFERROR(INDEX(고객사!$H$5:$H$104,MATCH($B563,고객사!$A$5:$A$104,0)),"")="자사 차량 운행"),"차량 미배정",""))</f>
        <v/>
      </c>
      <c r="N563" s="22" t="str">
        <f aca="false">IF($B563="","",IFERROR(INDEX(고객사!$J$5:$J$104,MATCH($B563,고객사!$A$5:$A$104,0)),0))</f>
        <v/>
      </c>
      <c r="O563" s="22" t="str">
        <f aca="false">IF($B563="","",G563*N563)</f>
        <v/>
      </c>
      <c r="P563" s="22" t="str">
        <f aca="false">IF($B563="","",IFERROR(INDEX(고객사!$K$5:$K$104,MATCH($B563,고객사!$A$5:$A$104,0)),0))</f>
        <v/>
      </c>
      <c r="Q563" s="22" t="str">
        <f aca="false">IF($B563="","",G563*P563)</f>
        <v/>
      </c>
      <c r="R563" s="22" t="str">
        <f aca="false">IF($B563="","",O563-Q563-L563)</f>
        <v/>
      </c>
      <c r="S563" s="21" t="str">
        <f aca="false">IF(OR($B563="",N(O563)=0),"",R563/O563)</f>
        <v/>
      </c>
      <c r="T563" s="14"/>
      <c r="U563" s="19" t="n">
        <f aca="false">IF(OR($B563="",$A563=""),0,IF(COUNTIFS($A$5:$A563,$A563,$B$5:$B563,$B563)=1,1,0))</f>
        <v>0</v>
      </c>
    </row>
    <row r="564" customFormat="false" ht="15" hidden="false" customHeight="false" outlineLevel="0" collapsed="false">
      <c r="A564" s="17"/>
      <c r="B564" s="13"/>
      <c r="C564" s="20" t="str">
        <f aca="false">IF($B564="","",IFERROR(INDEX(고객사!$B$5:$B$104,MATCH($B564,고객사!$A$5:$A$104,0)),"코드 확인"))</f>
        <v/>
      </c>
      <c r="D564" s="15"/>
      <c r="E564" s="15"/>
      <c r="F564" s="16"/>
      <c r="G564" s="16"/>
      <c r="H564" s="21" t="str">
        <f aca="false">IF(OR($B564="",F564=0),"",G564/F564)</f>
        <v/>
      </c>
      <c r="I564" s="22" t="str">
        <f aca="false">IF($B564="","",MAX(F564-G564,0))</f>
        <v/>
      </c>
      <c r="J564" s="23" t="str">
        <f aca="false">IF($B564="","",IFERROR(INDEX(고객사!$G$5:$G$104,MATCH($B564,고객사!$A$5:$A$104,0)),""))</f>
        <v/>
      </c>
      <c r="K564" s="16"/>
      <c r="L564" s="22" t="str">
        <f aca="false">IF($B564="","",K564*IFERROR(INDEX(고객사!$L$5:$L$104,MATCH($B564,고객사!$A$5:$A$104,0)),0))</f>
        <v/>
      </c>
      <c r="M564" s="23" t="str">
        <f aca="false">IF($B564="","",IF(AND(J564="N",G564&gt;0,K564=0,IFERROR(INDEX(고객사!$H$5:$H$104,MATCH($B564,고객사!$A$5:$A$104,0)),"")="자사 차량 운행"),"차량 미배정",""))</f>
        <v/>
      </c>
      <c r="N564" s="22" t="str">
        <f aca="false">IF($B564="","",IFERROR(INDEX(고객사!$J$5:$J$104,MATCH($B564,고객사!$A$5:$A$104,0)),0))</f>
        <v/>
      </c>
      <c r="O564" s="22" t="str">
        <f aca="false">IF($B564="","",G564*N564)</f>
        <v/>
      </c>
      <c r="P564" s="22" t="str">
        <f aca="false">IF($B564="","",IFERROR(INDEX(고객사!$K$5:$K$104,MATCH($B564,고객사!$A$5:$A$104,0)),0))</f>
        <v/>
      </c>
      <c r="Q564" s="22" t="str">
        <f aca="false">IF($B564="","",G564*P564)</f>
        <v/>
      </c>
      <c r="R564" s="22" t="str">
        <f aca="false">IF($B564="","",O564-Q564-L564)</f>
        <v/>
      </c>
      <c r="S564" s="21" t="str">
        <f aca="false">IF(OR($B564="",N(O564)=0),"",R564/O564)</f>
        <v/>
      </c>
      <c r="T564" s="14"/>
      <c r="U564" s="19" t="n">
        <f aca="false">IF(OR($B564="",$A564=""),0,IF(COUNTIFS($A$5:$A564,$A564,$B$5:$B564,$B564)=1,1,0))</f>
        <v>0</v>
      </c>
    </row>
    <row r="565" customFormat="false" ht="15" hidden="false" customHeight="false" outlineLevel="0" collapsed="false">
      <c r="A565" s="17"/>
      <c r="B565" s="13"/>
      <c r="C565" s="20" t="str">
        <f aca="false">IF($B565="","",IFERROR(INDEX(고객사!$B$5:$B$104,MATCH($B565,고객사!$A$5:$A$104,0)),"코드 확인"))</f>
        <v/>
      </c>
      <c r="D565" s="15"/>
      <c r="E565" s="15"/>
      <c r="F565" s="16"/>
      <c r="G565" s="16"/>
      <c r="H565" s="21" t="str">
        <f aca="false">IF(OR($B565="",F565=0),"",G565/F565)</f>
        <v/>
      </c>
      <c r="I565" s="22" t="str">
        <f aca="false">IF($B565="","",MAX(F565-G565,0))</f>
        <v/>
      </c>
      <c r="J565" s="23" t="str">
        <f aca="false">IF($B565="","",IFERROR(INDEX(고객사!$G$5:$G$104,MATCH($B565,고객사!$A$5:$A$104,0)),""))</f>
        <v/>
      </c>
      <c r="K565" s="16"/>
      <c r="L565" s="22" t="str">
        <f aca="false">IF($B565="","",K565*IFERROR(INDEX(고객사!$L$5:$L$104,MATCH($B565,고객사!$A$5:$A$104,0)),0))</f>
        <v/>
      </c>
      <c r="M565" s="23" t="str">
        <f aca="false">IF($B565="","",IF(AND(J565="N",G565&gt;0,K565=0,IFERROR(INDEX(고객사!$H$5:$H$104,MATCH($B565,고객사!$A$5:$A$104,0)),"")="자사 차량 운행"),"차량 미배정",""))</f>
        <v/>
      </c>
      <c r="N565" s="22" t="str">
        <f aca="false">IF($B565="","",IFERROR(INDEX(고객사!$J$5:$J$104,MATCH($B565,고객사!$A$5:$A$104,0)),0))</f>
        <v/>
      </c>
      <c r="O565" s="22" t="str">
        <f aca="false">IF($B565="","",G565*N565)</f>
        <v/>
      </c>
      <c r="P565" s="22" t="str">
        <f aca="false">IF($B565="","",IFERROR(INDEX(고객사!$K$5:$K$104,MATCH($B565,고객사!$A$5:$A$104,0)),0))</f>
        <v/>
      </c>
      <c r="Q565" s="22" t="str">
        <f aca="false">IF($B565="","",G565*P565)</f>
        <v/>
      </c>
      <c r="R565" s="22" t="str">
        <f aca="false">IF($B565="","",O565-Q565-L565)</f>
        <v/>
      </c>
      <c r="S565" s="21" t="str">
        <f aca="false">IF(OR($B565="",N(O565)=0),"",R565/O565)</f>
        <v/>
      </c>
      <c r="T565" s="14"/>
      <c r="U565" s="19" t="n">
        <f aca="false">IF(OR($B565="",$A565=""),0,IF(COUNTIFS($A$5:$A565,$A565,$B$5:$B565,$B565)=1,1,0))</f>
        <v>0</v>
      </c>
    </row>
    <row r="566" customFormat="false" ht="15" hidden="false" customHeight="false" outlineLevel="0" collapsed="false">
      <c r="A566" s="17"/>
      <c r="B566" s="13"/>
      <c r="C566" s="20" t="str">
        <f aca="false">IF($B566="","",IFERROR(INDEX(고객사!$B$5:$B$104,MATCH($B566,고객사!$A$5:$A$104,0)),"코드 확인"))</f>
        <v/>
      </c>
      <c r="D566" s="15"/>
      <c r="E566" s="15"/>
      <c r="F566" s="16"/>
      <c r="G566" s="16"/>
      <c r="H566" s="21" t="str">
        <f aca="false">IF(OR($B566="",F566=0),"",G566/F566)</f>
        <v/>
      </c>
      <c r="I566" s="22" t="str">
        <f aca="false">IF($B566="","",MAX(F566-G566,0))</f>
        <v/>
      </c>
      <c r="J566" s="23" t="str">
        <f aca="false">IF($B566="","",IFERROR(INDEX(고객사!$G$5:$G$104,MATCH($B566,고객사!$A$5:$A$104,0)),""))</f>
        <v/>
      </c>
      <c r="K566" s="16"/>
      <c r="L566" s="22" t="str">
        <f aca="false">IF($B566="","",K566*IFERROR(INDEX(고객사!$L$5:$L$104,MATCH($B566,고객사!$A$5:$A$104,0)),0))</f>
        <v/>
      </c>
      <c r="M566" s="23" t="str">
        <f aca="false">IF($B566="","",IF(AND(J566="N",G566&gt;0,K566=0,IFERROR(INDEX(고객사!$H$5:$H$104,MATCH($B566,고객사!$A$5:$A$104,0)),"")="자사 차량 운행"),"차량 미배정",""))</f>
        <v/>
      </c>
      <c r="N566" s="22" t="str">
        <f aca="false">IF($B566="","",IFERROR(INDEX(고객사!$J$5:$J$104,MATCH($B566,고객사!$A$5:$A$104,0)),0))</f>
        <v/>
      </c>
      <c r="O566" s="22" t="str">
        <f aca="false">IF($B566="","",G566*N566)</f>
        <v/>
      </c>
      <c r="P566" s="22" t="str">
        <f aca="false">IF($B566="","",IFERROR(INDEX(고객사!$K$5:$K$104,MATCH($B566,고객사!$A$5:$A$104,0)),0))</f>
        <v/>
      </c>
      <c r="Q566" s="22" t="str">
        <f aca="false">IF($B566="","",G566*P566)</f>
        <v/>
      </c>
      <c r="R566" s="22" t="str">
        <f aca="false">IF($B566="","",O566-Q566-L566)</f>
        <v/>
      </c>
      <c r="S566" s="21" t="str">
        <f aca="false">IF(OR($B566="",N(O566)=0),"",R566/O566)</f>
        <v/>
      </c>
      <c r="T566" s="14"/>
      <c r="U566" s="19" t="n">
        <f aca="false">IF(OR($B566="",$A566=""),0,IF(COUNTIFS($A$5:$A566,$A566,$B$5:$B566,$B566)=1,1,0))</f>
        <v>0</v>
      </c>
    </row>
    <row r="567" customFormat="false" ht="15" hidden="false" customHeight="false" outlineLevel="0" collapsed="false">
      <c r="A567" s="17"/>
      <c r="B567" s="13"/>
      <c r="C567" s="20" t="str">
        <f aca="false">IF($B567="","",IFERROR(INDEX(고객사!$B$5:$B$104,MATCH($B567,고객사!$A$5:$A$104,0)),"코드 확인"))</f>
        <v/>
      </c>
      <c r="D567" s="15"/>
      <c r="E567" s="15"/>
      <c r="F567" s="16"/>
      <c r="G567" s="16"/>
      <c r="H567" s="21" t="str">
        <f aca="false">IF(OR($B567="",F567=0),"",G567/F567)</f>
        <v/>
      </c>
      <c r="I567" s="22" t="str">
        <f aca="false">IF($B567="","",MAX(F567-G567,0))</f>
        <v/>
      </c>
      <c r="J567" s="23" t="str">
        <f aca="false">IF($B567="","",IFERROR(INDEX(고객사!$G$5:$G$104,MATCH($B567,고객사!$A$5:$A$104,0)),""))</f>
        <v/>
      </c>
      <c r="K567" s="16"/>
      <c r="L567" s="22" t="str">
        <f aca="false">IF($B567="","",K567*IFERROR(INDEX(고객사!$L$5:$L$104,MATCH($B567,고객사!$A$5:$A$104,0)),0))</f>
        <v/>
      </c>
      <c r="M567" s="23" t="str">
        <f aca="false">IF($B567="","",IF(AND(J567="N",G567&gt;0,K567=0,IFERROR(INDEX(고객사!$H$5:$H$104,MATCH($B567,고객사!$A$5:$A$104,0)),"")="자사 차량 운행"),"차량 미배정",""))</f>
        <v/>
      </c>
      <c r="N567" s="22" t="str">
        <f aca="false">IF($B567="","",IFERROR(INDEX(고객사!$J$5:$J$104,MATCH($B567,고객사!$A$5:$A$104,0)),0))</f>
        <v/>
      </c>
      <c r="O567" s="22" t="str">
        <f aca="false">IF($B567="","",G567*N567)</f>
        <v/>
      </c>
      <c r="P567" s="22" t="str">
        <f aca="false">IF($B567="","",IFERROR(INDEX(고객사!$K$5:$K$104,MATCH($B567,고객사!$A$5:$A$104,0)),0))</f>
        <v/>
      </c>
      <c r="Q567" s="22" t="str">
        <f aca="false">IF($B567="","",G567*P567)</f>
        <v/>
      </c>
      <c r="R567" s="22" t="str">
        <f aca="false">IF($B567="","",O567-Q567-L567)</f>
        <v/>
      </c>
      <c r="S567" s="21" t="str">
        <f aca="false">IF(OR($B567="",N(O567)=0),"",R567/O567)</f>
        <v/>
      </c>
      <c r="T567" s="14"/>
      <c r="U567" s="19" t="n">
        <f aca="false">IF(OR($B567="",$A567=""),0,IF(COUNTIFS($A$5:$A567,$A567,$B$5:$B567,$B567)=1,1,0))</f>
        <v>0</v>
      </c>
    </row>
    <row r="568" customFormat="false" ht="15" hidden="false" customHeight="false" outlineLevel="0" collapsed="false">
      <c r="A568" s="17"/>
      <c r="B568" s="13"/>
      <c r="C568" s="20" t="str">
        <f aca="false">IF($B568="","",IFERROR(INDEX(고객사!$B$5:$B$104,MATCH($B568,고객사!$A$5:$A$104,0)),"코드 확인"))</f>
        <v/>
      </c>
      <c r="D568" s="15"/>
      <c r="E568" s="15"/>
      <c r="F568" s="16"/>
      <c r="G568" s="16"/>
      <c r="H568" s="21" t="str">
        <f aca="false">IF(OR($B568="",F568=0),"",G568/F568)</f>
        <v/>
      </c>
      <c r="I568" s="22" t="str">
        <f aca="false">IF($B568="","",MAX(F568-G568,0))</f>
        <v/>
      </c>
      <c r="J568" s="23" t="str">
        <f aca="false">IF($B568="","",IFERROR(INDEX(고객사!$G$5:$G$104,MATCH($B568,고객사!$A$5:$A$104,0)),""))</f>
        <v/>
      </c>
      <c r="K568" s="16"/>
      <c r="L568" s="22" t="str">
        <f aca="false">IF($B568="","",K568*IFERROR(INDEX(고객사!$L$5:$L$104,MATCH($B568,고객사!$A$5:$A$104,0)),0))</f>
        <v/>
      </c>
      <c r="M568" s="23" t="str">
        <f aca="false">IF($B568="","",IF(AND(J568="N",G568&gt;0,K568=0,IFERROR(INDEX(고객사!$H$5:$H$104,MATCH($B568,고객사!$A$5:$A$104,0)),"")="자사 차량 운행"),"차량 미배정",""))</f>
        <v/>
      </c>
      <c r="N568" s="22" t="str">
        <f aca="false">IF($B568="","",IFERROR(INDEX(고객사!$J$5:$J$104,MATCH($B568,고객사!$A$5:$A$104,0)),0))</f>
        <v/>
      </c>
      <c r="O568" s="22" t="str">
        <f aca="false">IF($B568="","",G568*N568)</f>
        <v/>
      </c>
      <c r="P568" s="22" t="str">
        <f aca="false">IF($B568="","",IFERROR(INDEX(고객사!$K$5:$K$104,MATCH($B568,고객사!$A$5:$A$104,0)),0))</f>
        <v/>
      </c>
      <c r="Q568" s="22" t="str">
        <f aca="false">IF($B568="","",G568*P568)</f>
        <v/>
      </c>
      <c r="R568" s="22" t="str">
        <f aca="false">IF($B568="","",O568-Q568-L568)</f>
        <v/>
      </c>
      <c r="S568" s="21" t="str">
        <f aca="false">IF(OR($B568="",N(O568)=0),"",R568/O568)</f>
        <v/>
      </c>
      <c r="T568" s="14"/>
      <c r="U568" s="19" t="n">
        <f aca="false">IF(OR($B568="",$A568=""),0,IF(COUNTIFS($A$5:$A568,$A568,$B$5:$B568,$B568)=1,1,0))</f>
        <v>0</v>
      </c>
    </row>
    <row r="569" customFormat="false" ht="15" hidden="false" customHeight="false" outlineLevel="0" collapsed="false">
      <c r="A569" s="17"/>
      <c r="B569" s="13"/>
      <c r="C569" s="20" t="str">
        <f aca="false">IF($B569="","",IFERROR(INDEX(고객사!$B$5:$B$104,MATCH($B569,고객사!$A$5:$A$104,0)),"코드 확인"))</f>
        <v/>
      </c>
      <c r="D569" s="15"/>
      <c r="E569" s="15"/>
      <c r="F569" s="16"/>
      <c r="G569" s="16"/>
      <c r="H569" s="21" t="str">
        <f aca="false">IF(OR($B569="",F569=0),"",G569/F569)</f>
        <v/>
      </c>
      <c r="I569" s="22" t="str">
        <f aca="false">IF($B569="","",MAX(F569-G569,0))</f>
        <v/>
      </c>
      <c r="J569" s="23" t="str">
        <f aca="false">IF($B569="","",IFERROR(INDEX(고객사!$G$5:$G$104,MATCH($B569,고객사!$A$5:$A$104,0)),""))</f>
        <v/>
      </c>
      <c r="K569" s="16"/>
      <c r="L569" s="22" t="str">
        <f aca="false">IF($B569="","",K569*IFERROR(INDEX(고객사!$L$5:$L$104,MATCH($B569,고객사!$A$5:$A$104,0)),0))</f>
        <v/>
      </c>
      <c r="M569" s="23" t="str">
        <f aca="false">IF($B569="","",IF(AND(J569="N",G569&gt;0,K569=0,IFERROR(INDEX(고객사!$H$5:$H$104,MATCH($B569,고객사!$A$5:$A$104,0)),"")="자사 차량 운행"),"차량 미배정",""))</f>
        <v/>
      </c>
      <c r="N569" s="22" t="str">
        <f aca="false">IF($B569="","",IFERROR(INDEX(고객사!$J$5:$J$104,MATCH($B569,고객사!$A$5:$A$104,0)),0))</f>
        <v/>
      </c>
      <c r="O569" s="22" t="str">
        <f aca="false">IF($B569="","",G569*N569)</f>
        <v/>
      </c>
      <c r="P569" s="22" t="str">
        <f aca="false">IF($B569="","",IFERROR(INDEX(고객사!$K$5:$K$104,MATCH($B569,고객사!$A$5:$A$104,0)),0))</f>
        <v/>
      </c>
      <c r="Q569" s="22" t="str">
        <f aca="false">IF($B569="","",G569*P569)</f>
        <v/>
      </c>
      <c r="R569" s="22" t="str">
        <f aca="false">IF($B569="","",O569-Q569-L569)</f>
        <v/>
      </c>
      <c r="S569" s="21" t="str">
        <f aca="false">IF(OR($B569="",N(O569)=0),"",R569/O569)</f>
        <v/>
      </c>
      <c r="T569" s="14"/>
      <c r="U569" s="19" t="n">
        <f aca="false">IF(OR($B569="",$A569=""),0,IF(COUNTIFS($A$5:$A569,$A569,$B$5:$B569,$B569)=1,1,0))</f>
        <v>0</v>
      </c>
    </row>
    <row r="570" customFormat="false" ht="15" hidden="false" customHeight="false" outlineLevel="0" collapsed="false">
      <c r="A570" s="17"/>
      <c r="B570" s="13"/>
      <c r="C570" s="20" t="str">
        <f aca="false">IF($B570="","",IFERROR(INDEX(고객사!$B$5:$B$104,MATCH($B570,고객사!$A$5:$A$104,0)),"코드 확인"))</f>
        <v/>
      </c>
      <c r="D570" s="15"/>
      <c r="E570" s="15"/>
      <c r="F570" s="16"/>
      <c r="G570" s="16"/>
      <c r="H570" s="21" t="str">
        <f aca="false">IF(OR($B570="",F570=0),"",G570/F570)</f>
        <v/>
      </c>
      <c r="I570" s="22" t="str">
        <f aca="false">IF($B570="","",MAX(F570-G570,0))</f>
        <v/>
      </c>
      <c r="J570" s="23" t="str">
        <f aca="false">IF($B570="","",IFERROR(INDEX(고객사!$G$5:$G$104,MATCH($B570,고객사!$A$5:$A$104,0)),""))</f>
        <v/>
      </c>
      <c r="K570" s="16"/>
      <c r="L570" s="22" t="str">
        <f aca="false">IF($B570="","",K570*IFERROR(INDEX(고객사!$L$5:$L$104,MATCH($B570,고객사!$A$5:$A$104,0)),0))</f>
        <v/>
      </c>
      <c r="M570" s="23" t="str">
        <f aca="false">IF($B570="","",IF(AND(J570="N",G570&gt;0,K570=0,IFERROR(INDEX(고객사!$H$5:$H$104,MATCH($B570,고객사!$A$5:$A$104,0)),"")="자사 차량 운행"),"차량 미배정",""))</f>
        <v/>
      </c>
      <c r="N570" s="22" t="str">
        <f aca="false">IF($B570="","",IFERROR(INDEX(고객사!$J$5:$J$104,MATCH($B570,고객사!$A$5:$A$104,0)),0))</f>
        <v/>
      </c>
      <c r="O570" s="22" t="str">
        <f aca="false">IF($B570="","",G570*N570)</f>
        <v/>
      </c>
      <c r="P570" s="22" t="str">
        <f aca="false">IF($B570="","",IFERROR(INDEX(고객사!$K$5:$K$104,MATCH($B570,고객사!$A$5:$A$104,0)),0))</f>
        <v/>
      </c>
      <c r="Q570" s="22" t="str">
        <f aca="false">IF($B570="","",G570*P570)</f>
        <v/>
      </c>
      <c r="R570" s="22" t="str">
        <f aca="false">IF($B570="","",O570-Q570-L570)</f>
        <v/>
      </c>
      <c r="S570" s="21" t="str">
        <f aca="false">IF(OR($B570="",N(O570)=0),"",R570/O570)</f>
        <v/>
      </c>
      <c r="T570" s="14"/>
      <c r="U570" s="19" t="n">
        <f aca="false">IF(OR($B570="",$A570=""),0,IF(COUNTIFS($A$5:$A570,$A570,$B$5:$B570,$B570)=1,1,0))</f>
        <v>0</v>
      </c>
    </row>
    <row r="571" customFormat="false" ht="15" hidden="false" customHeight="false" outlineLevel="0" collapsed="false">
      <c r="A571" s="17"/>
      <c r="B571" s="13"/>
      <c r="C571" s="20" t="str">
        <f aca="false">IF($B571="","",IFERROR(INDEX(고객사!$B$5:$B$104,MATCH($B571,고객사!$A$5:$A$104,0)),"코드 확인"))</f>
        <v/>
      </c>
      <c r="D571" s="15"/>
      <c r="E571" s="15"/>
      <c r="F571" s="16"/>
      <c r="G571" s="16"/>
      <c r="H571" s="21" t="str">
        <f aca="false">IF(OR($B571="",F571=0),"",G571/F571)</f>
        <v/>
      </c>
      <c r="I571" s="22" t="str">
        <f aca="false">IF($B571="","",MAX(F571-G571,0))</f>
        <v/>
      </c>
      <c r="J571" s="23" t="str">
        <f aca="false">IF($B571="","",IFERROR(INDEX(고객사!$G$5:$G$104,MATCH($B571,고객사!$A$5:$A$104,0)),""))</f>
        <v/>
      </c>
      <c r="K571" s="16"/>
      <c r="L571" s="22" t="str">
        <f aca="false">IF($B571="","",K571*IFERROR(INDEX(고객사!$L$5:$L$104,MATCH($B571,고객사!$A$5:$A$104,0)),0))</f>
        <v/>
      </c>
      <c r="M571" s="23" t="str">
        <f aca="false">IF($B571="","",IF(AND(J571="N",G571&gt;0,K571=0,IFERROR(INDEX(고객사!$H$5:$H$104,MATCH($B571,고객사!$A$5:$A$104,0)),"")="자사 차량 운행"),"차량 미배정",""))</f>
        <v/>
      </c>
      <c r="N571" s="22" t="str">
        <f aca="false">IF($B571="","",IFERROR(INDEX(고객사!$J$5:$J$104,MATCH($B571,고객사!$A$5:$A$104,0)),0))</f>
        <v/>
      </c>
      <c r="O571" s="22" t="str">
        <f aca="false">IF($B571="","",G571*N571)</f>
        <v/>
      </c>
      <c r="P571" s="22" t="str">
        <f aca="false">IF($B571="","",IFERROR(INDEX(고객사!$K$5:$K$104,MATCH($B571,고객사!$A$5:$A$104,0)),0))</f>
        <v/>
      </c>
      <c r="Q571" s="22" t="str">
        <f aca="false">IF($B571="","",G571*P571)</f>
        <v/>
      </c>
      <c r="R571" s="22" t="str">
        <f aca="false">IF($B571="","",O571-Q571-L571)</f>
        <v/>
      </c>
      <c r="S571" s="21" t="str">
        <f aca="false">IF(OR($B571="",N(O571)=0),"",R571/O571)</f>
        <v/>
      </c>
      <c r="T571" s="14"/>
      <c r="U571" s="19" t="n">
        <f aca="false">IF(OR($B571="",$A571=""),0,IF(COUNTIFS($A$5:$A571,$A571,$B$5:$B571,$B571)=1,1,0))</f>
        <v>0</v>
      </c>
    </row>
    <row r="572" customFormat="false" ht="15" hidden="false" customHeight="false" outlineLevel="0" collapsed="false">
      <c r="A572" s="17"/>
      <c r="B572" s="13"/>
      <c r="C572" s="20" t="str">
        <f aca="false">IF($B572="","",IFERROR(INDEX(고객사!$B$5:$B$104,MATCH($B572,고객사!$A$5:$A$104,0)),"코드 확인"))</f>
        <v/>
      </c>
      <c r="D572" s="15"/>
      <c r="E572" s="15"/>
      <c r="F572" s="16"/>
      <c r="G572" s="16"/>
      <c r="H572" s="21" t="str">
        <f aca="false">IF(OR($B572="",F572=0),"",G572/F572)</f>
        <v/>
      </c>
      <c r="I572" s="22" t="str">
        <f aca="false">IF($B572="","",MAX(F572-G572,0))</f>
        <v/>
      </c>
      <c r="J572" s="23" t="str">
        <f aca="false">IF($B572="","",IFERROR(INDEX(고객사!$G$5:$G$104,MATCH($B572,고객사!$A$5:$A$104,0)),""))</f>
        <v/>
      </c>
      <c r="K572" s="16"/>
      <c r="L572" s="22" t="str">
        <f aca="false">IF($B572="","",K572*IFERROR(INDEX(고객사!$L$5:$L$104,MATCH($B572,고객사!$A$5:$A$104,0)),0))</f>
        <v/>
      </c>
      <c r="M572" s="23" t="str">
        <f aca="false">IF($B572="","",IF(AND(J572="N",G572&gt;0,K572=0,IFERROR(INDEX(고객사!$H$5:$H$104,MATCH($B572,고객사!$A$5:$A$104,0)),"")="자사 차량 운행"),"차량 미배정",""))</f>
        <v/>
      </c>
      <c r="N572" s="22" t="str">
        <f aca="false">IF($B572="","",IFERROR(INDEX(고객사!$J$5:$J$104,MATCH($B572,고객사!$A$5:$A$104,0)),0))</f>
        <v/>
      </c>
      <c r="O572" s="22" t="str">
        <f aca="false">IF($B572="","",G572*N572)</f>
        <v/>
      </c>
      <c r="P572" s="22" t="str">
        <f aca="false">IF($B572="","",IFERROR(INDEX(고객사!$K$5:$K$104,MATCH($B572,고객사!$A$5:$A$104,0)),0))</f>
        <v/>
      </c>
      <c r="Q572" s="22" t="str">
        <f aca="false">IF($B572="","",G572*P572)</f>
        <v/>
      </c>
      <c r="R572" s="22" t="str">
        <f aca="false">IF($B572="","",O572-Q572-L572)</f>
        <v/>
      </c>
      <c r="S572" s="21" t="str">
        <f aca="false">IF(OR($B572="",N(O572)=0),"",R572/O572)</f>
        <v/>
      </c>
      <c r="T572" s="14"/>
      <c r="U572" s="19" t="n">
        <f aca="false">IF(OR($B572="",$A572=""),0,IF(COUNTIFS($A$5:$A572,$A572,$B$5:$B572,$B572)=1,1,0))</f>
        <v>0</v>
      </c>
    </row>
    <row r="573" customFormat="false" ht="15" hidden="false" customHeight="false" outlineLevel="0" collapsed="false">
      <c r="A573" s="17"/>
      <c r="B573" s="13"/>
      <c r="C573" s="20" t="str">
        <f aca="false">IF($B573="","",IFERROR(INDEX(고객사!$B$5:$B$104,MATCH($B573,고객사!$A$5:$A$104,0)),"코드 확인"))</f>
        <v/>
      </c>
      <c r="D573" s="15"/>
      <c r="E573" s="15"/>
      <c r="F573" s="16"/>
      <c r="G573" s="16"/>
      <c r="H573" s="21" t="str">
        <f aca="false">IF(OR($B573="",F573=0),"",G573/F573)</f>
        <v/>
      </c>
      <c r="I573" s="22" t="str">
        <f aca="false">IF($B573="","",MAX(F573-G573,0))</f>
        <v/>
      </c>
      <c r="J573" s="23" t="str">
        <f aca="false">IF($B573="","",IFERROR(INDEX(고객사!$G$5:$G$104,MATCH($B573,고객사!$A$5:$A$104,0)),""))</f>
        <v/>
      </c>
      <c r="K573" s="16"/>
      <c r="L573" s="22" t="str">
        <f aca="false">IF($B573="","",K573*IFERROR(INDEX(고객사!$L$5:$L$104,MATCH($B573,고객사!$A$5:$A$104,0)),0))</f>
        <v/>
      </c>
      <c r="M573" s="23" t="str">
        <f aca="false">IF($B573="","",IF(AND(J573="N",G573&gt;0,K573=0,IFERROR(INDEX(고객사!$H$5:$H$104,MATCH($B573,고객사!$A$5:$A$104,0)),"")="자사 차량 운행"),"차량 미배정",""))</f>
        <v/>
      </c>
      <c r="N573" s="22" t="str">
        <f aca="false">IF($B573="","",IFERROR(INDEX(고객사!$J$5:$J$104,MATCH($B573,고객사!$A$5:$A$104,0)),0))</f>
        <v/>
      </c>
      <c r="O573" s="22" t="str">
        <f aca="false">IF($B573="","",G573*N573)</f>
        <v/>
      </c>
      <c r="P573" s="22" t="str">
        <f aca="false">IF($B573="","",IFERROR(INDEX(고객사!$K$5:$K$104,MATCH($B573,고객사!$A$5:$A$104,0)),0))</f>
        <v/>
      </c>
      <c r="Q573" s="22" t="str">
        <f aca="false">IF($B573="","",G573*P573)</f>
        <v/>
      </c>
      <c r="R573" s="22" t="str">
        <f aca="false">IF($B573="","",O573-Q573-L573)</f>
        <v/>
      </c>
      <c r="S573" s="21" t="str">
        <f aca="false">IF(OR($B573="",N(O573)=0),"",R573/O573)</f>
        <v/>
      </c>
      <c r="T573" s="14"/>
      <c r="U573" s="19" t="n">
        <f aca="false">IF(OR($B573="",$A573=""),0,IF(COUNTIFS($A$5:$A573,$A573,$B$5:$B573,$B573)=1,1,0))</f>
        <v>0</v>
      </c>
    </row>
    <row r="574" customFormat="false" ht="15" hidden="false" customHeight="false" outlineLevel="0" collapsed="false">
      <c r="A574" s="17"/>
      <c r="B574" s="13"/>
      <c r="C574" s="20" t="str">
        <f aca="false">IF($B574="","",IFERROR(INDEX(고객사!$B$5:$B$104,MATCH($B574,고객사!$A$5:$A$104,0)),"코드 확인"))</f>
        <v/>
      </c>
      <c r="D574" s="15"/>
      <c r="E574" s="15"/>
      <c r="F574" s="16"/>
      <c r="G574" s="16"/>
      <c r="H574" s="21" t="str">
        <f aca="false">IF(OR($B574="",F574=0),"",G574/F574)</f>
        <v/>
      </c>
      <c r="I574" s="22" t="str">
        <f aca="false">IF($B574="","",MAX(F574-G574,0))</f>
        <v/>
      </c>
      <c r="J574" s="23" t="str">
        <f aca="false">IF($B574="","",IFERROR(INDEX(고객사!$G$5:$G$104,MATCH($B574,고객사!$A$5:$A$104,0)),""))</f>
        <v/>
      </c>
      <c r="K574" s="16"/>
      <c r="L574" s="22" t="str">
        <f aca="false">IF($B574="","",K574*IFERROR(INDEX(고객사!$L$5:$L$104,MATCH($B574,고객사!$A$5:$A$104,0)),0))</f>
        <v/>
      </c>
      <c r="M574" s="23" t="str">
        <f aca="false">IF($B574="","",IF(AND(J574="N",G574&gt;0,K574=0,IFERROR(INDEX(고객사!$H$5:$H$104,MATCH($B574,고객사!$A$5:$A$104,0)),"")="자사 차량 운행"),"차량 미배정",""))</f>
        <v/>
      </c>
      <c r="N574" s="22" t="str">
        <f aca="false">IF($B574="","",IFERROR(INDEX(고객사!$J$5:$J$104,MATCH($B574,고객사!$A$5:$A$104,0)),0))</f>
        <v/>
      </c>
      <c r="O574" s="22" t="str">
        <f aca="false">IF($B574="","",G574*N574)</f>
        <v/>
      </c>
      <c r="P574" s="22" t="str">
        <f aca="false">IF($B574="","",IFERROR(INDEX(고객사!$K$5:$K$104,MATCH($B574,고객사!$A$5:$A$104,0)),0))</f>
        <v/>
      </c>
      <c r="Q574" s="22" t="str">
        <f aca="false">IF($B574="","",G574*P574)</f>
        <v/>
      </c>
      <c r="R574" s="22" t="str">
        <f aca="false">IF($B574="","",O574-Q574-L574)</f>
        <v/>
      </c>
      <c r="S574" s="21" t="str">
        <f aca="false">IF(OR($B574="",N(O574)=0),"",R574/O574)</f>
        <v/>
      </c>
      <c r="T574" s="14"/>
      <c r="U574" s="19" t="n">
        <f aca="false">IF(OR($B574="",$A574=""),0,IF(COUNTIFS($A$5:$A574,$A574,$B$5:$B574,$B574)=1,1,0))</f>
        <v>0</v>
      </c>
    </row>
    <row r="575" customFormat="false" ht="15" hidden="false" customHeight="false" outlineLevel="0" collapsed="false">
      <c r="A575" s="17"/>
      <c r="B575" s="13"/>
      <c r="C575" s="20" t="str">
        <f aca="false">IF($B575="","",IFERROR(INDEX(고객사!$B$5:$B$104,MATCH($B575,고객사!$A$5:$A$104,0)),"코드 확인"))</f>
        <v/>
      </c>
      <c r="D575" s="15"/>
      <c r="E575" s="15"/>
      <c r="F575" s="16"/>
      <c r="G575" s="16"/>
      <c r="H575" s="21" t="str">
        <f aca="false">IF(OR($B575="",F575=0),"",G575/F575)</f>
        <v/>
      </c>
      <c r="I575" s="22" t="str">
        <f aca="false">IF($B575="","",MAX(F575-G575,0))</f>
        <v/>
      </c>
      <c r="J575" s="23" t="str">
        <f aca="false">IF($B575="","",IFERROR(INDEX(고객사!$G$5:$G$104,MATCH($B575,고객사!$A$5:$A$104,0)),""))</f>
        <v/>
      </c>
      <c r="K575" s="16"/>
      <c r="L575" s="22" t="str">
        <f aca="false">IF($B575="","",K575*IFERROR(INDEX(고객사!$L$5:$L$104,MATCH($B575,고객사!$A$5:$A$104,0)),0))</f>
        <v/>
      </c>
      <c r="M575" s="23" t="str">
        <f aca="false">IF($B575="","",IF(AND(J575="N",G575&gt;0,K575=0,IFERROR(INDEX(고객사!$H$5:$H$104,MATCH($B575,고객사!$A$5:$A$104,0)),"")="자사 차량 운행"),"차량 미배정",""))</f>
        <v/>
      </c>
      <c r="N575" s="22" t="str">
        <f aca="false">IF($B575="","",IFERROR(INDEX(고객사!$J$5:$J$104,MATCH($B575,고객사!$A$5:$A$104,0)),0))</f>
        <v/>
      </c>
      <c r="O575" s="22" t="str">
        <f aca="false">IF($B575="","",G575*N575)</f>
        <v/>
      </c>
      <c r="P575" s="22" t="str">
        <f aca="false">IF($B575="","",IFERROR(INDEX(고객사!$K$5:$K$104,MATCH($B575,고객사!$A$5:$A$104,0)),0))</f>
        <v/>
      </c>
      <c r="Q575" s="22" t="str">
        <f aca="false">IF($B575="","",G575*P575)</f>
        <v/>
      </c>
      <c r="R575" s="22" t="str">
        <f aca="false">IF($B575="","",O575-Q575-L575)</f>
        <v/>
      </c>
      <c r="S575" s="21" t="str">
        <f aca="false">IF(OR($B575="",N(O575)=0),"",R575/O575)</f>
        <v/>
      </c>
      <c r="T575" s="14"/>
      <c r="U575" s="19" t="n">
        <f aca="false">IF(OR($B575="",$A575=""),0,IF(COUNTIFS($A$5:$A575,$A575,$B$5:$B575,$B575)=1,1,0))</f>
        <v>0</v>
      </c>
    </row>
    <row r="576" customFormat="false" ht="15" hidden="false" customHeight="false" outlineLevel="0" collapsed="false">
      <c r="A576" s="17"/>
      <c r="B576" s="13"/>
      <c r="C576" s="20" t="str">
        <f aca="false">IF($B576="","",IFERROR(INDEX(고객사!$B$5:$B$104,MATCH($B576,고객사!$A$5:$A$104,0)),"코드 확인"))</f>
        <v/>
      </c>
      <c r="D576" s="15"/>
      <c r="E576" s="15"/>
      <c r="F576" s="16"/>
      <c r="G576" s="16"/>
      <c r="H576" s="21" t="str">
        <f aca="false">IF(OR($B576="",F576=0),"",G576/F576)</f>
        <v/>
      </c>
      <c r="I576" s="22" t="str">
        <f aca="false">IF($B576="","",MAX(F576-G576,0))</f>
        <v/>
      </c>
      <c r="J576" s="23" t="str">
        <f aca="false">IF($B576="","",IFERROR(INDEX(고객사!$G$5:$G$104,MATCH($B576,고객사!$A$5:$A$104,0)),""))</f>
        <v/>
      </c>
      <c r="K576" s="16"/>
      <c r="L576" s="22" t="str">
        <f aca="false">IF($B576="","",K576*IFERROR(INDEX(고객사!$L$5:$L$104,MATCH($B576,고객사!$A$5:$A$104,0)),0))</f>
        <v/>
      </c>
      <c r="M576" s="23" t="str">
        <f aca="false">IF($B576="","",IF(AND(J576="N",G576&gt;0,K576=0,IFERROR(INDEX(고객사!$H$5:$H$104,MATCH($B576,고객사!$A$5:$A$104,0)),"")="자사 차량 운행"),"차량 미배정",""))</f>
        <v/>
      </c>
      <c r="N576" s="22" t="str">
        <f aca="false">IF($B576="","",IFERROR(INDEX(고객사!$J$5:$J$104,MATCH($B576,고객사!$A$5:$A$104,0)),0))</f>
        <v/>
      </c>
      <c r="O576" s="22" t="str">
        <f aca="false">IF($B576="","",G576*N576)</f>
        <v/>
      </c>
      <c r="P576" s="22" t="str">
        <f aca="false">IF($B576="","",IFERROR(INDEX(고객사!$K$5:$K$104,MATCH($B576,고객사!$A$5:$A$104,0)),0))</f>
        <v/>
      </c>
      <c r="Q576" s="22" t="str">
        <f aca="false">IF($B576="","",G576*P576)</f>
        <v/>
      </c>
      <c r="R576" s="22" t="str">
        <f aca="false">IF($B576="","",O576-Q576-L576)</f>
        <v/>
      </c>
      <c r="S576" s="21" t="str">
        <f aca="false">IF(OR($B576="",N(O576)=0),"",R576/O576)</f>
        <v/>
      </c>
      <c r="T576" s="14"/>
      <c r="U576" s="19" t="n">
        <f aca="false">IF(OR($B576="",$A576=""),0,IF(COUNTIFS($A$5:$A576,$A576,$B$5:$B576,$B576)=1,1,0))</f>
        <v>0</v>
      </c>
    </row>
    <row r="577" customFormat="false" ht="15" hidden="false" customHeight="false" outlineLevel="0" collapsed="false">
      <c r="A577" s="17"/>
      <c r="B577" s="13"/>
      <c r="C577" s="20" t="str">
        <f aca="false">IF($B577="","",IFERROR(INDEX(고객사!$B$5:$B$104,MATCH($B577,고객사!$A$5:$A$104,0)),"코드 확인"))</f>
        <v/>
      </c>
      <c r="D577" s="15"/>
      <c r="E577" s="15"/>
      <c r="F577" s="16"/>
      <c r="G577" s="16"/>
      <c r="H577" s="21" t="str">
        <f aca="false">IF(OR($B577="",F577=0),"",G577/F577)</f>
        <v/>
      </c>
      <c r="I577" s="22" t="str">
        <f aca="false">IF($B577="","",MAX(F577-G577,0))</f>
        <v/>
      </c>
      <c r="J577" s="23" t="str">
        <f aca="false">IF($B577="","",IFERROR(INDEX(고객사!$G$5:$G$104,MATCH($B577,고객사!$A$5:$A$104,0)),""))</f>
        <v/>
      </c>
      <c r="K577" s="16"/>
      <c r="L577" s="22" t="str">
        <f aca="false">IF($B577="","",K577*IFERROR(INDEX(고객사!$L$5:$L$104,MATCH($B577,고객사!$A$5:$A$104,0)),0))</f>
        <v/>
      </c>
      <c r="M577" s="23" t="str">
        <f aca="false">IF($B577="","",IF(AND(J577="N",G577&gt;0,K577=0,IFERROR(INDEX(고객사!$H$5:$H$104,MATCH($B577,고객사!$A$5:$A$104,0)),"")="자사 차량 운행"),"차량 미배정",""))</f>
        <v/>
      </c>
      <c r="N577" s="22" t="str">
        <f aca="false">IF($B577="","",IFERROR(INDEX(고객사!$J$5:$J$104,MATCH($B577,고객사!$A$5:$A$104,0)),0))</f>
        <v/>
      </c>
      <c r="O577" s="22" t="str">
        <f aca="false">IF($B577="","",G577*N577)</f>
        <v/>
      </c>
      <c r="P577" s="22" t="str">
        <f aca="false">IF($B577="","",IFERROR(INDEX(고객사!$K$5:$K$104,MATCH($B577,고객사!$A$5:$A$104,0)),0))</f>
        <v/>
      </c>
      <c r="Q577" s="22" t="str">
        <f aca="false">IF($B577="","",G577*P577)</f>
        <v/>
      </c>
      <c r="R577" s="22" t="str">
        <f aca="false">IF($B577="","",O577-Q577-L577)</f>
        <v/>
      </c>
      <c r="S577" s="21" t="str">
        <f aca="false">IF(OR($B577="",N(O577)=0),"",R577/O577)</f>
        <v/>
      </c>
      <c r="T577" s="14"/>
      <c r="U577" s="19" t="n">
        <f aca="false">IF(OR($B577="",$A577=""),0,IF(COUNTIFS($A$5:$A577,$A577,$B$5:$B577,$B577)=1,1,0))</f>
        <v>0</v>
      </c>
    </row>
    <row r="578" customFormat="false" ht="15" hidden="false" customHeight="false" outlineLevel="0" collapsed="false">
      <c r="A578" s="17"/>
      <c r="B578" s="13"/>
      <c r="C578" s="20" t="str">
        <f aca="false">IF($B578="","",IFERROR(INDEX(고객사!$B$5:$B$104,MATCH($B578,고객사!$A$5:$A$104,0)),"코드 확인"))</f>
        <v/>
      </c>
      <c r="D578" s="15"/>
      <c r="E578" s="15"/>
      <c r="F578" s="16"/>
      <c r="G578" s="16"/>
      <c r="H578" s="21" t="str">
        <f aca="false">IF(OR($B578="",F578=0),"",G578/F578)</f>
        <v/>
      </c>
      <c r="I578" s="22" t="str">
        <f aca="false">IF($B578="","",MAX(F578-G578,0))</f>
        <v/>
      </c>
      <c r="J578" s="23" t="str">
        <f aca="false">IF($B578="","",IFERROR(INDEX(고객사!$G$5:$G$104,MATCH($B578,고객사!$A$5:$A$104,0)),""))</f>
        <v/>
      </c>
      <c r="K578" s="16"/>
      <c r="L578" s="22" t="str">
        <f aca="false">IF($B578="","",K578*IFERROR(INDEX(고객사!$L$5:$L$104,MATCH($B578,고객사!$A$5:$A$104,0)),0))</f>
        <v/>
      </c>
      <c r="M578" s="23" t="str">
        <f aca="false">IF($B578="","",IF(AND(J578="N",G578&gt;0,K578=0,IFERROR(INDEX(고객사!$H$5:$H$104,MATCH($B578,고객사!$A$5:$A$104,0)),"")="자사 차량 운행"),"차량 미배정",""))</f>
        <v/>
      </c>
      <c r="N578" s="22" t="str">
        <f aca="false">IF($B578="","",IFERROR(INDEX(고객사!$J$5:$J$104,MATCH($B578,고객사!$A$5:$A$104,0)),0))</f>
        <v/>
      </c>
      <c r="O578" s="22" t="str">
        <f aca="false">IF($B578="","",G578*N578)</f>
        <v/>
      </c>
      <c r="P578" s="22" t="str">
        <f aca="false">IF($B578="","",IFERROR(INDEX(고객사!$K$5:$K$104,MATCH($B578,고객사!$A$5:$A$104,0)),0))</f>
        <v/>
      </c>
      <c r="Q578" s="22" t="str">
        <f aca="false">IF($B578="","",G578*P578)</f>
        <v/>
      </c>
      <c r="R578" s="22" t="str">
        <f aca="false">IF($B578="","",O578-Q578-L578)</f>
        <v/>
      </c>
      <c r="S578" s="21" t="str">
        <f aca="false">IF(OR($B578="",N(O578)=0),"",R578/O578)</f>
        <v/>
      </c>
      <c r="T578" s="14"/>
      <c r="U578" s="19" t="n">
        <f aca="false">IF(OR($B578="",$A578=""),0,IF(COUNTIFS($A$5:$A578,$A578,$B$5:$B578,$B578)=1,1,0))</f>
        <v>0</v>
      </c>
    </row>
    <row r="579" customFormat="false" ht="15" hidden="false" customHeight="false" outlineLevel="0" collapsed="false">
      <c r="A579" s="17"/>
      <c r="B579" s="13"/>
      <c r="C579" s="20" t="str">
        <f aca="false">IF($B579="","",IFERROR(INDEX(고객사!$B$5:$B$104,MATCH($B579,고객사!$A$5:$A$104,0)),"코드 확인"))</f>
        <v/>
      </c>
      <c r="D579" s="15"/>
      <c r="E579" s="15"/>
      <c r="F579" s="16"/>
      <c r="G579" s="16"/>
      <c r="H579" s="21" t="str">
        <f aca="false">IF(OR($B579="",F579=0),"",G579/F579)</f>
        <v/>
      </c>
      <c r="I579" s="22" t="str">
        <f aca="false">IF($B579="","",MAX(F579-G579,0))</f>
        <v/>
      </c>
      <c r="J579" s="23" t="str">
        <f aca="false">IF($B579="","",IFERROR(INDEX(고객사!$G$5:$G$104,MATCH($B579,고객사!$A$5:$A$104,0)),""))</f>
        <v/>
      </c>
      <c r="K579" s="16"/>
      <c r="L579" s="22" t="str">
        <f aca="false">IF($B579="","",K579*IFERROR(INDEX(고객사!$L$5:$L$104,MATCH($B579,고객사!$A$5:$A$104,0)),0))</f>
        <v/>
      </c>
      <c r="M579" s="23" t="str">
        <f aca="false">IF($B579="","",IF(AND(J579="N",G579&gt;0,K579=0,IFERROR(INDEX(고객사!$H$5:$H$104,MATCH($B579,고객사!$A$5:$A$104,0)),"")="자사 차량 운행"),"차량 미배정",""))</f>
        <v/>
      </c>
      <c r="N579" s="22" t="str">
        <f aca="false">IF($B579="","",IFERROR(INDEX(고객사!$J$5:$J$104,MATCH($B579,고객사!$A$5:$A$104,0)),0))</f>
        <v/>
      </c>
      <c r="O579" s="22" t="str">
        <f aca="false">IF($B579="","",G579*N579)</f>
        <v/>
      </c>
      <c r="P579" s="22" t="str">
        <f aca="false">IF($B579="","",IFERROR(INDEX(고객사!$K$5:$K$104,MATCH($B579,고객사!$A$5:$A$104,0)),0))</f>
        <v/>
      </c>
      <c r="Q579" s="22" t="str">
        <f aca="false">IF($B579="","",G579*P579)</f>
        <v/>
      </c>
      <c r="R579" s="22" t="str">
        <f aca="false">IF($B579="","",O579-Q579-L579)</f>
        <v/>
      </c>
      <c r="S579" s="21" t="str">
        <f aca="false">IF(OR($B579="",N(O579)=0),"",R579/O579)</f>
        <v/>
      </c>
      <c r="T579" s="14"/>
      <c r="U579" s="19" t="n">
        <f aca="false">IF(OR($B579="",$A579=""),0,IF(COUNTIFS($A$5:$A579,$A579,$B$5:$B579,$B579)=1,1,0))</f>
        <v>0</v>
      </c>
    </row>
    <row r="580" customFormat="false" ht="15" hidden="false" customHeight="false" outlineLevel="0" collapsed="false">
      <c r="A580" s="17"/>
      <c r="B580" s="13"/>
      <c r="C580" s="20" t="str">
        <f aca="false">IF($B580="","",IFERROR(INDEX(고객사!$B$5:$B$104,MATCH($B580,고객사!$A$5:$A$104,0)),"코드 확인"))</f>
        <v/>
      </c>
      <c r="D580" s="15"/>
      <c r="E580" s="15"/>
      <c r="F580" s="16"/>
      <c r="G580" s="16"/>
      <c r="H580" s="21" t="str">
        <f aca="false">IF(OR($B580="",F580=0),"",G580/F580)</f>
        <v/>
      </c>
      <c r="I580" s="22" t="str">
        <f aca="false">IF($B580="","",MAX(F580-G580,0))</f>
        <v/>
      </c>
      <c r="J580" s="23" t="str">
        <f aca="false">IF($B580="","",IFERROR(INDEX(고객사!$G$5:$G$104,MATCH($B580,고객사!$A$5:$A$104,0)),""))</f>
        <v/>
      </c>
      <c r="K580" s="16"/>
      <c r="L580" s="22" t="str">
        <f aca="false">IF($B580="","",K580*IFERROR(INDEX(고객사!$L$5:$L$104,MATCH($B580,고객사!$A$5:$A$104,0)),0))</f>
        <v/>
      </c>
      <c r="M580" s="23" t="str">
        <f aca="false">IF($B580="","",IF(AND(J580="N",G580&gt;0,K580=0,IFERROR(INDEX(고객사!$H$5:$H$104,MATCH($B580,고객사!$A$5:$A$104,0)),"")="자사 차량 운행"),"차량 미배정",""))</f>
        <v/>
      </c>
      <c r="N580" s="22" t="str">
        <f aca="false">IF($B580="","",IFERROR(INDEX(고객사!$J$5:$J$104,MATCH($B580,고객사!$A$5:$A$104,0)),0))</f>
        <v/>
      </c>
      <c r="O580" s="22" t="str">
        <f aca="false">IF($B580="","",G580*N580)</f>
        <v/>
      </c>
      <c r="P580" s="22" t="str">
        <f aca="false">IF($B580="","",IFERROR(INDEX(고객사!$K$5:$K$104,MATCH($B580,고객사!$A$5:$A$104,0)),0))</f>
        <v/>
      </c>
      <c r="Q580" s="22" t="str">
        <f aca="false">IF($B580="","",G580*P580)</f>
        <v/>
      </c>
      <c r="R580" s="22" t="str">
        <f aca="false">IF($B580="","",O580-Q580-L580)</f>
        <v/>
      </c>
      <c r="S580" s="21" t="str">
        <f aca="false">IF(OR($B580="",N(O580)=0),"",R580/O580)</f>
        <v/>
      </c>
      <c r="T580" s="14"/>
      <c r="U580" s="19" t="n">
        <f aca="false">IF(OR($B580="",$A580=""),0,IF(COUNTIFS($A$5:$A580,$A580,$B$5:$B580,$B580)=1,1,0))</f>
        <v>0</v>
      </c>
    </row>
    <row r="581" customFormat="false" ht="15" hidden="false" customHeight="false" outlineLevel="0" collapsed="false">
      <c r="A581" s="17"/>
      <c r="B581" s="13"/>
      <c r="C581" s="20" t="str">
        <f aca="false">IF($B581="","",IFERROR(INDEX(고객사!$B$5:$B$104,MATCH($B581,고객사!$A$5:$A$104,0)),"코드 확인"))</f>
        <v/>
      </c>
      <c r="D581" s="15"/>
      <c r="E581" s="15"/>
      <c r="F581" s="16"/>
      <c r="G581" s="16"/>
      <c r="H581" s="21" t="str">
        <f aca="false">IF(OR($B581="",F581=0),"",G581/F581)</f>
        <v/>
      </c>
      <c r="I581" s="22" t="str">
        <f aca="false">IF($B581="","",MAX(F581-G581,0))</f>
        <v/>
      </c>
      <c r="J581" s="23" t="str">
        <f aca="false">IF($B581="","",IFERROR(INDEX(고객사!$G$5:$G$104,MATCH($B581,고객사!$A$5:$A$104,0)),""))</f>
        <v/>
      </c>
      <c r="K581" s="16"/>
      <c r="L581" s="22" t="str">
        <f aca="false">IF($B581="","",K581*IFERROR(INDEX(고객사!$L$5:$L$104,MATCH($B581,고객사!$A$5:$A$104,0)),0))</f>
        <v/>
      </c>
      <c r="M581" s="23" t="str">
        <f aca="false">IF($B581="","",IF(AND(J581="N",G581&gt;0,K581=0,IFERROR(INDEX(고객사!$H$5:$H$104,MATCH($B581,고객사!$A$5:$A$104,0)),"")="자사 차량 운행"),"차량 미배정",""))</f>
        <v/>
      </c>
      <c r="N581" s="22" t="str">
        <f aca="false">IF($B581="","",IFERROR(INDEX(고객사!$J$5:$J$104,MATCH($B581,고객사!$A$5:$A$104,0)),0))</f>
        <v/>
      </c>
      <c r="O581" s="22" t="str">
        <f aca="false">IF($B581="","",G581*N581)</f>
        <v/>
      </c>
      <c r="P581" s="22" t="str">
        <f aca="false">IF($B581="","",IFERROR(INDEX(고객사!$K$5:$K$104,MATCH($B581,고객사!$A$5:$A$104,0)),0))</f>
        <v/>
      </c>
      <c r="Q581" s="22" t="str">
        <f aca="false">IF($B581="","",G581*P581)</f>
        <v/>
      </c>
      <c r="R581" s="22" t="str">
        <f aca="false">IF($B581="","",O581-Q581-L581)</f>
        <v/>
      </c>
      <c r="S581" s="21" t="str">
        <f aca="false">IF(OR($B581="",N(O581)=0),"",R581/O581)</f>
        <v/>
      </c>
      <c r="T581" s="14"/>
      <c r="U581" s="19" t="n">
        <f aca="false">IF(OR($B581="",$A581=""),0,IF(COUNTIFS($A$5:$A581,$A581,$B$5:$B581,$B581)=1,1,0))</f>
        <v>0</v>
      </c>
    </row>
    <row r="582" customFormat="false" ht="15" hidden="false" customHeight="false" outlineLevel="0" collapsed="false">
      <c r="A582" s="17"/>
      <c r="B582" s="13"/>
      <c r="C582" s="20" t="str">
        <f aca="false">IF($B582="","",IFERROR(INDEX(고객사!$B$5:$B$104,MATCH($B582,고객사!$A$5:$A$104,0)),"코드 확인"))</f>
        <v/>
      </c>
      <c r="D582" s="15"/>
      <c r="E582" s="15"/>
      <c r="F582" s="16"/>
      <c r="G582" s="16"/>
      <c r="H582" s="21" t="str">
        <f aca="false">IF(OR($B582="",F582=0),"",G582/F582)</f>
        <v/>
      </c>
      <c r="I582" s="22" t="str">
        <f aca="false">IF($B582="","",MAX(F582-G582,0))</f>
        <v/>
      </c>
      <c r="J582" s="23" t="str">
        <f aca="false">IF($B582="","",IFERROR(INDEX(고객사!$G$5:$G$104,MATCH($B582,고객사!$A$5:$A$104,0)),""))</f>
        <v/>
      </c>
      <c r="K582" s="16"/>
      <c r="L582" s="22" t="str">
        <f aca="false">IF($B582="","",K582*IFERROR(INDEX(고객사!$L$5:$L$104,MATCH($B582,고객사!$A$5:$A$104,0)),0))</f>
        <v/>
      </c>
      <c r="M582" s="23" t="str">
        <f aca="false">IF($B582="","",IF(AND(J582="N",G582&gt;0,K582=0,IFERROR(INDEX(고객사!$H$5:$H$104,MATCH($B582,고객사!$A$5:$A$104,0)),"")="자사 차량 운행"),"차량 미배정",""))</f>
        <v/>
      </c>
      <c r="N582" s="22" t="str">
        <f aca="false">IF($B582="","",IFERROR(INDEX(고객사!$J$5:$J$104,MATCH($B582,고객사!$A$5:$A$104,0)),0))</f>
        <v/>
      </c>
      <c r="O582" s="22" t="str">
        <f aca="false">IF($B582="","",G582*N582)</f>
        <v/>
      </c>
      <c r="P582" s="22" t="str">
        <f aca="false">IF($B582="","",IFERROR(INDEX(고객사!$K$5:$K$104,MATCH($B582,고객사!$A$5:$A$104,0)),0))</f>
        <v/>
      </c>
      <c r="Q582" s="22" t="str">
        <f aca="false">IF($B582="","",G582*P582)</f>
        <v/>
      </c>
      <c r="R582" s="22" t="str">
        <f aca="false">IF($B582="","",O582-Q582-L582)</f>
        <v/>
      </c>
      <c r="S582" s="21" t="str">
        <f aca="false">IF(OR($B582="",N(O582)=0),"",R582/O582)</f>
        <v/>
      </c>
      <c r="T582" s="14"/>
      <c r="U582" s="19" t="n">
        <f aca="false">IF(OR($B582="",$A582=""),0,IF(COUNTIFS($A$5:$A582,$A582,$B$5:$B582,$B582)=1,1,0))</f>
        <v>0</v>
      </c>
    </row>
    <row r="583" customFormat="false" ht="15" hidden="false" customHeight="false" outlineLevel="0" collapsed="false">
      <c r="A583" s="17"/>
      <c r="B583" s="13"/>
      <c r="C583" s="20" t="str">
        <f aca="false">IF($B583="","",IFERROR(INDEX(고객사!$B$5:$B$104,MATCH($B583,고객사!$A$5:$A$104,0)),"코드 확인"))</f>
        <v/>
      </c>
      <c r="D583" s="15"/>
      <c r="E583" s="15"/>
      <c r="F583" s="16"/>
      <c r="G583" s="16"/>
      <c r="H583" s="21" t="str">
        <f aca="false">IF(OR($B583="",F583=0),"",G583/F583)</f>
        <v/>
      </c>
      <c r="I583" s="22" t="str">
        <f aca="false">IF($B583="","",MAX(F583-G583,0))</f>
        <v/>
      </c>
      <c r="J583" s="23" t="str">
        <f aca="false">IF($B583="","",IFERROR(INDEX(고객사!$G$5:$G$104,MATCH($B583,고객사!$A$5:$A$104,0)),""))</f>
        <v/>
      </c>
      <c r="K583" s="16"/>
      <c r="L583" s="22" t="str">
        <f aca="false">IF($B583="","",K583*IFERROR(INDEX(고객사!$L$5:$L$104,MATCH($B583,고객사!$A$5:$A$104,0)),0))</f>
        <v/>
      </c>
      <c r="M583" s="23" t="str">
        <f aca="false">IF($B583="","",IF(AND(J583="N",G583&gt;0,K583=0,IFERROR(INDEX(고객사!$H$5:$H$104,MATCH($B583,고객사!$A$5:$A$104,0)),"")="자사 차량 운행"),"차량 미배정",""))</f>
        <v/>
      </c>
      <c r="N583" s="22" t="str">
        <f aca="false">IF($B583="","",IFERROR(INDEX(고객사!$J$5:$J$104,MATCH($B583,고객사!$A$5:$A$104,0)),0))</f>
        <v/>
      </c>
      <c r="O583" s="22" t="str">
        <f aca="false">IF($B583="","",G583*N583)</f>
        <v/>
      </c>
      <c r="P583" s="22" t="str">
        <f aca="false">IF($B583="","",IFERROR(INDEX(고객사!$K$5:$K$104,MATCH($B583,고객사!$A$5:$A$104,0)),0))</f>
        <v/>
      </c>
      <c r="Q583" s="22" t="str">
        <f aca="false">IF($B583="","",G583*P583)</f>
        <v/>
      </c>
      <c r="R583" s="22" t="str">
        <f aca="false">IF($B583="","",O583-Q583-L583)</f>
        <v/>
      </c>
      <c r="S583" s="21" t="str">
        <f aca="false">IF(OR($B583="",N(O583)=0),"",R583/O583)</f>
        <v/>
      </c>
      <c r="T583" s="14"/>
      <c r="U583" s="19" t="n">
        <f aca="false">IF(OR($B583="",$A583=""),0,IF(COUNTIFS($A$5:$A583,$A583,$B$5:$B583,$B583)=1,1,0))</f>
        <v>0</v>
      </c>
    </row>
    <row r="584" customFormat="false" ht="15" hidden="false" customHeight="false" outlineLevel="0" collapsed="false">
      <c r="A584" s="17"/>
      <c r="B584" s="13"/>
      <c r="C584" s="20" t="str">
        <f aca="false">IF($B584="","",IFERROR(INDEX(고객사!$B$5:$B$104,MATCH($B584,고객사!$A$5:$A$104,0)),"코드 확인"))</f>
        <v/>
      </c>
      <c r="D584" s="15"/>
      <c r="E584" s="15"/>
      <c r="F584" s="16"/>
      <c r="G584" s="16"/>
      <c r="H584" s="21" t="str">
        <f aca="false">IF(OR($B584="",F584=0),"",G584/F584)</f>
        <v/>
      </c>
      <c r="I584" s="22" t="str">
        <f aca="false">IF($B584="","",MAX(F584-G584,0))</f>
        <v/>
      </c>
      <c r="J584" s="23" t="str">
        <f aca="false">IF($B584="","",IFERROR(INDEX(고객사!$G$5:$G$104,MATCH($B584,고객사!$A$5:$A$104,0)),""))</f>
        <v/>
      </c>
      <c r="K584" s="16"/>
      <c r="L584" s="22" t="str">
        <f aca="false">IF($B584="","",K584*IFERROR(INDEX(고객사!$L$5:$L$104,MATCH($B584,고객사!$A$5:$A$104,0)),0))</f>
        <v/>
      </c>
      <c r="M584" s="23" t="str">
        <f aca="false">IF($B584="","",IF(AND(J584="N",G584&gt;0,K584=0,IFERROR(INDEX(고객사!$H$5:$H$104,MATCH($B584,고객사!$A$5:$A$104,0)),"")="자사 차량 운행"),"차량 미배정",""))</f>
        <v/>
      </c>
      <c r="N584" s="22" t="str">
        <f aca="false">IF($B584="","",IFERROR(INDEX(고객사!$J$5:$J$104,MATCH($B584,고객사!$A$5:$A$104,0)),0))</f>
        <v/>
      </c>
      <c r="O584" s="22" t="str">
        <f aca="false">IF($B584="","",G584*N584)</f>
        <v/>
      </c>
      <c r="P584" s="22" t="str">
        <f aca="false">IF($B584="","",IFERROR(INDEX(고객사!$K$5:$K$104,MATCH($B584,고객사!$A$5:$A$104,0)),0))</f>
        <v/>
      </c>
      <c r="Q584" s="22" t="str">
        <f aca="false">IF($B584="","",G584*P584)</f>
        <v/>
      </c>
      <c r="R584" s="22" t="str">
        <f aca="false">IF($B584="","",O584-Q584-L584)</f>
        <v/>
      </c>
      <c r="S584" s="21" t="str">
        <f aca="false">IF(OR($B584="",N(O584)=0),"",R584/O584)</f>
        <v/>
      </c>
      <c r="T584" s="14"/>
      <c r="U584" s="19" t="n">
        <f aca="false">IF(OR($B584="",$A584=""),0,IF(COUNTIFS($A$5:$A584,$A584,$B$5:$B584,$B584)=1,1,0))</f>
        <v>0</v>
      </c>
    </row>
    <row r="585" customFormat="false" ht="15" hidden="false" customHeight="false" outlineLevel="0" collapsed="false">
      <c r="A585" s="17"/>
      <c r="B585" s="13"/>
      <c r="C585" s="20" t="str">
        <f aca="false">IF($B585="","",IFERROR(INDEX(고객사!$B$5:$B$104,MATCH($B585,고객사!$A$5:$A$104,0)),"코드 확인"))</f>
        <v/>
      </c>
      <c r="D585" s="15"/>
      <c r="E585" s="15"/>
      <c r="F585" s="16"/>
      <c r="G585" s="16"/>
      <c r="H585" s="21" t="str">
        <f aca="false">IF(OR($B585="",F585=0),"",G585/F585)</f>
        <v/>
      </c>
      <c r="I585" s="22" t="str">
        <f aca="false">IF($B585="","",MAX(F585-G585,0))</f>
        <v/>
      </c>
      <c r="J585" s="23" t="str">
        <f aca="false">IF($B585="","",IFERROR(INDEX(고객사!$G$5:$G$104,MATCH($B585,고객사!$A$5:$A$104,0)),""))</f>
        <v/>
      </c>
      <c r="K585" s="16"/>
      <c r="L585" s="22" t="str">
        <f aca="false">IF($B585="","",K585*IFERROR(INDEX(고객사!$L$5:$L$104,MATCH($B585,고객사!$A$5:$A$104,0)),0))</f>
        <v/>
      </c>
      <c r="M585" s="23" t="str">
        <f aca="false">IF($B585="","",IF(AND(J585="N",G585&gt;0,K585=0,IFERROR(INDEX(고객사!$H$5:$H$104,MATCH($B585,고객사!$A$5:$A$104,0)),"")="자사 차량 운행"),"차량 미배정",""))</f>
        <v/>
      </c>
      <c r="N585" s="22" t="str">
        <f aca="false">IF($B585="","",IFERROR(INDEX(고객사!$J$5:$J$104,MATCH($B585,고객사!$A$5:$A$104,0)),0))</f>
        <v/>
      </c>
      <c r="O585" s="22" t="str">
        <f aca="false">IF($B585="","",G585*N585)</f>
        <v/>
      </c>
      <c r="P585" s="22" t="str">
        <f aca="false">IF($B585="","",IFERROR(INDEX(고객사!$K$5:$K$104,MATCH($B585,고객사!$A$5:$A$104,0)),0))</f>
        <v/>
      </c>
      <c r="Q585" s="22" t="str">
        <f aca="false">IF($B585="","",G585*P585)</f>
        <v/>
      </c>
      <c r="R585" s="22" t="str">
        <f aca="false">IF($B585="","",O585-Q585-L585)</f>
        <v/>
      </c>
      <c r="S585" s="21" t="str">
        <f aca="false">IF(OR($B585="",N(O585)=0),"",R585/O585)</f>
        <v/>
      </c>
      <c r="T585" s="14"/>
      <c r="U585" s="19" t="n">
        <f aca="false">IF(OR($B585="",$A585=""),0,IF(COUNTIFS($A$5:$A585,$A585,$B$5:$B585,$B585)=1,1,0))</f>
        <v>0</v>
      </c>
    </row>
    <row r="586" customFormat="false" ht="15" hidden="false" customHeight="false" outlineLevel="0" collapsed="false">
      <c r="A586" s="17"/>
      <c r="B586" s="13"/>
      <c r="C586" s="20" t="str">
        <f aca="false">IF($B586="","",IFERROR(INDEX(고객사!$B$5:$B$104,MATCH($B586,고객사!$A$5:$A$104,0)),"코드 확인"))</f>
        <v/>
      </c>
      <c r="D586" s="15"/>
      <c r="E586" s="15"/>
      <c r="F586" s="16"/>
      <c r="G586" s="16"/>
      <c r="H586" s="21" t="str">
        <f aca="false">IF(OR($B586="",F586=0),"",G586/F586)</f>
        <v/>
      </c>
      <c r="I586" s="22" t="str">
        <f aca="false">IF($B586="","",MAX(F586-G586,0))</f>
        <v/>
      </c>
      <c r="J586" s="23" t="str">
        <f aca="false">IF($B586="","",IFERROR(INDEX(고객사!$G$5:$G$104,MATCH($B586,고객사!$A$5:$A$104,0)),""))</f>
        <v/>
      </c>
      <c r="K586" s="16"/>
      <c r="L586" s="22" t="str">
        <f aca="false">IF($B586="","",K586*IFERROR(INDEX(고객사!$L$5:$L$104,MATCH($B586,고객사!$A$5:$A$104,0)),0))</f>
        <v/>
      </c>
      <c r="M586" s="23" t="str">
        <f aca="false">IF($B586="","",IF(AND(J586="N",G586&gt;0,K586=0,IFERROR(INDEX(고객사!$H$5:$H$104,MATCH($B586,고객사!$A$5:$A$104,0)),"")="자사 차량 운행"),"차량 미배정",""))</f>
        <v/>
      </c>
      <c r="N586" s="22" t="str">
        <f aca="false">IF($B586="","",IFERROR(INDEX(고객사!$J$5:$J$104,MATCH($B586,고객사!$A$5:$A$104,0)),0))</f>
        <v/>
      </c>
      <c r="O586" s="22" t="str">
        <f aca="false">IF($B586="","",G586*N586)</f>
        <v/>
      </c>
      <c r="P586" s="22" t="str">
        <f aca="false">IF($B586="","",IFERROR(INDEX(고객사!$K$5:$K$104,MATCH($B586,고객사!$A$5:$A$104,0)),0))</f>
        <v/>
      </c>
      <c r="Q586" s="22" t="str">
        <f aca="false">IF($B586="","",G586*P586)</f>
        <v/>
      </c>
      <c r="R586" s="22" t="str">
        <f aca="false">IF($B586="","",O586-Q586-L586)</f>
        <v/>
      </c>
      <c r="S586" s="21" t="str">
        <f aca="false">IF(OR($B586="",N(O586)=0),"",R586/O586)</f>
        <v/>
      </c>
      <c r="T586" s="14"/>
      <c r="U586" s="19" t="n">
        <f aca="false">IF(OR($B586="",$A586=""),0,IF(COUNTIFS($A$5:$A586,$A586,$B$5:$B586,$B586)=1,1,0))</f>
        <v>0</v>
      </c>
    </row>
    <row r="587" customFormat="false" ht="15" hidden="false" customHeight="false" outlineLevel="0" collapsed="false">
      <c r="A587" s="17"/>
      <c r="B587" s="13"/>
      <c r="C587" s="20" t="str">
        <f aca="false">IF($B587="","",IFERROR(INDEX(고객사!$B$5:$B$104,MATCH($B587,고객사!$A$5:$A$104,0)),"코드 확인"))</f>
        <v/>
      </c>
      <c r="D587" s="15"/>
      <c r="E587" s="15"/>
      <c r="F587" s="16"/>
      <c r="G587" s="16"/>
      <c r="H587" s="21" t="str">
        <f aca="false">IF(OR($B587="",F587=0),"",G587/F587)</f>
        <v/>
      </c>
      <c r="I587" s="22" t="str">
        <f aca="false">IF($B587="","",MAX(F587-G587,0))</f>
        <v/>
      </c>
      <c r="J587" s="23" t="str">
        <f aca="false">IF($B587="","",IFERROR(INDEX(고객사!$G$5:$G$104,MATCH($B587,고객사!$A$5:$A$104,0)),""))</f>
        <v/>
      </c>
      <c r="K587" s="16"/>
      <c r="L587" s="22" t="str">
        <f aca="false">IF($B587="","",K587*IFERROR(INDEX(고객사!$L$5:$L$104,MATCH($B587,고객사!$A$5:$A$104,0)),0))</f>
        <v/>
      </c>
      <c r="M587" s="23" t="str">
        <f aca="false">IF($B587="","",IF(AND(J587="N",G587&gt;0,K587=0,IFERROR(INDEX(고객사!$H$5:$H$104,MATCH($B587,고객사!$A$5:$A$104,0)),"")="자사 차량 운행"),"차량 미배정",""))</f>
        <v/>
      </c>
      <c r="N587" s="22" t="str">
        <f aca="false">IF($B587="","",IFERROR(INDEX(고객사!$J$5:$J$104,MATCH($B587,고객사!$A$5:$A$104,0)),0))</f>
        <v/>
      </c>
      <c r="O587" s="22" t="str">
        <f aca="false">IF($B587="","",G587*N587)</f>
        <v/>
      </c>
      <c r="P587" s="22" t="str">
        <f aca="false">IF($B587="","",IFERROR(INDEX(고객사!$K$5:$K$104,MATCH($B587,고객사!$A$5:$A$104,0)),0))</f>
        <v/>
      </c>
      <c r="Q587" s="22" t="str">
        <f aca="false">IF($B587="","",G587*P587)</f>
        <v/>
      </c>
      <c r="R587" s="22" t="str">
        <f aca="false">IF($B587="","",O587-Q587-L587)</f>
        <v/>
      </c>
      <c r="S587" s="21" t="str">
        <f aca="false">IF(OR($B587="",N(O587)=0),"",R587/O587)</f>
        <v/>
      </c>
      <c r="T587" s="14"/>
      <c r="U587" s="19" t="n">
        <f aca="false">IF(OR($B587="",$A587=""),0,IF(COUNTIFS($A$5:$A587,$A587,$B$5:$B587,$B587)=1,1,0))</f>
        <v>0</v>
      </c>
    </row>
    <row r="588" customFormat="false" ht="15" hidden="false" customHeight="false" outlineLevel="0" collapsed="false">
      <c r="A588" s="17"/>
      <c r="B588" s="13"/>
      <c r="C588" s="20" t="str">
        <f aca="false">IF($B588="","",IFERROR(INDEX(고객사!$B$5:$B$104,MATCH($B588,고객사!$A$5:$A$104,0)),"코드 확인"))</f>
        <v/>
      </c>
      <c r="D588" s="15"/>
      <c r="E588" s="15"/>
      <c r="F588" s="16"/>
      <c r="G588" s="16"/>
      <c r="H588" s="21" t="str">
        <f aca="false">IF(OR($B588="",F588=0),"",G588/F588)</f>
        <v/>
      </c>
      <c r="I588" s="22" t="str">
        <f aca="false">IF($B588="","",MAX(F588-G588,0))</f>
        <v/>
      </c>
      <c r="J588" s="23" t="str">
        <f aca="false">IF($B588="","",IFERROR(INDEX(고객사!$G$5:$G$104,MATCH($B588,고객사!$A$5:$A$104,0)),""))</f>
        <v/>
      </c>
      <c r="K588" s="16"/>
      <c r="L588" s="22" t="str">
        <f aca="false">IF($B588="","",K588*IFERROR(INDEX(고객사!$L$5:$L$104,MATCH($B588,고객사!$A$5:$A$104,0)),0))</f>
        <v/>
      </c>
      <c r="M588" s="23" t="str">
        <f aca="false">IF($B588="","",IF(AND(J588="N",G588&gt;0,K588=0,IFERROR(INDEX(고객사!$H$5:$H$104,MATCH($B588,고객사!$A$5:$A$104,0)),"")="자사 차량 운행"),"차량 미배정",""))</f>
        <v/>
      </c>
      <c r="N588" s="22" t="str">
        <f aca="false">IF($B588="","",IFERROR(INDEX(고객사!$J$5:$J$104,MATCH($B588,고객사!$A$5:$A$104,0)),0))</f>
        <v/>
      </c>
      <c r="O588" s="22" t="str">
        <f aca="false">IF($B588="","",G588*N588)</f>
        <v/>
      </c>
      <c r="P588" s="22" t="str">
        <f aca="false">IF($B588="","",IFERROR(INDEX(고객사!$K$5:$K$104,MATCH($B588,고객사!$A$5:$A$104,0)),0))</f>
        <v/>
      </c>
      <c r="Q588" s="22" t="str">
        <f aca="false">IF($B588="","",G588*P588)</f>
        <v/>
      </c>
      <c r="R588" s="22" t="str">
        <f aca="false">IF($B588="","",O588-Q588-L588)</f>
        <v/>
      </c>
      <c r="S588" s="21" t="str">
        <f aca="false">IF(OR($B588="",N(O588)=0),"",R588/O588)</f>
        <v/>
      </c>
      <c r="T588" s="14"/>
      <c r="U588" s="19" t="n">
        <f aca="false">IF(OR($B588="",$A588=""),0,IF(COUNTIFS($A$5:$A588,$A588,$B$5:$B588,$B588)=1,1,0))</f>
        <v>0</v>
      </c>
    </row>
    <row r="589" customFormat="false" ht="15" hidden="false" customHeight="false" outlineLevel="0" collapsed="false">
      <c r="A589" s="17"/>
      <c r="B589" s="13"/>
      <c r="C589" s="20" t="str">
        <f aca="false">IF($B589="","",IFERROR(INDEX(고객사!$B$5:$B$104,MATCH($B589,고객사!$A$5:$A$104,0)),"코드 확인"))</f>
        <v/>
      </c>
      <c r="D589" s="15"/>
      <c r="E589" s="15"/>
      <c r="F589" s="16"/>
      <c r="G589" s="16"/>
      <c r="H589" s="21" t="str">
        <f aca="false">IF(OR($B589="",F589=0),"",G589/F589)</f>
        <v/>
      </c>
      <c r="I589" s="22" t="str">
        <f aca="false">IF($B589="","",MAX(F589-G589,0))</f>
        <v/>
      </c>
      <c r="J589" s="23" t="str">
        <f aca="false">IF($B589="","",IFERROR(INDEX(고객사!$G$5:$G$104,MATCH($B589,고객사!$A$5:$A$104,0)),""))</f>
        <v/>
      </c>
      <c r="K589" s="16"/>
      <c r="L589" s="22" t="str">
        <f aca="false">IF($B589="","",K589*IFERROR(INDEX(고객사!$L$5:$L$104,MATCH($B589,고객사!$A$5:$A$104,0)),0))</f>
        <v/>
      </c>
      <c r="M589" s="23" t="str">
        <f aca="false">IF($B589="","",IF(AND(J589="N",G589&gt;0,K589=0,IFERROR(INDEX(고객사!$H$5:$H$104,MATCH($B589,고객사!$A$5:$A$104,0)),"")="자사 차량 운행"),"차량 미배정",""))</f>
        <v/>
      </c>
      <c r="N589" s="22" t="str">
        <f aca="false">IF($B589="","",IFERROR(INDEX(고객사!$J$5:$J$104,MATCH($B589,고객사!$A$5:$A$104,0)),0))</f>
        <v/>
      </c>
      <c r="O589" s="22" t="str">
        <f aca="false">IF($B589="","",G589*N589)</f>
        <v/>
      </c>
      <c r="P589" s="22" t="str">
        <f aca="false">IF($B589="","",IFERROR(INDEX(고객사!$K$5:$K$104,MATCH($B589,고객사!$A$5:$A$104,0)),0))</f>
        <v/>
      </c>
      <c r="Q589" s="22" t="str">
        <f aca="false">IF($B589="","",G589*P589)</f>
        <v/>
      </c>
      <c r="R589" s="22" t="str">
        <f aca="false">IF($B589="","",O589-Q589-L589)</f>
        <v/>
      </c>
      <c r="S589" s="21" t="str">
        <f aca="false">IF(OR($B589="",N(O589)=0),"",R589/O589)</f>
        <v/>
      </c>
      <c r="T589" s="14"/>
      <c r="U589" s="19" t="n">
        <f aca="false">IF(OR($B589="",$A589=""),0,IF(COUNTIFS($A$5:$A589,$A589,$B$5:$B589,$B589)=1,1,0))</f>
        <v>0</v>
      </c>
    </row>
    <row r="590" customFormat="false" ht="15" hidden="false" customHeight="false" outlineLevel="0" collapsed="false">
      <c r="A590" s="17"/>
      <c r="B590" s="13"/>
      <c r="C590" s="20" t="str">
        <f aca="false">IF($B590="","",IFERROR(INDEX(고객사!$B$5:$B$104,MATCH($B590,고객사!$A$5:$A$104,0)),"코드 확인"))</f>
        <v/>
      </c>
      <c r="D590" s="15"/>
      <c r="E590" s="15"/>
      <c r="F590" s="16"/>
      <c r="G590" s="16"/>
      <c r="H590" s="21" t="str">
        <f aca="false">IF(OR($B590="",F590=0),"",G590/F590)</f>
        <v/>
      </c>
      <c r="I590" s="22" t="str">
        <f aca="false">IF($B590="","",MAX(F590-G590,0))</f>
        <v/>
      </c>
      <c r="J590" s="23" t="str">
        <f aca="false">IF($B590="","",IFERROR(INDEX(고객사!$G$5:$G$104,MATCH($B590,고객사!$A$5:$A$104,0)),""))</f>
        <v/>
      </c>
      <c r="K590" s="16"/>
      <c r="L590" s="22" t="str">
        <f aca="false">IF($B590="","",K590*IFERROR(INDEX(고객사!$L$5:$L$104,MATCH($B590,고객사!$A$5:$A$104,0)),0))</f>
        <v/>
      </c>
      <c r="M590" s="23" t="str">
        <f aca="false">IF($B590="","",IF(AND(J590="N",G590&gt;0,K590=0,IFERROR(INDEX(고객사!$H$5:$H$104,MATCH($B590,고객사!$A$5:$A$104,0)),"")="자사 차량 운행"),"차량 미배정",""))</f>
        <v/>
      </c>
      <c r="N590" s="22" t="str">
        <f aca="false">IF($B590="","",IFERROR(INDEX(고객사!$J$5:$J$104,MATCH($B590,고객사!$A$5:$A$104,0)),0))</f>
        <v/>
      </c>
      <c r="O590" s="22" t="str">
        <f aca="false">IF($B590="","",G590*N590)</f>
        <v/>
      </c>
      <c r="P590" s="22" t="str">
        <f aca="false">IF($B590="","",IFERROR(INDEX(고객사!$K$5:$K$104,MATCH($B590,고객사!$A$5:$A$104,0)),0))</f>
        <v/>
      </c>
      <c r="Q590" s="22" t="str">
        <f aca="false">IF($B590="","",G590*P590)</f>
        <v/>
      </c>
      <c r="R590" s="22" t="str">
        <f aca="false">IF($B590="","",O590-Q590-L590)</f>
        <v/>
      </c>
      <c r="S590" s="21" t="str">
        <f aca="false">IF(OR($B590="",N(O590)=0),"",R590/O590)</f>
        <v/>
      </c>
      <c r="T590" s="14"/>
      <c r="U590" s="19" t="n">
        <f aca="false">IF(OR($B590="",$A590=""),0,IF(COUNTIFS($A$5:$A590,$A590,$B$5:$B590,$B590)=1,1,0))</f>
        <v>0</v>
      </c>
    </row>
    <row r="591" customFormat="false" ht="15" hidden="false" customHeight="false" outlineLevel="0" collapsed="false">
      <c r="A591" s="17"/>
      <c r="B591" s="13"/>
      <c r="C591" s="20" t="str">
        <f aca="false">IF($B591="","",IFERROR(INDEX(고객사!$B$5:$B$104,MATCH($B591,고객사!$A$5:$A$104,0)),"코드 확인"))</f>
        <v/>
      </c>
      <c r="D591" s="15"/>
      <c r="E591" s="15"/>
      <c r="F591" s="16"/>
      <c r="G591" s="16"/>
      <c r="H591" s="21" t="str">
        <f aca="false">IF(OR($B591="",F591=0),"",G591/F591)</f>
        <v/>
      </c>
      <c r="I591" s="22" t="str">
        <f aca="false">IF($B591="","",MAX(F591-G591,0))</f>
        <v/>
      </c>
      <c r="J591" s="23" t="str">
        <f aca="false">IF($B591="","",IFERROR(INDEX(고객사!$G$5:$G$104,MATCH($B591,고객사!$A$5:$A$104,0)),""))</f>
        <v/>
      </c>
      <c r="K591" s="16"/>
      <c r="L591" s="22" t="str">
        <f aca="false">IF($B591="","",K591*IFERROR(INDEX(고객사!$L$5:$L$104,MATCH($B591,고객사!$A$5:$A$104,0)),0))</f>
        <v/>
      </c>
      <c r="M591" s="23" t="str">
        <f aca="false">IF($B591="","",IF(AND(J591="N",G591&gt;0,K591=0,IFERROR(INDEX(고객사!$H$5:$H$104,MATCH($B591,고객사!$A$5:$A$104,0)),"")="자사 차량 운행"),"차량 미배정",""))</f>
        <v/>
      </c>
      <c r="N591" s="22" t="str">
        <f aca="false">IF($B591="","",IFERROR(INDEX(고객사!$J$5:$J$104,MATCH($B591,고객사!$A$5:$A$104,0)),0))</f>
        <v/>
      </c>
      <c r="O591" s="22" t="str">
        <f aca="false">IF($B591="","",G591*N591)</f>
        <v/>
      </c>
      <c r="P591" s="22" t="str">
        <f aca="false">IF($B591="","",IFERROR(INDEX(고객사!$K$5:$K$104,MATCH($B591,고객사!$A$5:$A$104,0)),0))</f>
        <v/>
      </c>
      <c r="Q591" s="22" t="str">
        <f aca="false">IF($B591="","",G591*P591)</f>
        <v/>
      </c>
      <c r="R591" s="22" t="str">
        <f aca="false">IF($B591="","",O591-Q591-L591)</f>
        <v/>
      </c>
      <c r="S591" s="21" t="str">
        <f aca="false">IF(OR($B591="",N(O591)=0),"",R591/O591)</f>
        <v/>
      </c>
      <c r="T591" s="14"/>
      <c r="U591" s="19" t="n">
        <f aca="false">IF(OR($B591="",$A591=""),0,IF(COUNTIFS($A$5:$A591,$A591,$B$5:$B591,$B591)=1,1,0))</f>
        <v>0</v>
      </c>
    </row>
    <row r="592" customFormat="false" ht="15" hidden="false" customHeight="false" outlineLevel="0" collapsed="false">
      <c r="A592" s="17"/>
      <c r="B592" s="13"/>
      <c r="C592" s="20" t="str">
        <f aca="false">IF($B592="","",IFERROR(INDEX(고객사!$B$5:$B$104,MATCH($B592,고객사!$A$5:$A$104,0)),"코드 확인"))</f>
        <v/>
      </c>
      <c r="D592" s="15"/>
      <c r="E592" s="15"/>
      <c r="F592" s="16"/>
      <c r="G592" s="16"/>
      <c r="H592" s="21" t="str">
        <f aca="false">IF(OR($B592="",F592=0),"",G592/F592)</f>
        <v/>
      </c>
      <c r="I592" s="22" t="str">
        <f aca="false">IF($B592="","",MAX(F592-G592,0))</f>
        <v/>
      </c>
      <c r="J592" s="23" t="str">
        <f aca="false">IF($B592="","",IFERROR(INDEX(고객사!$G$5:$G$104,MATCH($B592,고객사!$A$5:$A$104,0)),""))</f>
        <v/>
      </c>
      <c r="K592" s="16"/>
      <c r="L592" s="22" t="str">
        <f aca="false">IF($B592="","",K592*IFERROR(INDEX(고객사!$L$5:$L$104,MATCH($B592,고객사!$A$5:$A$104,0)),0))</f>
        <v/>
      </c>
      <c r="M592" s="23" t="str">
        <f aca="false">IF($B592="","",IF(AND(J592="N",G592&gt;0,K592=0,IFERROR(INDEX(고객사!$H$5:$H$104,MATCH($B592,고객사!$A$5:$A$104,0)),"")="자사 차량 운행"),"차량 미배정",""))</f>
        <v/>
      </c>
      <c r="N592" s="22" t="str">
        <f aca="false">IF($B592="","",IFERROR(INDEX(고객사!$J$5:$J$104,MATCH($B592,고객사!$A$5:$A$104,0)),0))</f>
        <v/>
      </c>
      <c r="O592" s="22" t="str">
        <f aca="false">IF($B592="","",G592*N592)</f>
        <v/>
      </c>
      <c r="P592" s="22" t="str">
        <f aca="false">IF($B592="","",IFERROR(INDEX(고객사!$K$5:$K$104,MATCH($B592,고객사!$A$5:$A$104,0)),0))</f>
        <v/>
      </c>
      <c r="Q592" s="22" t="str">
        <f aca="false">IF($B592="","",G592*P592)</f>
        <v/>
      </c>
      <c r="R592" s="22" t="str">
        <f aca="false">IF($B592="","",O592-Q592-L592)</f>
        <v/>
      </c>
      <c r="S592" s="21" t="str">
        <f aca="false">IF(OR($B592="",N(O592)=0),"",R592/O592)</f>
        <v/>
      </c>
      <c r="T592" s="14"/>
      <c r="U592" s="19" t="n">
        <f aca="false">IF(OR($B592="",$A592=""),0,IF(COUNTIFS($A$5:$A592,$A592,$B$5:$B592,$B592)=1,1,0))</f>
        <v>0</v>
      </c>
    </row>
    <row r="593" customFormat="false" ht="15" hidden="false" customHeight="false" outlineLevel="0" collapsed="false">
      <c r="A593" s="17"/>
      <c r="B593" s="13"/>
      <c r="C593" s="20" t="str">
        <f aca="false">IF($B593="","",IFERROR(INDEX(고객사!$B$5:$B$104,MATCH($B593,고객사!$A$5:$A$104,0)),"코드 확인"))</f>
        <v/>
      </c>
      <c r="D593" s="15"/>
      <c r="E593" s="15"/>
      <c r="F593" s="16"/>
      <c r="G593" s="16"/>
      <c r="H593" s="21" t="str">
        <f aca="false">IF(OR($B593="",F593=0),"",G593/F593)</f>
        <v/>
      </c>
      <c r="I593" s="22" t="str">
        <f aca="false">IF($B593="","",MAX(F593-G593,0))</f>
        <v/>
      </c>
      <c r="J593" s="23" t="str">
        <f aca="false">IF($B593="","",IFERROR(INDEX(고객사!$G$5:$G$104,MATCH($B593,고객사!$A$5:$A$104,0)),""))</f>
        <v/>
      </c>
      <c r="K593" s="16"/>
      <c r="L593" s="22" t="str">
        <f aca="false">IF($B593="","",K593*IFERROR(INDEX(고객사!$L$5:$L$104,MATCH($B593,고객사!$A$5:$A$104,0)),0))</f>
        <v/>
      </c>
      <c r="M593" s="23" t="str">
        <f aca="false">IF($B593="","",IF(AND(J593="N",G593&gt;0,K593=0,IFERROR(INDEX(고객사!$H$5:$H$104,MATCH($B593,고객사!$A$5:$A$104,0)),"")="자사 차량 운행"),"차량 미배정",""))</f>
        <v/>
      </c>
      <c r="N593" s="22" t="str">
        <f aca="false">IF($B593="","",IFERROR(INDEX(고객사!$J$5:$J$104,MATCH($B593,고객사!$A$5:$A$104,0)),0))</f>
        <v/>
      </c>
      <c r="O593" s="22" t="str">
        <f aca="false">IF($B593="","",G593*N593)</f>
        <v/>
      </c>
      <c r="P593" s="22" t="str">
        <f aca="false">IF($B593="","",IFERROR(INDEX(고객사!$K$5:$K$104,MATCH($B593,고객사!$A$5:$A$104,0)),0))</f>
        <v/>
      </c>
      <c r="Q593" s="22" t="str">
        <f aca="false">IF($B593="","",G593*P593)</f>
        <v/>
      </c>
      <c r="R593" s="22" t="str">
        <f aca="false">IF($B593="","",O593-Q593-L593)</f>
        <v/>
      </c>
      <c r="S593" s="21" t="str">
        <f aca="false">IF(OR($B593="",N(O593)=0),"",R593/O593)</f>
        <v/>
      </c>
      <c r="T593" s="14"/>
      <c r="U593" s="19" t="n">
        <f aca="false">IF(OR($B593="",$A593=""),0,IF(COUNTIFS($A$5:$A593,$A593,$B$5:$B593,$B593)=1,1,0))</f>
        <v>0</v>
      </c>
    </row>
    <row r="594" customFormat="false" ht="15" hidden="false" customHeight="false" outlineLevel="0" collapsed="false">
      <c r="A594" s="17"/>
      <c r="B594" s="13"/>
      <c r="C594" s="20" t="str">
        <f aca="false">IF($B594="","",IFERROR(INDEX(고객사!$B$5:$B$104,MATCH($B594,고객사!$A$5:$A$104,0)),"코드 확인"))</f>
        <v/>
      </c>
      <c r="D594" s="15"/>
      <c r="E594" s="15"/>
      <c r="F594" s="16"/>
      <c r="G594" s="16"/>
      <c r="H594" s="21" t="str">
        <f aca="false">IF(OR($B594="",F594=0),"",G594/F594)</f>
        <v/>
      </c>
      <c r="I594" s="22" t="str">
        <f aca="false">IF($B594="","",MAX(F594-G594,0))</f>
        <v/>
      </c>
      <c r="J594" s="23" t="str">
        <f aca="false">IF($B594="","",IFERROR(INDEX(고객사!$G$5:$G$104,MATCH($B594,고객사!$A$5:$A$104,0)),""))</f>
        <v/>
      </c>
      <c r="K594" s="16"/>
      <c r="L594" s="22" t="str">
        <f aca="false">IF($B594="","",K594*IFERROR(INDEX(고객사!$L$5:$L$104,MATCH($B594,고객사!$A$5:$A$104,0)),0))</f>
        <v/>
      </c>
      <c r="M594" s="23" t="str">
        <f aca="false">IF($B594="","",IF(AND(J594="N",G594&gt;0,K594=0,IFERROR(INDEX(고객사!$H$5:$H$104,MATCH($B594,고객사!$A$5:$A$104,0)),"")="자사 차량 운행"),"차량 미배정",""))</f>
        <v/>
      </c>
      <c r="N594" s="22" t="str">
        <f aca="false">IF($B594="","",IFERROR(INDEX(고객사!$J$5:$J$104,MATCH($B594,고객사!$A$5:$A$104,0)),0))</f>
        <v/>
      </c>
      <c r="O594" s="22" t="str">
        <f aca="false">IF($B594="","",G594*N594)</f>
        <v/>
      </c>
      <c r="P594" s="22" t="str">
        <f aca="false">IF($B594="","",IFERROR(INDEX(고객사!$K$5:$K$104,MATCH($B594,고객사!$A$5:$A$104,0)),0))</f>
        <v/>
      </c>
      <c r="Q594" s="22" t="str">
        <f aca="false">IF($B594="","",G594*P594)</f>
        <v/>
      </c>
      <c r="R594" s="22" t="str">
        <f aca="false">IF($B594="","",O594-Q594-L594)</f>
        <v/>
      </c>
      <c r="S594" s="21" t="str">
        <f aca="false">IF(OR($B594="",N(O594)=0),"",R594/O594)</f>
        <v/>
      </c>
      <c r="T594" s="14"/>
      <c r="U594" s="19" t="n">
        <f aca="false">IF(OR($B594="",$A594=""),0,IF(COUNTIFS($A$5:$A594,$A594,$B$5:$B594,$B594)=1,1,0))</f>
        <v>0</v>
      </c>
    </row>
    <row r="595" customFormat="false" ht="15" hidden="false" customHeight="false" outlineLevel="0" collapsed="false">
      <c r="A595" s="17"/>
      <c r="B595" s="13"/>
      <c r="C595" s="20" t="str">
        <f aca="false">IF($B595="","",IFERROR(INDEX(고객사!$B$5:$B$104,MATCH($B595,고객사!$A$5:$A$104,0)),"코드 확인"))</f>
        <v/>
      </c>
      <c r="D595" s="15"/>
      <c r="E595" s="15"/>
      <c r="F595" s="16"/>
      <c r="G595" s="16"/>
      <c r="H595" s="21" t="str">
        <f aca="false">IF(OR($B595="",F595=0),"",G595/F595)</f>
        <v/>
      </c>
      <c r="I595" s="22" t="str">
        <f aca="false">IF($B595="","",MAX(F595-G595,0))</f>
        <v/>
      </c>
      <c r="J595" s="23" t="str">
        <f aca="false">IF($B595="","",IFERROR(INDEX(고객사!$G$5:$G$104,MATCH($B595,고객사!$A$5:$A$104,0)),""))</f>
        <v/>
      </c>
      <c r="K595" s="16"/>
      <c r="L595" s="22" t="str">
        <f aca="false">IF($B595="","",K595*IFERROR(INDEX(고객사!$L$5:$L$104,MATCH($B595,고객사!$A$5:$A$104,0)),0))</f>
        <v/>
      </c>
      <c r="M595" s="23" t="str">
        <f aca="false">IF($B595="","",IF(AND(J595="N",G595&gt;0,K595=0,IFERROR(INDEX(고객사!$H$5:$H$104,MATCH($B595,고객사!$A$5:$A$104,0)),"")="자사 차량 운행"),"차량 미배정",""))</f>
        <v/>
      </c>
      <c r="N595" s="22" t="str">
        <f aca="false">IF($B595="","",IFERROR(INDEX(고객사!$J$5:$J$104,MATCH($B595,고객사!$A$5:$A$104,0)),0))</f>
        <v/>
      </c>
      <c r="O595" s="22" t="str">
        <f aca="false">IF($B595="","",G595*N595)</f>
        <v/>
      </c>
      <c r="P595" s="22" t="str">
        <f aca="false">IF($B595="","",IFERROR(INDEX(고객사!$K$5:$K$104,MATCH($B595,고객사!$A$5:$A$104,0)),0))</f>
        <v/>
      </c>
      <c r="Q595" s="22" t="str">
        <f aca="false">IF($B595="","",G595*P595)</f>
        <v/>
      </c>
      <c r="R595" s="22" t="str">
        <f aca="false">IF($B595="","",O595-Q595-L595)</f>
        <v/>
      </c>
      <c r="S595" s="21" t="str">
        <f aca="false">IF(OR($B595="",N(O595)=0),"",R595/O595)</f>
        <v/>
      </c>
      <c r="T595" s="14"/>
      <c r="U595" s="19" t="n">
        <f aca="false">IF(OR($B595="",$A595=""),0,IF(COUNTIFS($A$5:$A595,$A595,$B$5:$B595,$B595)=1,1,0))</f>
        <v>0</v>
      </c>
    </row>
    <row r="596" customFormat="false" ht="15" hidden="false" customHeight="false" outlineLevel="0" collapsed="false">
      <c r="A596" s="17"/>
      <c r="B596" s="13"/>
      <c r="C596" s="20" t="str">
        <f aca="false">IF($B596="","",IFERROR(INDEX(고객사!$B$5:$B$104,MATCH($B596,고객사!$A$5:$A$104,0)),"코드 확인"))</f>
        <v/>
      </c>
      <c r="D596" s="15"/>
      <c r="E596" s="15"/>
      <c r="F596" s="16"/>
      <c r="G596" s="16"/>
      <c r="H596" s="21" t="str">
        <f aca="false">IF(OR($B596="",F596=0),"",G596/F596)</f>
        <v/>
      </c>
      <c r="I596" s="22" t="str">
        <f aca="false">IF($B596="","",MAX(F596-G596,0))</f>
        <v/>
      </c>
      <c r="J596" s="23" t="str">
        <f aca="false">IF($B596="","",IFERROR(INDEX(고객사!$G$5:$G$104,MATCH($B596,고객사!$A$5:$A$104,0)),""))</f>
        <v/>
      </c>
      <c r="K596" s="16"/>
      <c r="L596" s="22" t="str">
        <f aca="false">IF($B596="","",K596*IFERROR(INDEX(고객사!$L$5:$L$104,MATCH($B596,고객사!$A$5:$A$104,0)),0))</f>
        <v/>
      </c>
      <c r="M596" s="23" t="str">
        <f aca="false">IF($B596="","",IF(AND(J596="N",G596&gt;0,K596=0,IFERROR(INDEX(고객사!$H$5:$H$104,MATCH($B596,고객사!$A$5:$A$104,0)),"")="자사 차량 운행"),"차량 미배정",""))</f>
        <v/>
      </c>
      <c r="N596" s="22" t="str">
        <f aca="false">IF($B596="","",IFERROR(INDEX(고객사!$J$5:$J$104,MATCH($B596,고객사!$A$5:$A$104,0)),0))</f>
        <v/>
      </c>
      <c r="O596" s="22" t="str">
        <f aca="false">IF($B596="","",G596*N596)</f>
        <v/>
      </c>
      <c r="P596" s="22" t="str">
        <f aca="false">IF($B596="","",IFERROR(INDEX(고객사!$K$5:$K$104,MATCH($B596,고객사!$A$5:$A$104,0)),0))</f>
        <v/>
      </c>
      <c r="Q596" s="22" t="str">
        <f aca="false">IF($B596="","",G596*P596)</f>
        <v/>
      </c>
      <c r="R596" s="22" t="str">
        <f aca="false">IF($B596="","",O596-Q596-L596)</f>
        <v/>
      </c>
      <c r="S596" s="21" t="str">
        <f aca="false">IF(OR($B596="",N(O596)=0),"",R596/O596)</f>
        <v/>
      </c>
      <c r="T596" s="14"/>
      <c r="U596" s="19" t="n">
        <f aca="false">IF(OR($B596="",$A596=""),0,IF(COUNTIFS($A$5:$A596,$A596,$B$5:$B596,$B596)=1,1,0))</f>
        <v>0</v>
      </c>
    </row>
    <row r="597" customFormat="false" ht="15" hidden="false" customHeight="false" outlineLevel="0" collapsed="false">
      <c r="A597" s="17"/>
      <c r="B597" s="13"/>
      <c r="C597" s="20" t="str">
        <f aca="false">IF($B597="","",IFERROR(INDEX(고객사!$B$5:$B$104,MATCH($B597,고객사!$A$5:$A$104,0)),"코드 확인"))</f>
        <v/>
      </c>
      <c r="D597" s="15"/>
      <c r="E597" s="15"/>
      <c r="F597" s="16"/>
      <c r="G597" s="16"/>
      <c r="H597" s="21" t="str">
        <f aca="false">IF(OR($B597="",F597=0),"",G597/F597)</f>
        <v/>
      </c>
      <c r="I597" s="22" t="str">
        <f aca="false">IF($B597="","",MAX(F597-G597,0))</f>
        <v/>
      </c>
      <c r="J597" s="23" t="str">
        <f aca="false">IF($B597="","",IFERROR(INDEX(고객사!$G$5:$G$104,MATCH($B597,고객사!$A$5:$A$104,0)),""))</f>
        <v/>
      </c>
      <c r="K597" s="16"/>
      <c r="L597" s="22" t="str">
        <f aca="false">IF($B597="","",K597*IFERROR(INDEX(고객사!$L$5:$L$104,MATCH($B597,고객사!$A$5:$A$104,0)),0))</f>
        <v/>
      </c>
      <c r="M597" s="23" t="str">
        <f aca="false">IF($B597="","",IF(AND(J597="N",G597&gt;0,K597=0,IFERROR(INDEX(고객사!$H$5:$H$104,MATCH($B597,고객사!$A$5:$A$104,0)),"")="자사 차량 운행"),"차량 미배정",""))</f>
        <v/>
      </c>
      <c r="N597" s="22" t="str">
        <f aca="false">IF($B597="","",IFERROR(INDEX(고객사!$J$5:$J$104,MATCH($B597,고객사!$A$5:$A$104,0)),0))</f>
        <v/>
      </c>
      <c r="O597" s="22" t="str">
        <f aca="false">IF($B597="","",G597*N597)</f>
        <v/>
      </c>
      <c r="P597" s="22" t="str">
        <f aca="false">IF($B597="","",IFERROR(INDEX(고객사!$K$5:$K$104,MATCH($B597,고객사!$A$5:$A$104,0)),0))</f>
        <v/>
      </c>
      <c r="Q597" s="22" t="str">
        <f aca="false">IF($B597="","",G597*P597)</f>
        <v/>
      </c>
      <c r="R597" s="22" t="str">
        <f aca="false">IF($B597="","",O597-Q597-L597)</f>
        <v/>
      </c>
      <c r="S597" s="21" t="str">
        <f aca="false">IF(OR($B597="",N(O597)=0),"",R597/O597)</f>
        <v/>
      </c>
      <c r="T597" s="14"/>
      <c r="U597" s="19" t="n">
        <f aca="false">IF(OR($B597="",$A597=""),0,IF(COUNTIFS($A$5:$A597,$A597,$B$5:$B597,$B597)=1,1,0))</f>
        <v>0</v>
      </c>
    </row>
    <row r="598" customFormat="false" ht="15" hidden="false" customHeight="false" outlineLevel="0" collapsed="false">
      <c r="A598" s="17"/>
      <c r="B598" s="13"/>
      <c r="C598" s="20" t="str">
        <f aca="false">IF($B598="","",IFERROR(INDEX(고객사!$B$5:$B$104,MATCH($B598,고객사!$A$5:$A$104,0)),"코드 확인"))</f>
        <v/>
      </c>
      <c r="D598" s="15"/>
      <c r="E598" s="15"/>
      <c r="F598" s="16"/>
      <c r="G598" s="16"/>
      <c r="H598" s="21" t="str">
        <f aca="false">IF(OR($B598="",F598=0),"",G598/F598)</f>
        <v/>
      </c>
      <c r="I598" s="22" t="str">
        <f aca="false">IF($B598="","",MAX(F598-G598,0))</f>
        <v/>
      </c>
      <c r="J598" s="23" t="str">
        <f aca="false">IF($B598="","",IFERROR(INDEX(고객사!$G$5:$G$104,MATCH($B598,고객사!$A$5:$A$104,0)),""))</f>
        <v/>
      </c>
      <c r="K598" s="16"/>
      <c r="L598" s="22" t="str">
        <f aca="false">IF($B598="","",K598*IFERROR(INDEX(고객사!$L$5:$L$104,MATCH($B598,고객사!$A$5:$A$104,0)),0))</f>
        <v/>
      </c>
      <c r="M598" s="23" t="str">
        <f aca="false">IF($B598="","",IF(AND(J598="N",G598&gt;0,K598=0,IFERROR(INDEX(고객사!$H$5:$H$104,MATCH($B598,고객사!$A$5:$A$104,0)),"")="자사 차량 운행"),"차량 미배정",""))</f>
        <v/>
      </c>
      <c r="N598" s="22" t="str">
        <f aca="false">IF($B598="","",IFERROR(INDEX(고객사!$J$5:$J$104,MATCH($B598,고객사!$A$5:$A$104,0)),0))</f>
        <v/>
      </c>
      <c r="O598" s="22" t="str">
        <f aca="false">IF($B598="","",G598*N598)</f>
        <v/>
      </c>
      <c r="P598" s="22" t="str">
        <f aca="false">IF($B598="","",IFERROR(INDEX(고객사!$K$5:$K$104,MATCH($B598,고객사!$A$5:$A$104,0)),0))</f>
        <v/>
      </c>
      <c r="Q598" s="22" t="str">
        <f aca="false">IF($B598="","",G598*P598)</f>
        <v/>
      </c>
      <c r="R598" s="22" t="str">
        <f aca="false">IF($B598="","",O598-Q598-L598)</f>
        <v/>
      </c>
      <c r="S598" s="21" t="str">
        <f aca="false">IF(OR($B598="",N(O598)=0),"",R598/O598)</f>
        <v/>
      </c>
      <c r="T598" s="14"/>
      <c r="U598" s="19" t="n">
        <f aca="false">IF(OR($B598="",$A598=""),0,IF(COUNTIFS($A$5:$A598,$A598,$B$5:$B598,$B598)=1,1,0))</f>
        <v>0</v>
      </c>
    </row>
    <row r="599" customFormat="false" ht="15" hidden="false" customHeight="false" outlineLevel="0" collapsed="false">
      <c r="A599" s="17"/>
      <c r="B599" s="13"/>
      <c r="C599" s="20" t="str">
        <f aca="false">IF($B599="","",IFERROR(INDEX(고객사!$B$5:$B$104,MATCH($B599,고객사!$A$5:$A$104,0)),"코드 확인"))</f>
        <v/>
      </c>
      <c r="D599" s="15"/>
      <c r="E599" s="15"/>
      <c r="F599" s="16"/>
      <c r="G599" s="16"/>
      <c r="H599" s="21" t="str">
        <f aca="false">IF(OR($B599="",F599=0),"",G599/F599)</f>
        <v/>
      </c>
      <c r="I599" s="22" t="str">
        <f aca="false">IF($B599="","",MAX(F599-G599,0))</f>
        <v/>
      </c>
      <c r="J599" s="23" t="str">
        <f aca="false">IF($B599="","",IFERROR(INDEX(고객사!$G$5:$G$104,MATCH($B599,고객사!$A$5:$A$104,0)),""))</f>
        <v/>
      </c>
      <c r="K599" s="16"/>
      <c r="L599" s="22" t="str">
        <f aca="false">IF($B599="","",K599*IFERROR(INDEX(고객사!$L$5:$L$104,MATCH($B599,고객사!$A$5:$A$104,0)),0))</f>
        <v/>
      </c>
      <c r="M599" s="23" t="str">
        <f aca="false">IF($B599="","",IF(AND(J599="N",G599&gt;0,K599=0,IFERROR(INDEX(고객사!$H$5:$H$104,MATCH($B599,고객사!$A$5:$A$104,0)),"")="자사 차량 운행"),"차량 미배정",""))</f>
        <v/>
      </c>
      <c r="N599" s="22" t="str">
        <f aca="false">IF($B599="","",IFERROR(INDEX(고객사!$J$5:$J$104,MATCH($B599,고객사!$A$5:$A$104,0)),0))</f>
        <v/>
      </c>
      <c r="O599" s="22" t="str">
        <f aca="false">IF($B599="","",G599*N599)</f>
        <v/>
      </c>
      <c r="P599" s="22" t="str">
        <f aca="false">IF($B599="","",IFERROR(INDEX(고객사!$K$5:$K$104,MATCH($B599,고객사!$A$5:$A$104,0)),0))</f>
        <v/>
      </c>
      <c r="Q599" s="22" t="str">
        <f aca="false">IF($B599="","",G599*P599)</f>
        <v/>
      </c>
      <c r="R599" s="22" t="str">
        <f aca="false">IF($B599="","",O599-Q599-L599)</f>
        <v/>
      </c>
      <c r="S599" s="21" t="str">
        <f aca="false">IF(OR($B599="",N(O599)=0),"",R599/O599)</f>
        <v/>
      </c>
      <c r="T599" s="14"/>
      <c r="U599" s="19" t="n">
        <f aca="false">IF(OR($B599="",$A599=""),0,IF(COUNTIFS($A$5:$A599,$A599,$B$5:$B599,$B599)=1,1,0))</f>
        <v>0</v>
      </c>
    </row>
    <row r="600" customFormat="false" ht="15" hidden="false" customHeight="false" outlineLevel="0" collapsed="false">
      <c r="A600" s="17"/>
      <c r="B600" s="13"/>
      <c r="C600" s="20" t="str">
        <f aca="false">IF($B600="","",IFERROR(INDEX(고객사!$B$5:$B$104,MATCH($B600,고객사!$A$5:$A$104,0)),"코드 확인"))</f>
        <v/>
      </c>
      <c r="D600" s="15"/>
      <c r="E600" s="15"/>
      <c r="F600" s="16"/>
      <c r="G600" s="16"/>
      <c r="H600" s="21" t="str">
        <f aca="false">IF(OR($B600="",F600=0),"",G600/F600)</f>
        <v/>
      </c>
      <c r="I600" s="22" t="str">
        <f aca="false">IF($B600="","",MAX(F600-G600,0))</f>
        <v/>
      </c>
      <c r="J600" s="23" t="str">
        <f aca="false">IF($B600="","",IFERROR(INDEX(고객사!$G$5:$G$104,MATCH($B600,고객사!$A$5:$A$104,0)),""))</f>
        <v/>
      </c>
      <c r="K600" s="16"/>
      <c r="L600" s="22" t="str">
        <f aca="false">IF($B600="","",K600*IFERROR(INDEX(고객사!$L$5:$L$104,MATCH($B600,고객사!$A$5:$A$104,0)),0))</f>
        <v/>
      </c>
      <c r="M600" s="23" t="str">
        <f aca="false">IF($B600="","",IF(AND(J600="N",G600&gt;0,K600=0,IFERROR(INDEX(고객사!$H$5:$H$104,MATCH($B600,고객사!$A$5:$A$104,0)),"")="자사 차량 운행"),"차량 미배정",""))</f>
        <v/>
      </c>
      <c r="N600" s="22" t="str">
        <f aca="false">IF($B600="","",IFERROR(INDEX(고객사!$J$5:$J$104,MATCH($B600,고객사!$A$5:$A$104,0)),0))</f>
        <v/>
      </c>
      <c r="O600" s="22" t="str">
        <f aca="false">IF($B600="","",G600*N600)</f>
        <v/>
      </c>
      <c r="P600" s="22" t="str">
        <f aca="false">IF($B600="","",IFERROR(INDEX(고객사!$K$5:$K$104,MATCH($B600,고객사!$A$5:$A$104,0)),0))</f>
        <v/>
      </c>
      <c r="Q600" s="22" t="str">
        <f aca="false">IF($B600="","",G600*P600)</f>
        <v/>
      </c>
      <c r="R600" s="22" t="str">
        <f aca="false">IF($B600="","",O600-Q600-L600)</f>
        <v/>
      </c>
      <c r="S600" s="21" t="str">
        <f aca="false">IF(OR($B600="",N(O600)=0),"",R600/O600)</f>
        <v/>
      </c>
      <c r="T600" s="14"/>
      <c r="U600" s="19" t="n">
        <f aca="false">IF(OR($B600="",$A600=""),0,IF(COUNTIFS($A$5:$A600,$A600,$B$5:$B600,$B600)=1,1,0))</f>
        <v>0</v>
      </c>
    </row>
    <row r="601" customFormat="false" ht="15" hidden="false" customHeight="false" outlineLevel="0" collapsed="false">
      <c r="A601" s="17"/>
      <c r="B601" s="13"/>
      <c r="C601" s="20" t="str">
        <f aca="false">IF($B601="","",IFERROR(INDEX(고객사!$B$5:$B$104,MATCH($B601,고객사!$A$5:$A$104,0)),"코드 확인"))</f>
        <v/>
      </c>
      <c r="D601" s="15"/>
      <c r="E601" s="15"/>
      <c r="F601" s="16"/>
      <c r="G601" s="16"/>
      <c r="H601" s="21" t="str">
        <f aca="false">IF(OR($B601="",F601=0),"",G601/F601)</f>
        <v/>
      </c>
      <c r="I601" s="22" t="str">
        <f aca="false">IF($B601="","",MAX(F601-G601,0))</f>
        <v/>
      </c>
      <c r="J601" s="23" t="str">
        <f aca="false">IF($B601="","",IFERROR(INDEX(고객사!$G$5:$G$104,MATCH($B601,고객사!$A$5:$A$104,0)),""))</f>
        <v/>
      </c>
      <c r="K601" s="16"/>
      <c r="L601" s="22" t="str">
        <f aca="false">IF($B601="","",K601*IFERROR(INDEX(고객사!$L$5:$L$104,MATCH($B601,고객사!$A$5:$A$104,0)),0))</f>
        <v/>
      </c>
      <c r="M601" s="23" t="str">
        <f aca="false">IF($B601="","",IF(AND(J601="N",G601&gt;0,K601=0,IFERROR(INDEX(고객사!$H$5:$H$104,MATCH($B601,고객사!$A$5:$A$104,0)),"")="자사 차량 운행"),"차량 미배정",""))</f>
        <v/>
      </c>
      <c r="N601" s="22" t="str">
        <f aca="false">IF($B601="","",IFERROR(INDEX(고객사!$J$5:$J$104,MATCH($B601,고객사!$A$5:$A$104,0)),0))</f>
        <v/>
      </c>
      <c r="O601" s="22" t="str">
        <f aca="false">IF($B601="","",G601*N601)</f>
        <v/>
      </c>
      <c r="P601" s="22" t="str">
        <f aca="false">IF($B601="","",IFERROR(INDEX(고객사!$K$5:$K$104,MATCH($B601,고객사!$A$5:$A$104,0)),0))</f>
        <v/>
      </c>
      <c r="Q601" s="22" t="str">
        <f aca="false">IF($B601="","",G601*P601)</f>
        <v/>
      </c>
      <c r="R601" s="22" t="str">
        <f aca="false">IF($B601="","",O601-Q601-L601)</f>
        <v/>
      </c>
      <c r="S601" s="21" t="str">
        <f aca="false">IF(OR($B601="",N(O601)=0),"",R601/O601)</f>
        <v/>
      </c>
      <c r="T601" s="14"/>
      <c r="U601" s="19" t="n">
        <f aca="false">IF(OR($B601="",$A601=""),0,IF(COUNTIFS($A$5:$A601,$A601,$B$5:$B601,$B601)=1,1,0))</f>
        <v>0</v>
      </c>
    </row>
    <row r="602" customFormat="false" ht="15" hidden="false" customHeight="false" outlineLevel="0" collapsed="false">
      <c r="A602" s="17"/>
      <c r="B602" s="13"/>
      <c r="C602" s="20" t="str">
        <f aca="false">IF($B602="","",IFERROR(INDEX(고객사!$B$5:$B$104,MATCH($B602,고객사!$A$5:$A$104,0)),"코드 확인"))</f>
        <v/>
      </c>
      <c r="D602" s="15"/>
      <c r="E602" s="15"/>
      <c r="F602" s="16"/>
      <c r="G602" s="16"/>
      <c r="H602" s="21" t="str">
        <f aca="false">IF(OR($B602="",F602=0),"",G602/F602)</f>
        <v/>
      </c>
      <c r="I602" s="22" t="str">
        <f aca="false">IF($B602="","",MAX(F602-G602,0))</f>
        <v/>
      </c>
      <c r="J602" s="23" t="str">
        <f aca="false">IF($B602="","",IFERROR(INDEX(고객사!$G$5:$G$104,MATCH($B602,고객사!$A$5:$A$104,0)),""))</f>
        <v/>
      </c>
      <c r="K602" s="16"/>
      <c r="L602" s="22" t="str">
        <f aca="false">IF($B602="","",K602*IFERROR(INDEX(고객사!$L$5:$L$104,MATCH($B602,고객사!$A$5:$A$104,0)),0))</f>
        <v/>
      </c>
      <c r="M602" s="23" t="str">
        <f aca="false">IF($B602="","",IF(AND(J602="N",G602&gt;0,K602=0,IFERROR(INDEX(고객사!$H$5:$H$104,MATCH($B602,고객사!$A$5:$A$104,0)),"")="자사 차량 운행"),"차량 미배정",""))</f>
        <v/>
      </c>
      <c r="N602" s="22" t="str">
        <f aca="false">IF($B602="","",IFERROR(INDEX(고객사!$J$5:$J$104,MATCH($B602,고객사!$A$5:$A$104,0)),0))</f>
        <v/>
      </c>
      <c r="O602" s="22" t="str">
        <f aca="false">IF($B602="","",G602*N602)</f>
        <v/>
      </c>
      <c r="P602" s="22" t="str">
        <f aca="false">IF($B602="","",IFERROR(INDEX(고객사!$K$5:$K$104,MATCH($B602,고객사!$A$5:$A$104,0)),0))</f>
        <v/>
      </c>
      <c r="Q602" s="22" t="str">
        <f aca="false">IF($B602="","",G602*P602)</f>
        <v/>
      </c>
      <c r="R602" s="22" t="str">
        <f aca="false">IF($B602="","",O602-Q602-L602)</f>
        <v/>
      </c>
      <c r="S602" s="21" t="str">
        <f aca="false">IF(OR($B602="",N(O602)=0),"",R602/O602)</f>
        <v/>
      </c>
      <c r="T602" s="14"/>
      <c r="U602" s="19" t="n">
        <f aca="false">IF(OR($B602="",$A602=""),0,IF(COUNTIFS($A$5:$A602,$A602,$B$5:$B602,$B602)=1,1,0))</f>
        <v>0</v>
      </c>
    </row>
    <row r="603" customFormat="false" ht="15" hidden="false" customHeight="false" outlineLevel="0" collapsed="false">
      <c r="A603" s="17"/>
      <c r="B603" s="13"/>
      <c r="C603" s="20" t="str">
        <f aca="false">IF($B603="","",IFERROR(INDEX(고객사!$B$5:$B$104,MATCH($B603,고객사!$A$5:$A$104,0)),"코드 확인"))</f>
        <v/>
      </c>
      <c r="D603" s="15"/>
      <c r="E603" s="15"/>
      <c r="F603" s="16"/>
      <c r="G603" s="16"/>
      <c r="H603" s="21" t="str">
        <f aca="false">IF(OR($B603="",F603=0),"",G603/F603)</f>
        <v/>
      </c>
      <c r="I603" s="22" t="str">
        <f aca="false">IF($B603="","",MAX(F603-G603,0))</f>
        <v/>
      </c>
      <c r="J603" s="23" t="str">
        <f aca="false">IF($B603="","",IFERROR(INDEX(고객사!$G$5:$G$104,MATCH($B603,고객사!$A$5:$A$104,0)),""))</f>
        <v/>
      </c>
      <c r="K603" s="16"/>
      <c r="L603" s="22" t="str">
        <f aca="false">IF($B603="","",K603*IFERROR(INDEX(고객사!$L$5:$L$104,MATCH($B603,고객사!$A$5:$A$104,0)),0))</f>
        <v/>
      </c>
      <c r="M603" s="23" t="str">
        <f aca="false">IF($B603="","",IF(AND(J603="N",G603&gt;0,K603=0,IFERROR(INDEX(고객사!$H$5:$H$104,MATCH($B603,고객사!$A$5:$A$104,0)),"")="자사 차량 운행"),"차량 미배정",""))</f>
        <v/>
      </c>
      <c r="N603" s="22" t="str">
        <f aca="false">IF($B603="","",IFERROR(INDEX(고객사!$J$5:$J$104,MATCH($B603,고객사!$A$5:$A$104,0)),0))</f>
        <v/>
      </c>
      <c r="O603" s="22" t="str">
        <f aca="false">IF($B603="","",G603*N603)</f>
        <v/>
      </c>
      <c r="P603" s="22" t="str">
        <f aca="false">IF($B603="","",IFERROR(INDEX(고객사!$K$5:$K$104,MATCH($B603,고객사!$A$5:$A$104,0)),0))</f>
        <v/>
      </c>
      <c r="Q603" s="22" t="str">
        <f aca="false">IF($B603="","",G603*P603)</f>
        <v/>
      </c>
      <c r="R603" s="22" t="str">
        <f aca="false">IF($B603="","",O603-Q603-L603)</f>
        <v/>
      </c>
      <c r="S603" s="21" t="str">
        <f aca="false">IF(OR($B603="",N(O603)=0),"",R603/O603)</f>
        <v/>
      </c>
      <c r="T603" s="14"/>
      <c r="U603" s="19" t="n">
        <f aca="false">IF(OR($B603="",$A603=""),0,IF(COUNTIFS($A$5:$A603,$A603,$B$5:$B603,$B603)=1,1,0))</f>
        <v>0</v>
      </c>
    </row>
    <row r="604" customFormat="false" ht="15" hidden="false" customHeight="false" outlineLevel="0" collapsed="false">
      <c r="A604" s="17"/>
      <c r="B604" s="13"/>
      <c r="C604" s="20" t="str">
        <f aca="false">IF($B604="","",IFERROR(INDEX(고객사!$B$5:$B$104,MATCH($B604,고객사!$A$5:$A$104,0)),"코드 확인"))</f>
        <v/>
      </c>
      <c r="D604" s="15"/>
      <c r="E604" s="15"/>
      <c r="F604" s="16"/>
      <c r="G604" s="16"/>
      <c r="H604" s="21" t="str">
        <f aca="false">IF(OR($B604="",F604=0),"",G604/F604)</f>
        <v/>
      </c>
      <c r="I604" s="22" t="str">
        <f aca="false">IF($B604="","",MAX(F604-G604,0))</f>
        <v/>
      </c>
      <c r="J604" s="23" t="str">
        <f aca="false">IF($B604="","",IFERROR(INDEX(고객사!$G$5:$G$104,MATCH($B604,고객사!$A$5:$A$104,0)),""))</f>
        <v/>
      </c>
      <c r="K604" s="16"/>
      <c r="L604" s="22" t="str">
        <f aca="false">IF($B604="","",K604*IFERROR(INDEX(고객사!$L$5:$L$104,MATCH($B604,고객사!$A$5:$A$104,0)),0))</f>
        <v/>
      </c>
      <c r="M604" s="23" t="str">
        <f aca="false">IF($B604="","",IF(AND(J604="N",G604&gt;0,K604=0,IFERROR(INDEX(고객사!$H$5:$H$104,MATCH($B604,고객사!$A$5:$A$104,0)),"")="자사 차량 운행"),"차량 미배정",""))</f>
        <v/>
      </c>
      <c r="N604" s="22" t="str">
        <f aca="false">IF($B604="","",IFERROR(INDEX(고객사!$J$5:$J$104,MATCH($B604,고객사!$A$5:$A$104,0)),0))</f>
        <v/>
      </c>
      <c r="O604" s="22" t="str">
        <f aca="false">IF($B604="","",G604*N604)</f>
        <v/>
      </c>
      <c r="P604" s="22" t="str">
        <f aca="false">IF($B604="","",IFERROR(INDEX(고객사!$K$5:$K$104,MATCH($B604,고객사!$A$5:$A$104,0)),0))</f>
        <v/>
      </c>
      <c r="Q604" s="22" t="str">
        <f aca="false">IF($B604="","",G604*P604)</f>
        <v/>
      </c>
      <c r="R604" s="22" t="str">
        <f aca="false">IF($B604="","",O604-Q604-L604)</f>
        <v/>
      </c>
      <c r="S604" s="21" t="str">
        <f aca="false">IF(OR($B604="",N(O604)=0),"",R604/O604)</f>
        <v/>
      </c>
      <c r="T604" s="14"/>
      <c r="U604" s="19" t="n">
        <f aca="false">IF(OR($B604="",$A604=""),0,IF(COUNTIFS($A$5:$A604,$A604,$B$5:$B604,$B604)=1,1,0))</f>
        <v>0</v>
      </c>
    </row>
    <row r="605" customFormat="false" ht="15" hidden="false" customHeight="false" outlineLevel="0" collapsed="false">
      <c r="A605" s="17"/>
      <c r="B605" s="13"/>
      <c r="C605" s="20" t="str">
        <f aca="false">IF($B605="","",IFERROR(INDEX(고객사!$B$5:$B$104,MATCH($B605,고객사!$A$5:$A$104,0)),"코드 확인"))</f>
        <v/>
      </c>
      <c r="D605" s="15"/>
      <c r="E605" s="15"/>
      <c r="F605" s="16"/>
      <c r="G605" s="16"/>
      <c r="H605" s="21" t="str">
        <f aca="false">IF(OR($B605="",F605=0),"",G605/F605)</f>
        <v/>
      </c>
      <c r="I605" s="22" t="str">
        <f aca="false">IF($B605="","",MAX(F605-G605,0))</f>
        <v/>
      </c>
      <c r="J605" s="23" t="str">
        <f aca="false">IF($B605="","",IFERROR(INDEX(고객사!$G$5:$G$104,MATCH($B605,고객사!$A$5:$A$104,0)),""))</f>
        <v/>
      </c>
      <c r="K605" s="16"/>
      <c r="L605" s="22" t="str">
        <f aca="false">IF($B605="","",K605*IFERROR(INDEX(고객사!$L$5:$L$104,MATCH($B605,고객사!$A$5:$A$104,0)),0))</f>
        <v/>
      </c>
      <c r="M605" s="23" t="str">
        <f aca="false">IF($B605="","",IF(AND(J605="N",G605&gt;0,K605=0,IFERROR(INDEX(고객사!$H$5:$H$104,MATCH($B605,고객사!$A$5:$A$104,0)),"")="자사 차량 운행"),"차량 미배정",""))</f>
        <v/>
      </c>
      <c r="N605" s="22" t="str">
        <f aca="false">IF($B605="","",IFERROR(INDEX(고객사!$J$5:$J$104,MATCH($B605,고객사!$A$5:$A$104,0)),0))</f>
        <v/>
      </c>
      <c r="O605" s="22" t="str">
        <f aca="false">IF($B605="","",G605*N605)</f>
        <v/>
      </c>
      <c r="P605" s="22" t="str">
        <f aca="false">IF($B605="","",IFERROR(INDEX(고객사!$K$5:$K$104,MATCH($B605,고객사!$A$5:$A$104,0)),0))</f>
        <v/>
      </c>
      <c r="Q605" s="22" t="str">
        <f aca="false">IF($B605="","",G605*P605)</f>
        <v/>
      </c>
      <c r="R605" s="22" t="str">
        <f aca="false">IF($B605="","",O605-Q605-L605)</f>
        <v/>
      </c>
      <c r="S605" s="21" t="str">
        <f aca="false">IF(OR($B605="",N(O605)=0),"",R605/O605)</f>
        <v/>
      </c>
      <c r="T605" s="14"/>
      <c r="U605" s="19" t="n">
        <f aca="false">IF(OR($B605="",$A605=""),0,IF(COUNTIFS($A$5:$A605,$A605,$B$5:$B605,$B605)=1,1,0))</f>
        <v>0</v>
      </c>
    </row>
    <row r="606" customFormat="false" ht="15" hidden="false" customHeight="false" outlineLevel="0" collapsed="false">
      <c r="A606" s="17"/>
      <c r="B606" s="13"/>
      <c r="C606" s="20" t="str">
        <f aca="false">IF($B606="","",IFERROR(INDEX(고객사!$B$5:$B$104,MATCH($B606,고객사!$A$5:$A$104,0)),"코드 확인"))</f>
        <v/>
      </c>
      <c r="D606" s="15"/>
      <c r="E606" s="15"/>
      <c r="F606" s="16"/>
      <c r="G606" s="16"/>
      <c r="H606" s="21" t="str">
        <f aca="false">IF(OR($B606="",F606=0),"",G606/F606)</f>
        <v/>
      </c>
      <c r="I606" s="22" t="str">
        <f aca="false">IF($B606="","",MAX(F606-G606,0))</f>
        <v/>
      </c>
      <c r="J606" s="23" t="str">
        <f aca="false">IF($B606="","",IFERROR(INDEX(고객사!$G$5:$G$104,MATCH($B606,고객사!$A$5:$A$104,0)),""))</f>
        <v/>
      </c>
      <c r="K606" s="16"/>
      <c r="L606" s="22" t="str">
        <f aca="false">IF($B606="","",K606*IFERROR(INDEX(고객사!$L$5:$L$104,MATCH($B606,고객사!$A$5:$A$104,0)),0))</f>
        <v/>
      </c>
      <c r="M606" s="23" t="str">
        <f aca="false">IF($B606="","",IF(AND(J606="N",G606&gt;0,K606=0,IFERROR(INDEX(고객사!$H$5:$H$104,MATCH($B606,고객사!$A$5:$A$104,0)),"")="자사 차량 운행"),"차량 미배정",""))</f>
        <v/>
      </c>
      <c r="N606" s="22" t="str">
        <f aca="false">IF($B606="","",IFERROR(INDEX(고객사!$J$5:$J$104,MATCH($B606,고객사!$A$5:$A$104,0)),0))</f>
        <v/>
      </c>
      <c r="O606" s="22" t="str">
        <f aca="false">IF($B606="","",G606*N606)</f>
        <v/>
      </c>
      <c r="P606" s="22" t="str">
        <f aca="false">IF($B606="","",IFERROR(INDEX(고객사!$K$5:$K$104,MATCH($B606,고객사!$A$5:$A$104,0)),0))</f>
        <v/>
      </c>
      <c r="Q606" s="22" t="str">
        <f aca="false">IF($B606="","",G606*P606)</f>
        <v/>
      </c>
      <c r="R606" s="22" t="str">
        <f aca="false">IF($B606="","",O606-Q606-L606)</f>
        <v/>
      </c>
      <c r="S606" s="21" t="str">
        <f aca="false">IF(OR($B606="",N(O606)=0),"",R606/O606)</f>
        <v/>
      </c>
      <c r="T606" s="14"/>
      <c r="U606" s="19" t="n">
        <f aca="false">IF(OR($B606="",$A606=""),0,IF(COUNTIFS($A$5:$A606,$A606,$B$5:$B606,$B606)=1,1,0))</f>
        <v>0</v>
      </c>
    </row>
    <row r="607" customFormat="false" ht="15" hidden="false" customHeight="false" outlineLevel="0" collapsed="false">
      <c r="A607" s="17"/>
      <c r="B607" s="13"/>
      <c r="C607" s="20" t="str">
        <f aca="false">IF($B607="","",IFERROR(INDEX(고객사!$B$5:$B$104,MATCH($B607,고객사!$A$5:$A$104,0)),"코드 확인"))</f>
        <v/>
      </c>
      <c r="D607" s="15"/>
      <c r="E607" s="15"/>
      <c r="F607" s="16"/>
      <c r="G607" s="16"/>
      <c r="H607" s="21" t="str">
        <f aca="false">IF(OR($B607="",F607=0),"",G607/F607)</f>
        <v/>
      </c>
      <c r="I607" s="22" t="str">
        <f aca="false">IF($B607="","",MAX(F607-G607,0))</f>
        <v/>
      </c>
      <c r="J607" s="23" t="str">
        <f aca="false">IF($B607="","",IFERROR(INDEX(고객사!$G$5:$G$104,MATCH($B607,고객사!$A$5:$A$104,0)),""))</f>
        <v/>
      </c>
      <c r="K607" s="16"/>
      <c r="L607" s="22" t="str">
        <f aca="false">IF($B607="","",K607*IFERROR(INDEX(고객사!$L$5:$L$104,MATCH($B607,고객사!$A$5:$A$104,0)),0))</f>
        <v/>
      </c>
      <c r="M607" s="23" t="str">
        <f aca="false">IF($B607="","",IF(AND(J607="N",G607&gt;0,K607=0,IFERROR(INDEX(고객사!$H$5:$H$104,MATCH($B607,고객사!$A$5:$A$104,0)),"")="자사 차량 운행"),"차량 미배정",""))</f>
        <v/>
      </c>
      <c r="N607" s="22" t="str">
        <f aca="false">IF($B607="","",IFERROR(INDEX(고객사!$J$5:$J$104,MATCH($B607,고객사!$A$5:$A$104,0)),0))</f>
        <v/>
      </c>
      <c r="O607" s="22" t="str">
        <f aca="false">IF($B607="","",G607*N607)</f>
        <v/>
      </c>
      <c r="P607" s="22" t="str">
        <f aca="false">IF($B607="","",IFERROR(INDEX(고객사!$K$5:$K$104,MATCH($B607,고객사!$A$5:$A$104,0)),0))</f>
        <v/>
      </c>
      <c r="Q607" s="22" t="str">
        <f aca="false">IF($B607="","",G607*P607)</f>
        <v/>
      </c>
      <c r="R607" s="22" t="str">
        <f aca="false">IF($B607="","",O607-Q607-L607)</f>
        <v/>
      </c>
      <c r="S607" s="21" t="str">
        <f aca="false">IF(OR($B607="",N(O607)=0),"",R607/O607)</f>
        <v/>
      </c>
      <c r="T607" s="14"/>
      <c r="U607" s="19" t="n">
        <f aca="false">IF(OR($B607="",$A607=""),0,IF(COUNTIFS($A$5:$A607,$A607,$B$5:$B607,$B607)=1,1,0))</f>
        <v>0</v>
      </c>
    </row>
    <row r="608" customFormat="false" ht="15" hidden="false" customHeight="false" outlineLevel="0" collapsed="false">
      <c r="A608" s="17"/>
      <c r="B608" s="13"/>
      <c r="C608" s="20" t="str">
        <f aca="false">IF($B608="","",IFERROR(INDEX(고객사!$B$5:$B$104,MATCH($B608,고객사!$A$5:$A$104,0)),"코드 확인"))</f>
        <v/>
      </c>
      <c r="D608" s="15"/>
      <c r="E608" s="15"/>
      <c r="F608" s="16"/>
      <c r="G608" s="16"/>
      <c r="H608" s="21" t="str">
        <f aca="false">IF(OR($B608="",F608=0),"",G608/F608)</f>
        <v/>
      </c>
      <c r="I608" s="22" t="str">
        <f aca="false">IF($B608="","",MAX(F608-G608,0))</f>
        <v/>
      </c>
      <c r="J608" s="23" t="str">
        <f aca="false">IF($B608="","",IFERROR(INDEX(고객사!$G$5:$G$104,MATCH($B608,고객사!$A$5:$A$104,0)),""))</f>
        <v/>
      </c>
      <c r="K608" s="16"/>
      <c r="L608" s="22" t="str">
        <f aca="false">IF($B608="","",K608*IFERROR(INDEX(고객사!$L$5:$L$104,MATCH($B608,고객사!$A$5:$A$104,0)),0))</f>
        <v/>
      </c>
      <c r="M608" s="23" t="str">
        <f aca="false">IF($B608="","",IF(AND(J608="N",G608&gt;0,K608=0,IFERROR(INDEX(고객사!$H$5:$H$104,MATCH($B608,고객사!$A$5:$A$104,0)),"")="자사 차량 운행"),"차량 미배정",""))</f>
        <v/>
      </c>
      <c r="N608" s="22" t="str">
        <f aca="false">IF($B608="","",IFERROR(INDEX(고객사!$J$5:$J$104,MATCH($B608,고객사!$A$5:$A$104,0)),0))</f>
        <v/>
      </c>
      <c r="O608" s="22" t="str">
        <f aca="false">IF($B608="","",G608*N608)</f>
        <v/>
      </c>
      <c r="P608" s="22" t="str">
        <f aca="false">IF($B608="","",IFERROR(INDEX(고객사!$K$5:$K$104,MATCH($B608,고객사!$A$5:$A$104,0)),0))</f>
        <v/>
      </c>
      <c r="Q608" s="22" t="str">
        <f aca="false">IF($B608="","",G608*P608)</f>
        <v/>
      </c>
      <c r="R608" s="22" t="str">
        <f aca="false">IF($B608="","",O608-Q608-L608)</f>
        <v/>
      </c>
      <c r="S608" s="21" t="str">
        <f aca="false">IF(OR($B608="",N(O608)=0),"",R608/O608)</f>
        <v/>
      </c>
      <c r="T608" s="14"/>
      <c r="U608" s="19" t="n">
        <f aca="false">IF(OR($B608="",$A608=""),0,IF(COUNTIFS($A$5:$A608,$A608,$B$5:$B608,$B608)=1,1,0))</f>
        <v>0</v>
      </c>
    </row>
    <row r="609" customFormat="false" ht="15" hidden="false" customHeight="false" outlineLevel="0" collapsed="false">
      <c r="A609" s="17"/>
      <c r="B609" s="13"/>
      <c r="C609" s="20" t="str">
        <f aca="false">IF($B609="","",IFERROR(INDEX(고객사!$B$5:$B$104,MATCH($B609,고객사!$A$5:$A$104,0)),"코드 확인"))</f>
        <v/>
      </c>
      <c r="D609" s="15"/>
      <c r="E609" s="15"/>
      <c r="F609" s="16"/>
      <c r="G609" s="16"/>
      <c r="H609" s="21" t="str">
        <f aca="false">IF(OR($B609="",F609=0),"",G609/F609)</f>
        <v/>
      </c>
      <c r="I609" s="22" t="str">
        <f aca="false">IF($B609="","",MAX(F609-G609,0))</f>
        <v/>
      </c>
      <c r="J609" s="23" t="str">
        <f aca="false">IF($B609="","",IFERROR(INDEX(고객사!$G$5:$G$104,MATCH($B609,고객사!$A$5:$A$104,0)),""))</f>
        <v/>
      </c>
      <c r="K609" s="16"/>
      <c r="L609" s="22" t="str">
        <f aca="false">IF($B609="","",K609*IFERROR(INDEX(고객사!$L$5:$L$104,MATCH($B609,고객사!$A$5:$A$104,0)),0))</f>
        <v/>
      </c>
      <c r="M609" s="23" t="str">
        <f aca="false">IF($B609="","",IF(AND(J609="N",G609&gt;0,K609=0,IFERROR(INDEX(고객사!$H$5:$H$104,MATCH($B609,고객사!$A$5:$A$104,0)),"")="자사 차량 운행"),"차량 미배정",""))</f>
        <v/>
      </c>
      <c r="N609" s="22" t="str">
        <f aca="false">IF($B609="","",IFERROR(INDEX(고객사!$J$5:$J$104,MATCH($B609,고객사!$A$5:$A$104,0)),0))</f>
        <v/>
      </c>
      <c r="O609" s="22" t="str">
        <f aca="false">IF($B609="","",G609*N609)</f>
        <v/>
      </c>
      <c r="P609" s="22" t="str">
        <f aca="false">IF($B609="","",IFERROR(INDEX(고객사!$K$5:$K$104,MATCH($B609,고객사!$A$5:$A$104,0)),0))</f>
        <v/>
      </c>
      <c r="Q609" s="22" t="str">
        <f aca="false">IF($B609="","",G609*P609)</f>
        <v/>
      </c>
      <c r="R609" s="22" t="str">
        <f aca="false">IF($B609="","",O609-Q609-L609)</f>
        <v/>
      </c>
      <c r="S609" s="21" t="str">
        <f aca="false">IF(OR($B609="",N(O609)=0),"",R609/O609)</f>
        <v/>
      </c>
      <c r="T609" s="14"/>
      <c r="U609" s="19" t="n">
        <f aca="false">IF(OR($B609="",$A609=""),0,IF(COUNTIFS($A$5:$A609,$A609,$B$5:$B609,$B609)=1,1,0))</f>
        <v>0</v>
      </c>
    </row>
    <row r="610" customFormat="false" ht="15" hidden="false" customHeight="false" outlineLevel="0" collapsed="false">
      <c r="A610" s="17"/>
      <c r="B610" s="13"/>
      <c r="C610" s="20" t="str">
        <f aca="false">IF($B610="","",IFERROR(INDEX(고객사!$B$5:$B$104,MATCH($B610,고객사!$A$5:$A$104,0)),"코드 확인"))</f>
        <v/>
      </c>
      <c r="D610" s="15"/>
      <c r="E610" s="15"/>
      <c r="F610" s="16"/>
      <c r="G610" s="16"/>
      <c r="H610" s="21" t="str">
        <f aca="false">IF(OR($B610="",F610=0),"",G610/F610)</f>
        <v/>
      </c>
      <c r="I610" s="22" t="str">
        <f aca="false">IF($B610="","",MAX(F610-G610,0))</f>
        <v/>
      </c>
      <c r="J610" s="23" t="str">
        <f aca="false">IF($B610="","",IFERROR(INDEX(고객사!$G$5:$G$104,MATCH($B610,고객사!$A$5:$A$104,0)),""))</f>
        <v/>
      </c>
      <c r="K610" s="16"/>
      <c r="L610" s="22" t="str">
        <f aca="false">IF($B610="","",K610*IFERROR(INDEX(고객사!$L$5:$L$104,MATCH($B610,고객사!$A$5:$A$104,0)),0))</f>
        <v/>
      </c>
      <c r="M610" s="23" t="str">
        <f aca="false">IF($B610="","",IF(AND(J610="N",G610&gt;0,K610=0,IFERROR(INDEX(고객사!$H$5:$H$104,MATCH($B610,고객사!$A$5:$A$104,0)),"")="자사 차량 운행"),"차량 미배정",""))</f>
        <v/>
      </c>
      <c r="N610" s="22" t="str">
        <f aca="false">IF($B610="","",IFERROR(INDEX(고객사!$J$5:$J$104,MATCH($B610,고객사!$A$5:$A$104,0)),0))</f>
        <v/>
      </c>
      <c r="O610" s="22" t="str">
        <f aca="false">IF($B610="","",G610*N610)</f>
        <v/>
      </c>
      <c r="P610" s="22" t="str">
        <f aca="false">IF($B610="","",IFERROR(INDEX(고객사!$K$5:$K$104,MATCH($B610,고객사!$A$5:$A$104,0)),0))</f>
        <v/>
      </c>
      <c r="Q610" s="22" t="str">
        <f aca="false">IF($B610="","",G610*P610)</f>
        <v/>
      </c>
      <c r="R610" s="22" t="str">
        <f aca="false">IF($B610="","",O610-Q610-L610)</f>
        <v/>
      </c>
      <c r="S610" s="21" t="str">
        <f aca="false">IF(OR($B610="",N(O610)=0),"",R610/O610)</f>
        <v/>
      </c>
      <c r="T610" s="14"/>
      <c r="U610" s="19" t="n">
        <f aca="false">IF(OR($B610="",$A610=""),0,IF(COUNTIFS($A$5:$A610,$A610,$B$5:$B610,$B610)=1,1,0))</f>
        <v>0</v>
      </c>
    </row>
    <row r="611" customFormat="false" ht="15" hidden="false" customHeight="false" outlineLevel="0" collapsed="false">
      <c r="A611" s="17"/>
      <c r="B611" s="13"/>
      <c r="C611" s="20" t="str">
        <f aca="false">IF($B611="","",IFERROR(INDEX(고객사!$B$5:$B$104,MATCH($B611,고객사!$A$5:$A$104,0)),"코드 확인"))</f>
        <v/>
      </c>
      <c r="D611" s="15"/>
      <c r="E611" s="15"/>
      <c r="F611" s="16"/>
      <c r="G611" s="16"/>
      <c r="H611" s="21" t="str">
        <f aca="false">IF(OR($B611="",F611=0),"",G611/F611)</f>
        <v/>
      </c>
      <c r="I611" s="22" t="str">
        <f aca="false">IF($B611="","",MAX(F611-G611,0))</f>
        <v/>
      </c>
      <c r="J611" s="23" t="str">
        <f aca="false">IF($B611="","",IFERROR(INDEX(고객사!$G$5:$G$104,MATCH($B611,고객사!$A$5:$A$104,0)),""))</f>
        <v/>
      </c>
      <c r="K611" s="16"/>
      <c r="L611" s="22" t="str">
        <f aca="false">IF($B611="","",K611*IFERROR(INDEX(고객사!$L$5:$L$104,MATCH($B611,고객사!$A$5:$A$104,0)),0))</f>
        <v/>
      </c>
      <c r="M611" s="23" t="str">
        <f aca="false">IF($B611="","",IF(AND(J611="N",G611&gt;0,K611=0,IFERROR(INDEX(고객사!$H$5:$H$104,MATCH($B611,고객사!$A$5:$A$104,0)),"")="자사 차량 운행"),"차량 미배정",""))</f>
        <v/>
      </c>
      <c r="N611" s="22" t="str">
        <f aca="false">IF($B611="","",IFERROR(INDEX(고객사!$J$5:$J$104,MATCH($B611,고객사!$A$5:$A$104,0)),0))</f>
        <v/>
      </c>
      <c r="O611" s="22" t="str">
        <f aca="false">IF($B611="","",G611*N611)</f>
        <v/>
      </c>
      <c r="P611" s="22" t="str">
        <f aca="false">IF($B611="","",IFERROR(INDEX(고객사!$K$5:$K$104,MATCH($B611,고객사!$A$5:$A$104,0)),0))</f>
        <v/>
      </c>
      <c r="Q611" s="22" t="str">
        <f aca="false">IF($B611="","",G611*P611)</f>
        <v/>
      </c>
      <c r="R611" s="22" t="str">
        <f aca="false">IF($B611="","",O611-Q611-L611)</f>
        <v/>
      </c>
      <c r="S611" s="21" t="str">
        <f aca="false">IF(OR($B611="",N(O611)=0),"",R611/O611)</f>
        <v/>
      </c>
      <c r="T611" s="14"/>
      <c r="U611" s="19" t="n">
        <f aca="false">IF(OR($B611="",$A611=""),0,IF(COUNTIFS($A$5:$A611,$A611,$B$5:$B611,$B611)=1,1,0))</f>
        <v>0</v>
      </c>
    </row>
    <row r="612" customFormat="false" ht="15" hidden="false" customHeight="false" outlineLevel="0" collapsed="false">
      <c r="A612" s="17"/>
      <c r="B612" s="13"/>
      <c r="C612" s="20" t="str">
        <f aca="false">IF($B612="","",IFERROR(INDEX(고객사!$B$5:$B$104,MATCH($B612,고객사!$A$5:$A$104,0)),"코드 확인"))</f>
        <v/>
      </c>
      <c r="D612" s="15"/>
      <c r="E612" s="15"/>
      <c r="F612" s="16"/>
      <c r="G612" s="16"/>
      <c r="H612" s="21" t="str">
        <f aca="false">IF(OR($B612="",F612=0),"",G612/F612)</f>
        <v/>
      </c>
      <c r="I612" s="22" t="str">
        <f aca="false">IF($B612="","",MAX(F612-G612,0))</f>
        <v/>
      </c>
      <c r="J612" s="23" t="str">
        <f aca="false">IF($B612="","",IFERROR(INDEX(고객사!$G$5:$G$104,MATCH($B612,고객사!$A$5:$A$104,0)),""))</f>
        <v/>
      </c>
      <c r="K612" s="16"/>
      <c r="L612" s="22" t="str">
        <f aca="false">IF($B612="","",K612*IFERROR(INDEX(고객사!$L$5:$L$104,MATCH($B612,고객사!$A$5:$A$104,0)),0))</f>
        <v/>
      </c>
      <c r="M612" s="23" t="str">
        <f aca="false">IF($B612="","",IF(AND(J612="N",G612&gt;0,K612=0,IFERROR(INDEX(고객사!$H$5:$H$104,MATCH($B612,고객사!$A$5:$A$104,0)),"")="자사 차량 운행"),"차량 미배정",""))</f>
        <v/>
      </c>
      <c r="N612" s="22" t="str">
        <f aca="false">IF($B612="","",IFERROR(INDEX(고객사!$J$5:$J$104,MATCH($B612,고객사!$A$5:$A$104,0)),0))</f>
        <v/>
      </c>
      <c r="O612" s="22" t="str">
        <f aca="false">IF($B612="","",G612*N612)</f>
        <v/>
      </c>
      <c r="P612" s="22" t="str">
        <f aca="false">IF($B612="","",IFERROR(INDEX(고객사!$K$5:$K$104,MATCH($B612,고객사!$A$5:$A$104,0)),0))</f>
        <v/>
      </c>
      <c r="Q612" s="22" t="str">
        <f aca="false">IF($B612="","",G612*P612)</f>
        <v/>
      </c>
      <c r="R612" s="22" t="str">
        <f aca="false">IF($B612="","",O612-Q612-L612)</f>
        <v/>
      </c>
      <c r="S612" s="21" t="str">
        <f aca="false">IF(OR($B612="",N(O612)=0),"",R612/O612)</f>
        <v/>
      </c>
      <c r="T612" s="14"/>
      <c r="U612" s="19" t="n">
        <f aca="false">IF(OR($B612="",$A612=""),0,IF(COUNTIFS($A$5:$A612,$A612,$B$5:$B612,$B612)=1,1,0))</f>
        <v>0</v>
      </c>
    </row>
    <row r="613" customFormat="false" ht="15" hidden="false" customHeight="false" outlineLevel="0" collapsed="false">
      <c r="A613" s="17"/>
      <c r="B613" s="13"/>
      <c r="C613" s="20" t="str">
        <f aca="false">IF($B613="","",IFERROR(INDEX(고객사!$B$5:$B$104,MATCH($B613,고객사!$A$5:$A$104,0)),"코드 확인"))</f>
        <v/>
      </c>
      <c r="D613" s="15"/>
      <c r="E613" s="15"/>
      <c r="F613" s="16"/>
      <c r="G613" s="16"/>
      <c r="H613" s="21" t="str">
        <f aca="false">IF(OR($B613="",F613=0),"",G613/F613)</f>
        <v/>
      </c>
      <c r="I613" s="22" t="str">
        <f aca="false">IF($B613="","",MAX(F613-G613,0))</f>
        <v/>
      </c>
      <c r="J613" s="23" t="str">
        <f aca="false">IF($B613="","",IFERROR(INDEX(고객사!$G$5:$G$104,MATCH($B613,고객사!$A$5:$A$104,0)),""))</f>
        <v/>
      </c>
      <c r="K613" s="16"/>
      <c r="L613" s="22" t="str">
        <f aca="false">IF($B613="","",K613*IFERROR(INDEX(고객사!$L$5:$L$104,MATCH($B613,고객사!$A$5:$A$104,0)),0))</f>
        <v/>
      </c>
      <c r="M613" s="23" t="str">
        <f aca="false">IF($B613="","",IF(AND(J613="N",G613&gt;0,K613=0,IFERROR(INDEX(고객사!$H$5:$H$104,MATCH($B613,고객사!$A$5:$A$104,0)),"")="자사 차량 운행"),"차량 미배정",""))</f>
        <v/>
      </c>
      <c r="N613" s="22" t="str">
        <f aca="false">IF($B613="","",IFERROR(INDEX(고객사!$J$5:$J$104,MATCH($B613,고객사!$A$5:$A$104,0)),0))</f>
        <v/>
      </c>
      <c r="O613" s="22" t="str">
        <f aca="false">IF($B613="","",G613*N613)</f>
        <v/>
      </c>
      <c r="P613" s="22" t="str">
        <f aca="false">IF($B613="","",IFERROR(INDEX(고객사!$K$5:$K$104,MATCH($B613,고객사!$A$5:$A$104,0)),0))</f>
        <v/>
      </c>
      <c r="Q613" s="22" t="str">
        <f aca="false">IF($B613="","",G613*P613)</f>
        <v/>
      </c>
      <c r="R613" s="22" t="str">
        <f aca="false">IF($B613="","",O613-Q613-L613)</f>
        <v/>
      </c>
      <c r="S613" s="21" t="str">
        <f aca="false">IF(OR($B613="",N(O613)=0),"",R613/O613)</f>
        <v/>
      </c>
      <c r="T613" s="14"/>
      <c r="U613" s="19" t="n">
        <f aca="false">IF(OR($B613="",$A613=""),0,IF(COUNTIFS($A$5:$A613,$A613,$B$5:$B613,$B613)=1,1,0))</f>
        <v>0</v>
      </c>
    </row>
    <row r="614" customFormat="false" ht="15" hidden="false" customHeight="false" outlineLevel="0" collapsed="false">
      <c r="A614" s="17"/>
      <c r="B614" s="13"/>
      <c r="C614" s="20" t="str">
        <f aca="false">IF($B614="","",IFERROR(INDEX(고객사!$B$5:$B$104,MATCH($B614,고객사!$A$5:$A$104,0)),"코드 확인"))</f>
        <v/>
      </c>
      <c r="D614" s="15"/>
      <c r="E614" s="15"/>
      <c r="F614" s="16"/>
      <c r="G614" s="16"/>
      <c r="H614" s="21" t="str">
        <f aca="false">IF(OR($B614="",F614=0),"",G614/F614)</f>
        <v/>
      </c>
      <c r="I614" s="22" t="str">
        <f aca="false">IF($B614="","",MAX(F614-G614,0))</f>
        <v/>
      </c>
      <c r="J614" s="23" t="str">
        <f aca="false">IF($B614="","",IFERROR(INDEX(고객사!$G$5:$G$104,MATCH($B614,고객사!$A$5:$A$104,0)),""))</f>
        <v/>
      </c>
      <c r="K614" s="16"/>
      <c r="L614" s="22" t="str">
        <f aca="false">IF($B614="","",K614*IFERROR(INDEX(고객사!$L$5:$L$104,MATCH($B614,고객사!$A$5:$A$104,0)),0))</f>
        <v/>
      </c>
      <c r="M614" s="23" t="str">
        <f aca="false">IF($B614="","",IF(AND(J614="N",G614&gt;0,K614=0,IFERROR(INDEX(고객사!$H$5:$H$104,MATCH($B614,고객사!$A$5:$A$104,0)),"")="자사 차량 운행"),"차량 미배정",""))</f>
        <v/>
      </c>
      <c r="N614" s="22" t="str">
        <f aca="false">IF($B614="","",IFERROR(INDEX(고객사!$J$5:$J$104,MATCH($B614,고객사!$A$5:$A$104,0)),0))</f>
        <v/>
      </c>
      <c r="O614" s="22" t="str">
        <f aca="false">IF($B614="","",G614*N614)</f>
        <v/>
      </c>
      <c r="P614" s="22" t="str">
        <f aca="false">IF($B614="","",IFERROR(INDEX(고객사!$K$5:$K$104,MATCH($B614,고객사!$A$5:$A$104,0)),0))</f>
        <v/>
      </c>
      <c r="Q614" s="22" t="str">
        <f aca="false">IF($B614="","",G614*P614)</f>
        <v/>
      </c>
      <c r="R614" s="22" t="str">
        <f aca="false">IF($B614="","",O614-Q614-L614)</f>
        <v/>
      </c>
      <c r="S614" s="21" t="str">
        <f aca="false">IF(OR($B614="",N(O614)=0),"",R614/O614)</f>
        <v/>
      </c>
      <c r="T614" s="14"/>
      <c r="U614" s="19" t="n">
        <f aca="false">IF(OR($B614="",$A614=""),0,IF(COUNTIFS($A$5:$A614,$A614,$B$5:$B614,$B614)=1,1,0))</f>
        <v>0</v>
      </c>
    </row>
    <row r="615" customFormat="false" ht="15" hidden="false" customHeight="false" outlineLevel="0" collapsed="false">
      <c r="A615" s="17"/>
      <c r="B615" s="13"/>
      <c r="C615" s="20" t="str">
        <f aca="false">IF($B615="","",IFERROR(INDEX(고객사!$B$5:$B$104,MATCH($B615,고객사!$A$5:$A$104,0)),"코드 확인"))</f>
        <v/>
      </c>
      <c r="D615" s="15"/>
      <c r="E615" s="15"/>
      <c r="F615" s="16"/>
      <c r="G615" s="16"/>
      <c r="H615" s="21" t="str">
        <f aca="false">IF(OR($B615="",F615=0),"",G615/F615)</f>
        <v/>
      </c>
      <c r="I615" s="22" t="str">
        <f aca="false">IF($B615="","",MAX(F615-G615,0))</f>
        <v/>
      </c>
      <c r="J615" s="23" t="str">
        <f aca="false">IF($B615="","",IFERROR(INDEX(고객사!$G$5:$G$104,MATCH($B615,고객사!$A$5:$A$104,0)),""))</f>
        <v/>
      </c>
      <c r="K615" s="16"/>
      <c r="L615" s="22" t="str">
        <f aca="false">IF($B615="","",K615*IFERROR(INDEX(고객사!$L$5:$L$104,MATCH($B615,고객사!$A$5:$A$104,0)),0))</f>
        <v/>
      </c>
      <c r="M615" s="23" t="str">
        <f aca="false">IF($B615="","",IF(AND(J615="N",G615&gt;0,K615=0,IFERROR(INDEX(고객사!$H$5:$H$104,MATCH($B615,고객사!$A$5:$A$104,0)),"")="자사 차량 운행"),"차량 미배정",""))</f>
        <v/>
      </c>
      <c r="N615" s="22" t="str">
        <f aca="false">IF($B615="","",IFERROR(INDEX(고객사!$J$5:$J$104,MATCH($B615,고객사!$A$5:$A$104,0)),0))</f>
        <v/>
      </c>
      <c r="O615" s="22" t="str">
        <f aca="false">IF($B615="","",G615*N615)</f>
        <v/>
      </c>
      <c r="P615" s="22" t="str">
        <f aca="false">IF($B615="","",IFERROR(INDEX(고객사!$K$5:$K$104,MATCH($B615,고객사!$A$5:$A$104,0)),0))</f>
        <v/>
      </c>
      <c r="Q615" s="22" t="str">
        <f aca="false">IF($B615="","",G615*P615)</f>
        <v/>
      </c>
      <c r="R615" s="22" t="str">
        <f aca="false">IF($B615="","",O615-Q615-L615)</f>
        <v/>
      </c>
      <c r="S615" s="21" t="str">
        <f aca="false">IF(OR($B615="",N(O615)=0),"",R615/O615)</f>
        <v/>
      </c>
      <c r="T615" s="14"/>
      <c r="U615" s="19" t="n">
        <f aca="false">IF(OR($B615="",$A615=""),0,IF(COUNTIFS($A$5:$A615,$A615,$B$5:$B615,$B615)=1,1,0))</f>
        <v>0</v>
      </c>
    </row>
    <row r="616" customFormat="false" ht="15" hidden="false" customHeight="false" outlineLevel="0" collapsed="false">
      <c r="A616" s="17"/>
      <c r="B616" s="13"/>
      <c r="C616" s="20" t="str">
        <f aca="false">IF($B616="","",IFERROR(INDEX(고객사!$B$5:$B$104,MATCH($B616,고객사!$A$5:$A$104,0)),"코드 확인"))</f>
        <v/>
      </c>
      <c r="D616" s="15"/>
      <c r="E616" s="15"/>
      <c r="F616" s="16"/>
      <c r="G616" s="16"/>
      <c r="H616" s="21" t="str">
        <f aca="false">IF(OR($B616="",F616=0),"",G616/F616)</f>
        <v/>
      </c>
      <c r="I616" s="22" t="str">
        <f aca="false">IF($B616="","",MAX(F616-G616,0))</f>
        <v/>
      </c>
      <c r="J616" s="23" t="str">
        <f aca="false">IF($B616="","",IFERROR(INDEX(고객사!$G$5:$G$104,MATCH($B616,고객사!$A$5:$A$104,0)),""))</f>
        <v/>
      </c>
      <c r="K616" s="16"/>
      <c r="L616" s="22" t="str">
        <f aca="false">IF($B616="","",K616*IFERROR(INDEX(고객사!$L$5:$L$104,MATCH($B616,고객사!$A$5:$A$104,0)),0))</f>
        <v/>
      </c>
      <c r="M616" s="23" t="str">
        <f aca="false">IF($B616="","",IF(AND(J616="N",G616&gt;0,K616=0,IFERROR(INDEX(고객사!$H$5:$H$104,MATCH($B616,고객사!$A$5:$A$104,0)),"")="자사 차량 운행"),"차량 미배정",""))</f>
        <v/>
      </c>
      <c r="N616" s="22" t="str">
        <f aca="false">IF($B616="","",IFERROR(INDEX(고객사!$J$5:$J$104,MATCH($B616,고객사!$A$5:$A$104,0)),0))</f>
        <v/>
      </c>
      <c r="O616" s="22" t="str">
        <f aca="false">IF($B616="","",G616*N616)</f>
        <v/>
      </c>
      <c r="P616" s="22" t="str">
        <f aca="false">IF($B616="","",IFERROR(INDEX(고객사!$K$5:$K$104,MATCH($B616,고객사!$A$5:$A$104,0)),0))</f>
        <v/>
      </c>
      <c r="Q616" s="22" t="str">
        <f aca="false">IF($B616="","",G616*P616)</f>
        <v/>
      </c>
      <c r="R616" s="22" t="str">
        <f aca="false">IF($B616="","",O616-Q616-L616)</f>
        <v/>
      </c>
      <c r="S616" s="21" t="str">
        <f aca="false">IF(OR($B616="",N(O616)=0),"",R616/O616)</f>
        <v/>
      </c>
      <c r="T616" s="14"/>
      <c r="U616" s="19" t="n">
        <f aca="false">IF(OR($B616="",$A616=""),0,IF(COUNTIFS($A$5:$A616,$A616,$B$5:$B616,$B616)=1,1,0))</f>
        <v>0</v>
      </c>
    </row>
    <row r="617" customFormat="false" ht="15" hidden="false" customHeight="false" outlineLevel="0" collapsed="false">
      <c r="A617" s="17"/>
      <c r="B617" s="13"/>
      <c r="C617" s="20" t="str">
        <f aca="false">IF($B617="","",IFERROR(INDEX(고객사!$B$5:$B$104,MATCH($B617,고객사!$A$5:$A$104,0)),"코드 확인"))</f>
        <v/>
      </c>
      <c r="D617" s="15"/>
      <c r="E617" s="15"/>
      <c r="F617" s="16"/>
      <c r="G617" s="16"/>
      <c r="H617" s="21" t="str">
        <f aca="false">IF(OR($B617="",F617=0),"",G617/F617)</f>
        <v/>
      </c>
      <c r="I617" s="22" t="str">
        <f aca="false">IF($B617="","",MAX(F617-G617,0))</f>
        <v/>
      </c>
      <c r="J617" s="23" t="str">
        <f aca="false">IF($B617="","",IFERROR(INDEX(고객사!$G$5:$G$104,MATCH($B617,고객사!$A$5:$A$104,0)),""))</f>
        <v/>
      </c>
      <c r="K617" s="16"/>
      <c r="L617" s="22" t="str">
        <f aca="false">IF($B617="","",K617*IFERROR(INDEX(고객사!$L$5:$L$104,MATCH($B617,고객사!$A$5:$A$104,0)),0))</f>
        <v/>
      </c>
      <c r="M617" s="23" t="str">
        <f aca="false">IF($B617="","",IF(AND(J617="N",G617&gt;0,K617=0,IFERROR(INDEX(고객사!$H$5:$H$104,MATCH($B617,고객사!$A$5:$A$104,0)),"")="자사 차량 운행"),"차량 미배정",""))</f>
        <v/>
      </c>
      <c r="N617" s="22" t="str">
        <f aca="false">IF($B617="","",IFERROR(INDEX(고객사!$J$5:$J$104,MATCH($B617,고객사!$A$5:$A$104,0)),0))</f>
        <v/>
      </c>
      <c r="O617" s="22" t="str">
        <f aca="false">IF($B617="","",G617*N617)</f>
        <v/>
      </c>
      <c r="P617" s="22" t="str">
        <f aca="false">IF($B617="","",IFERROR(INDEX(고객사!$K$5:$K$104,MATCH($B617,고객사!$A$5:$A$104,0)),0))</f>
        <v/>
      </c>
      <c r="Q617" s="22" t="str">
        <f aca="false">IF($B617="","",G617*P617)</f>
        <v/>
      </c>
      <c r="R617" s="22" t="str">
        <f aca="false">IF($B617="","",O617-Q617-L617)</f>
        <v/>
      </c>
      <c r="S617" s="21" t="str">
        <f aca="false">IF(OR($B617="",N(O617)=0),"",R617/O617)</f>
        <v/>
      </c>
      <c r="T617" s="14"/>
      <c r="U617" s="19" t="n">
        <f aca="false">IF(OR($B617="",$A617=""),0,IF(COUNTIFS($A$5:$A617,$A617,$B$5:$B617,$B617)=1,1,0))</f>
        <v>0</v>
      </c>
    </row>
    <row r="618" customFormat="false" ht="15" hidden="false" customHeight="false" outlineLevel="0" collapsed="false">
      <c r="A618" s="17"/>
      <c r="B618" s="13"/>
      <c r="C618" s="20" t="str">
        <f aca="false">IF($B618="","",IFERROR(INDEX(고객사!$B$5:$B$104,MATCH($B618,고객사!$A$5:$A$104,0)),"코드 확인"))</f>
        <v/>
      </c>
      <c r="D618" s="15"/>
      <c r="E618" s="15"/>
      <c r="F618" s="16"/>
      <c r="G618" s="16"/>
      <c r="H618" s="21" t="str">
        <f aca="false">IF(OR($B618="",F618=0),"",G618/F618)</f>
        <v/>
      </c>
      <c r="I618" s="22" t="str">
        <f aca="false">IF($B618="","",MAX(F618-G618,0))</f>
        <v/>
      </c>
      <c r="J618" s="23" t="str">
        <f aca="false">IF($B618="","",IFERROR(INDEX(고객사!$G$5:$G$104,MATCH($B618,고객사!$A$5:$A$104,0)),""))</f>
        <v/>
      </c>
      <c r="K618" s="16"/>
      <c r="L618" s="22" t="str">
        <f aca="false">IF($B618="","",K618*IFERROR(INDEX(고객사!$L$5:$L$104,MATCH($B618,고객사!$A$5:$A$104,0)),0))</f>
        <v/>
      </c>
      <c r="M618" s="23" t="str">
        <f aca="false">IF($B618="","",IF(AND(J618="N",G618&gt;0,K618=0,IFERROR(INDEX(고객사!$H$5:$H$104,MATCH($B618,고객사!$A$5:$A$104,0)),"")="자사 차량 운행"),"차량 미배정",""))</f>
        <v/>
      </c>
      <c r="N618" s="22" t="str">
        <f aca="false">IF($B618="","",IFERROR(INDEX(고객사!$J$5:$J$104,MATCH($B618,고객사!$A$5:$A$104,0)),0))</f>
        <v/>
      </c>
      <c r="O618" s="22" t="str">
        <f aca="false">IF($B618="","",G618*N618)</f>
        <v/>
      </c>
      <c r="P618" s="22" t="str">
        <f aca="false">IF($B618="","",IFERROR(INDEX(고객사!$K$5:$K$104,MATCH($B618,고객사!$A$5:$A$104,0)),0))</f>
        <v/>
      </c>
      <c r="Q618" s="22" t="str">
        <f aca="false">IF($B618="","",G618*P618)</f>
        <v/>
      </c>
      <c r="R618" s="22" t="str">
        <f aca="false">IF($B618="","",O618-Q618-L618)</f>
        <v/>
      </c>
      <c r="S618" s="21" t="str">
        <f aca="false">IF(OR($B618="",N(O618)=0),"",R618/O618)</f>
        <v/>
      </c>
      <c r="T618" s="14"/>
      <c r="U618" s="19" t="n">
        <f aca="false">IF(OR($B618="",$A618=""),0,IF(COUNTIFS($A$5:$A618,$A618,$B$5:$B618,$B618)=1,1,0))</f>
        <v>0</v>
      </c>
    </row>
    <row r="619" customFormat="false" ht="15" hidden="false" customHeight="false" outlineLevel="0" collapsed="false">
      <c r="A619" s="17"/>
      <c r="B619" s="13"/>
      <c r="C619" s="20" t="str">
        <f aca="false">IF($B619="","",IFERROR(INDEX(고객사!$B$5:$B$104,MATCH($B619,고객사!$A$5:$A$104,0)),"코드 확인"))</f>
        <v/>
      </c>
      <c r="D619" s="15"/>
      <c r="E619" s="15"/>
      <c r="F619" s="16"/>
      <c r="G619" s="16"/>
      <c r="H619" s="21" t="str">
        <f aca="false">IF(OR($B619="",F619=0),"",G619/F619)</f>
        <v/>
      </c>
      <c r="I619" s="22" t="str">
        <f aca="false">IF($B619="","",MAX(F619-G619,0))</f>
        <v/>
      </c>
      <c r="J619" s="23" t="str">
        <f aca="false">IF($B619="","",IFERROR(INDEX(고객사!$G$5:$G$104,MATCH($B619,고객사!$A$5:$A$104,0)),""))</f>
        <v/>
      </c>
      <c r="K619" s="16"/>
      <c r="L619" s="22" t="str">
        <f aca="false">IF($B619="","",K619*IFERROR(INDEX(고객사!$L$5:$L$104,MATCH($B619,고객사!$A$5:$A$104,0)),0))</f>
        <v/>
      </c>
      <c r="M619" s="23" t="str">
        <f aca="false">IF($B619="","",IF(AND(J619="N",G619&gt;0,K619=0,IFERROR(INDEX(고객사!$H$5:$H$104,MATCH($B619,고객사!$A$5:$A$104,0)),"")="자사 차량 운행"),"차량 미배정",""))</f>
        <v/>
      </c>
      <c r="N619" s="22" t="str">
        <f aca="false">IF($B619="","",IFERROR(INDEX(고객사!$J$5:$J$104,MATCH($B619,고객사!$A$5:$A$104,0)),0))</f>
        <v/>
      </c>
      <c r="O619" s="22" t="str">
        <f aca="false">IF($B619="","",G619*N619)</f>
        <v/>
      </c>
      <c r="P619" s="22" t="str">
        <f aca="false">IF($B619="","",IFERROR(INDEX(고객사!$K$5:$K$104,MATCH($B619,고객사!$A$5:$A$104,0)),0))</f>
        <v/>
      </c>
      <c r="Q619" s="22" t="str">
        <f aca="false">IF($B619="","",G619*P619)</f>
        <v/>
      </c>
      <c r="R619" s="22" t="str">
        <f aca="false">IF($B619="","",O619-Q619-L619)</f>
        <v/>
      </c>
      <c r="S619" s="21" t="str">
        <f aca="false">IF(OR($B619="",N(O619)=0),"",R619/O619)</f>
        <v/>
      </c>
      <c r="T619" s="14"/>
      <c r="U619" s="19" t="n">
        <f aca="false">IF(OR($B619="",$A619=""),0,IF(COUNTIFS($A$5:$A619,$A619,$B$5:$B619,$B619)=1,1,0))</f>
        <v>0</v>
      </c>
    </row>
    <row r="620" customFormat="false" ht="15" hidden="false" customHeight="false" outlineLevel="0" collapsed="false">
      <c r="A620" s="17"/>
      <c r="B620" s="13"/>
      <c r="C620" s="20" t="str">
        <f aca="false">IF($B620="","",IFERROR(INDEX(고객사!$B$5:$B$104,MATCH($B620,고객사!$A$5:$A$104,0)),"코드 확인"))</f>
        <v/>
      </c>
      <c r="D620" s="15"/>
      <c r="E620" s="15"/>
      <c r="F620" s="16"/>
      <c r="G620" s="16"/>
      <c r="H620" s="21" t="str">
        <f aca="false">IF(OR($B620="",F620=0),"",G620/F620)</f>
        <v/>
      </c>
      <c r="I620" s="22" t="str">
        <f aca="false">IF($B620="","",MAX(F620-G620,0))</f>
        <v/>
      </c>
      <c r="J620" s="23" t="str">
        <f aca="false">IF($B620="","",IFERROR(INDEX(고객사!$G$5:$G$104,MATCH($B620,고객사!$A$5:$A$104,0)),""))</f>
        <v/>
      </c>
      <c r="K620" s="16"/>
      <c r="L620" s="22" t="str">
        <f aca="false">IF($B620="","",K620*IFERROR(INDEX(고객사!$L$5:$L$104,MATCH($B620,고객사!$A$5:$A$104,0)),0))</f>
        <v/>
      </c>
      <c r="M620" s="23" t="str">
        <f aca="false">IF($B620="","",IF(AND(J620="N",G620&gt;0,K620=0,IFERROR(INDEX(고객사!$H$5:$H$104,MATCH($B620,고객사!$A$5:$A$104,0)),"")="자사 차량 운행"),"차량 미배정",""))</f>
        <v/>
      </c>
      <c r="N620" s="22" t="str">
        <f aca="false">IF($B620="","",IFERROR(INDEX(고객사!$J$5:$J$104,MATCH($B620,고객사!$A$5:$A$104,0)),0))</f>
        <v/>
      </c>
      <c r="O620" s="22" t="str">
        <f aca="false">IF($B620="","",G620*N620)</f>
        <v/>
      </c>
      <c r="P620" s="22" t="str">
        <f aca="false">IF($B620="","",IFERROR(INDEX(고객사!$K$5:$K$104,MATCH($B620,고객사!$A$5:$A$104,0)),0))</f>
        <v/>
      </c>
      <c r="Q620" s="22" t="str">
        <f aca="false">IF($B620="","",G620*P620)</f>
        <v/>
      </c>
      <c r="R620" s="22" t="str">
        <f aca="false">IF($B620="","",O620-Q620-L620)</f>
        <v/>
      </c>
      <c r="S620" s="21" t="str">
        <f aca="false">IF(OR($B620="",N(O620)=0),"",R620/O620)</f>
        <v/>
      </c>
      <c r="T620" s="14"/>
      <c r="U620" s="19" t="n">
        <f aca="false">IF(OR($B620="",$A620=""),0,IF(COUNTIFS($A$5:$A620,$A620,$B$5:$B620,$B620)=1,1,0))</f>
        <v>0</v>
      </c>
    </row>
    <row r="621" customFormat="false" ht="15" hidden="false" customHeight="false" outlineLevel="0" collapsed="false">
      <c r="A621" s="17"/>
      <c r="B621" s="13"/>
      <c r="C621" s="20" t="str">
        <f aca="false">IF($B621="","",IFERROR(INDEX(고객사!$B$5:$B$104,MATCH($B621,고객사!$A$5:$A$104,0)),"코드 확인"))</f>
        <v/>
      </c>
      <c r="D621" s="15"/>
      <c r="E621" s="15"/>
      <c r="F621" s="16"/>
      <c r="G621" s="16"/>
      <c r="H621" s="21" t="str">
        <f aca="false">IF(OR($B621="",F621=0),"",G621/F621)</f>
        <v/>
      </c>
      <c r="I621" s="22" t="str">
        <f aca="false">IF($B621="","",MAX(F621-G621,0))</f>
        <v/>
      </c>
      <c r="J621" s="23" t="str">
        <f aca="false">IF($B621="","",IFERROR(INDEX(고객사!$G$5:$G$104,MATCH($B621,고객사!$A$5:$A$104,0)),""))</f>
        <v/>
      </c>
      <c r="K621" s="16"/>
      <c r="L621" s="22" t="str">
        <f aca="false">IF($B621="","",K621*IFERROR(INDEX(고객사!$L$5:$L$104,MATCH($B621,고객사!$A$5:$A$104,0)),0))</f>
        <v/>
      </c>
      <c r="M621" s="23" t="str">
        <f aca="false">IF($B621="","",IF(AND(J621="N",G621&gt;0,K621=0,IFERROR(INDEX(고객사!$H$5:$H$104,MATCH($B621,고객사!$A$5:$A$104,0)),"")="자사 차량 운행"),"차량 미배정",""))</f>
        <v/>
      </c>
      <c r="N621" s="22" t="str">
        <f aca="false">IF($B621="","",IFERROR(INDEX(고객사!$J$5:$J$104,MATCH($B621,고객사!$A$5:$A$104,0)),0))</f>
        <v/>
      </c>
      <c r="O621" s="22" t="str">
        <f aca="false">IF($B621="","",G621*N621)</f>
        <v/>
      </c>
      <c r="P621" s="22" t="str">
        <f aca="false">IF($B621="","",IFERROR(INDEX(고객사!$K$5:$K$104,MATCH($B621,고객사!$A$5:$A$104,0)),0))</f>
        <v/>
      </c>
      <c r="Q621" s="22" t="str">
        <f aca="false">IF($B621="","",G621*P621)</f>
        <v/>
      </c>
      <c r="R621" s="22" t="str">
        <f aca="false">IF($B621="","",O621-Q621-L621)</f>
        <v/>
      </c>
      <c r="S621" s="21" t="str">
        <f aca="false">IF(OR($B621="",N(O621)=0),"",R621/O621)</f>
        <v/>
      </c>
      <c r="T621" s="14"/>
      <c r="U621" s="19" t="n">
        <f aca="false">IF(OR($B621="",$A621=""),0,IF(COUNTIFS($A$5:$A621,$A621,$B$5:$B621,$B621)=1,1,0))</f>
        <v>0</v>
      </c>
    </row>
    <row r="622" customFormat="false" ht="15" hidden="false" customHeight="false" outlineLevel="0" collapsed="false">
      <c r="A622" s="17"/>
      <c r="B622" s="13"/>
      <c r="C622" s="20" t="str">
        <f aca="false">IF($B622="","",IFERROR(INDEX(고객사!$B$5:$B$104,MATCH($B622,고객사!$A$5:$A$104,0)),"코드 확인"))</f>
        <v/>
      </c>
      <c r="D622" s="15"/>
      <c r="E622" s="15"/>
      <c r="F622" s="16"/>
      <c r="G622" s="16"/>
      <c r="H622" s="21" t="str">
        <f aca="false">IF(OR($B622="",F622=0),"",G622/F622)</f>
        <v/>
      </c>
      <c r="I622" s="22" t="str">
        <f aca="false">IF($B622="","",MAX(F622-G622,0))</f>
        <v/>
      </c>
      <c r="J622" s="23" t="str">
        <f aca="false">IF($B622="","",IFERROR(INDEX(고객사!$G$5:$G$104,MATCH($B622,고객사!$A$5:$A$104,0)),""))</f>
        <v/>
      </c>
      <c r="K622" s="16"/>
      <c r="L622" s="22" t="str">
        <f aca="false">IF($B622="","",K622*IFERROR(INDEX(고객사!$L$5:$L$104,MATCH($B622,고객사!$A$5:$A$104,0)),0))</f>
        <v/>
      </c>
      <c r="M622" s="23" t="str">
        <f aca="false">IF($B622="","",IF(AND(J622="N",G622&gt;0,K622=0,IFERROR(INDEX(고객사!$H$5:$H$104,MATCH($B622,고객사!$A$5:$A$104,0)),"")="자사 차량 운행"),"차량 미배정",""))</f>
        <v/>
      </c>
      <c r="N622" s="22" t="str">
        <f aca="false">IF($B622="","",IFERROR(INDEX(고객사!$J$5:$J$104,MATCH($B622,고객사!$A$5:$A$104,0)),0))</f>
        <v/>
      </c>
      <c r="O622" s="22" t="str">
        <f aca="false">IF($B622="","",G622*N622)</f>
        <v/>
      </c>
      <c r="P622" s="22" t="str">
        <f aca="false">IF($B622="","",IFERROR(INDEX(고객사!$K$5:$K$104,MATCH($B622,고객사!$A$5:$A$104,0)),0))</f>
        <v/>
      </c>
      <c r="Q622" s="22" t="str">
        <f aca="false">IF($B622="","",G622*P622)</f>
        <v/>
      </c>
      <c r="R622" s="22" t="str">
        <f aca="false">IF($B622="","",O622-Q622-L622)</f>
        <v/>
      </c>
      <c r="S622" s="21" t="str">
        <f aca="false">IF(OR($B622="",N(O622)=0),"",R622/O622)</f>
        <v/>
      </c>
      <c r="T622" s="14"/>
      <c r="U622" s="19" t="n">
        <f aca="false">IF(OR($B622="",$A622=""),0,IF(COUNTIFS($A$5:$A622,$A622,$B$5:$B622,$B622)=1,1,0))</f>
        <v>0</v>
      </c>
    </row>
    <row r="623" customFormat="false" ht="15" hidden="false" customHeight="false" outlineLevel="0" collapsed="false">
      <c r="A623" s="17"/>
      <c r="B623" s="13"/>
      <c r="C623" s="20" t="str">
        <f aca="false">IF($B623="","",IFERROR(INDEX(고객사!$B$5:$B$104,MATCH($B623,고객사!$A$5:$A$104,0)),"코드 확인"))</f>
        <v/>
      </c>
      <c r="D623" s="15"/>
      <c r="E623" s="15"/>
      <c r="F623" s="16"/>
      <c r="G623" s="16"/>
      <c r="H623" s="21" t="str">
        <f aca="false">IF(OR($B623="",F623=0),"",G623/F623)</f>
        <v/>
      </c>
      <c r="I623" s="22" t="str">
        <f aca="false">IF($B623="","",MAX(F623-G623,0))</f>
        <v/>
      </c>
      <c r="J623" s="23" t="str">
        <f aca="false">IF($B623="","",IFERROR(INDEX(고객사!$G$5:$G$104,MATCH($B623,고객사!$A$5:$A$104,0)),""))</f>
        <v/>
      </c>
      <c r="K623" s="16"/>
      <c r="L623" s="22" t="str">
        <f aca="false">IF($B623="","",K623*IFERROR(INDEX(고객사!$L$5:$L$104,MATCH($B623,고객사!$A$5:$A$104,0)),0))</f>
        <v/>
      </c>
      <c r="M623" s="23" t="str">
        <f aca="false">IF($B623="","",IF(AND(J623="N",G623&gt;0,K623=0,IFERROR(INDEX(고객사!$H$5:$H$104,MATCH($B623,고객사!$A$5:$A$104,0)),"")="자사 차량 운행"),"차량 미배정",""))</f>
        <v/>
      </c>
      <c r="N623" s="22" t="str">
        <f aca="false">IF($B623="","",IFERROR(INDEX(고객사!$J$5:$J$104,MATCH($B623,고객사!$A$5:$A$104,0)),0))</f>
        <v/>
      </c>
      <c r="O623" s="22" t="str">
        <f aca="false">IF($B623="","",G623*N623)</f>
        <v/>
      </c>
      <c r="P623" s="22" t="str">
        <f aca="false">IF($B623="","",IFERROR(INDEX(고객사!$K$5:$K$104,MATCH($B623,고객사!$A$5:$A$104,0)),0))</f>
        <v/>
      </c>
      <c r="Q623" s="22" t="str">
        <f aca="false">IF($B623="","",G623*P623)</f>
        <v/>
      </c>
      <c r="R623" s="22" t="str">
        <f aca="false">IF($B623="","",O623-Q623-L623)</f>
        <v/>
      </c>
      <c r="S623" s="21" t="str">
        <f aca="false">IF(OR($B623="",N(O623)=0),"",R623/O623)</f>
        <v/>
      </c>
      <c r="T623" s="14"/>
      <c r="U623" s="19" t="n">
        <f aca="false">IF(OR($B623="",$A623=""),0,IF(COUNTIFS($A$5:$A623,$A623,$B$5:$B623,$B623)=1,1,0))</f>
        <v>0</v>
      </c>
    </row>
    <row r="624" customFormat="false" ht="15" hidden="false" customHeight="false" outlineLevel="0" collapsed="false">
      <c r="A624" s="17"/>
      <c r="B624" s="13"/>
      <c r="C624" s="20" t="str">
        <f aca="false">IF($B624="","",IFERROR(INDEX(고객사!$B$5:$B$104,MATCH($B624,고객사!$A$5:$A$104,0)),"코드 확인"))</f>
        <v/>
      </c>
      <c r="D624" s="15"/>
      <c r="E624" s="15"/>
      <c r="F624" s="16"/>
      <c r="G624" s="16"/>
      <c r="H624" s="21" t="str">
        <f aca="false">IF(OR($B624="",F624=0),"",G624/F624)</f>
        <v/>
      </c>
      <c r="I624" s="22" t="str">
        <f aca="false">IF($B624="","",MAX(F624-G624,0))</f>
        <v/>
      </c>
      <c r="J624" s="23" t="str">
        <f aca="false">IF($B624="","",IFERROR(INDEX(고객사!$G$5:$G$104,MATCH($B624,고객사!$A$5:$A$104,0)),""))</f>
        <v/>
      </c>
      <c r="K624" s="16"/>
      <c r="L624" s="22" t="str">
        <f aca="false">IF($B624="","",K624*IFERROR(INDEX(고객사!$L$5:$L$104,MATCH($B624,고객사!$A$5:$A$104,0)),0))</f>
        <v/>
      </c>
      <c r="M624" s="23" t="str">
        <f aca="false">IF($B624="","",IF(AND(J624="N",G624&gt;0,K624=0,IFERROR(INDEX(고객사!$H$5:$H$104,MATCH($B624,고객사!$A$5:$A$104,0)),"")="자사 차량 운행"),"차량 미배정",""))</f>
        <v/>
      </c>
      <c r="N624" s="22" t="str">
        <f aca="false">IF($B624="","",IFERROR(INDEX(고객사!$J$5:$J$104,MATCH($B624,고객사!$A$5:$A$104,0)),0))</f>
        <v/>
      </c>
      <c r="O624" s="22" t="str">
        <f aca="false">IF($B624="","",G624*N624)</f>
        <v/>
      </c>
      <c r="P624" s="22" t="str">
        <f aca="false">IF($B624="","",IFERROR(INDEX(고객사!$K$5:$K$104,MATCH($B624,고객사!$A$5:$A$104,0)),0))</f>
        <v/>
      </c>
      <c r="Q624" s="22" t="str">
        <f aca="false">IF($B624="","",G624*P624)</f>
        <v/>
      </c>
      <c r="R624" s="22" t="str">
        <f aca="false">IF($B624="","",O624-Q624-L624)</f>
        <v/>
      </c>
      <c r="S624" s="21" t="str">
        <f aca="false">IF(OR($B624="",N(O624)=0),"",R624/O624)</f>
        <v/>
      </c>
      <c r="T624" s="14"/>
      <c r="U624" s="19" t="n">
        <f aca="false">IF(OR($B624="",$A624=""),0,IF(COUNTIFS($A$5:$A624,$A624,$B$5:$B624,$B624)=1,1,0))</f>
        <v>0</v>
      </c>
    </row>
    <row r="625" customFormat="false" ht="15" hidden="false" customHeight="false" outlineLevel="0" collapsed="false">
      <c r="A625" s="17"/>
      <c r="B625" s="13"/>
      <c r="C625" s="20" t="str">
        <f aca="false">IF($B625="","",IFERROR(INDEX(고객사!$B$5:$B$104,MATCH($B625,고객사!$A$5:$A$104,0)),"코드 확인"))</f>
        <v/>
      </c>
      <c r="D625" s="15"/>
      <c r="E625" s="15"/>
      <c r="F625" s="16"/>
      <c r="G625" s="16"/>
      <c r="H625" s="21" t="str">
        <f aca="false">IF(OR($B625="",F625=0),"",G625/F625)</f>
        <v/>
      </c>
      <c r="I625" s="22" t="str">
        <f aca="false">IF($B625="","",MAX(F625-G625,0))</f>
        <v/>
      </c>
      <c r="J625" s="23" t="str">
        <f aca="false">IF($B625="","",IFERROR(INDEX(고객사!$G$5:$G$104,MATCH($B625,고객사!$A$5:$A$104,0)),""))</f>
        <v/>
      </c>
      <c r="K625" s="16"/>
      <c r="L625" s="22" t="str">
        <f aca="false">IF($B625="","",K625*IFERROR(INDEX(고객사!$L$5:$L$104,MATCH($B625,고객사!$A$5:$A$104,0)),0))</f>
        <v/>
      </c>
      <c r="M625" s="23" t="str">
        <f aca="false">IF($B625="","",IF(AND(J625="N",G625&gt;0,K625=0,IFERROR(INDEX(고객사!$H$5:$H$104,MATCH($B625,고객사!$A$5:$A$104,0)),"")="자사 차량 운행"),"차량 미배정",""))</f>
        <v/>
      </c>
      <c r="N625" s="22" t="str">
        <f aca="false">IF($B625="","",IFERROR(INDEX(고객사!$J$5:$J$104,MATCH($B625,고객사!$A$5:$A$104,0)),0))</f>
        <v/>
      </c>
      <c r="O625" s="22" t="str">
        <f aca="false">IF($B625="","",G625*N625)</f>
        <v/>
      </c>
      <c r="P625" s="22" t="str">
        <f aca="false">IF($B625="","",IFERROR(INDEX(고객사!$K$5:$K$104,MATCH($B625,고객사!$A$5:$A$104,0)),0))</f>
        <v/>
      </c>
      <c r="Q625" s="22" t="str">
        <f aca="false">IF($B625="","",G625*P625)</f>
        <v/>
      </c>
      <c r="R625" s="22" t="str">
        <f aca="false">IF($B625="","",O625-Q625-L625)</f>
        <v/>
      </c>
      <c r="S625" s="21" t="str">
        <f aca="false">IF(OR($B625="",N(O625)=0),"",R625/O625)</f>
        <v/>
      </c>
      <c r="T625" s="14"/>
      <c r="U625" s="19" t="n">
        <f aca="false">IF(OR($B625="",$A625=""),0,IF(COUNTIFS($A$5:$A625,$A625,$B$5:$B625,$B625)=1,1,0))</f>
        <v>0</v>
      </c>
    </row>
    <row r="626" customFormat="false" ht="15" hidden="false" customHeight="false" outlineLevel="0" collapsed="false">
      <c r="A626" s="17"/>
      <c r="B626" s="13"/>
      <c r="C626" s="20" t="str">
        <f aca="false">IF($B626="","",IFERROR(INDEX(고객사!$B$5:$B$104,MATCH($B626,고객사!$A$5:$A$104,0)),"코드 확인"))</f>
        <v/>
      </c>
      <c r="D626" s="15"/>
      <c r="E626" s="15"/>
      <c r="F626" s="16"/>
      <c r="G626" s="16"/>
      <c r="H626" s="21" t="str">
        <f aca="false">IF(OR($B626="",F626=0),"",G626/F626)</f>
        <v/>
      </c>
      <c r="I626" s="22" t="str">
        <f aca="false">IF($B626="","",MAX(F626-G626,0))</f>
        <v/>
      </c>
      <c r="J626" s="23" t="str">
        <f aca="false">IF($B626="","",IFERROR(INDEX(고객사!$G$5:$G$104,MATCH($B626,고객사!$A$5:$A$104,0)),""))</f>
        <v/>
      </c>
      <c r="K626" s="16"/>
      <c r="L626" s="22" t="str">
        <f aca="false">IF($B626="","",K626*IFERROR(INDEX(고객사!$L$5:$L$104,MATCH($B626,고객사!$A$5:$A$104,0)),0))</f>
        <v/>
      </c>
      <c r="M626" s="23" t="str">
        <f aca="false">IF($B626="","",IF(AND(J626="N",G626&gt;0,K626=0,IFERROR(INDEX(고객사!$H$5:$H$104,MATCH($B626,고객사!$A$5:$A$104,0)),"")="자사 차량 운행"),"차량 미배정",""))</f>
        <v/>
      </c>
      <c r="N626" s="22" t="str">
        <f aca="false">IF($B626="","",IFERROR(INDEX(고객사!$J$5:$J$104,MATCH($B626,고객사!$A$5:$A$104,0)),0))</f>
        <v/>
      </c>
      <c r="O626" s="22" t="str">
        <f aca="false">IF($B626="","",G626*N626)</f>
        <v/>
      </c>
      <c r="P626" s="22" t="str">
        <f aca="false">IF($B626="","",IFERROR(INDEX(고객사!$K$5:$K$104,MATCH($B626,고객사!$A$5:$A$104,0)),0))</f>
        <v/>
      </c>
      <c r="Q626" s="22" t="str">
        <f aca="false">IF($B626="","",G626*P626)</f>
        <v/>
      </c>
      <c r="R626" s="22" t="str">
        <f aca="false">IF($B626="","",O626-Q626-L626)</f>
        <v/>
      </c>
      <c r="S626" s="21" t="str">
        <f aca="false">IF(OR($B626="",N(O626)=0),"",R626/O626)</f>
        <v/>
      </c>
      <c r="T626" s="14"/>
      <c r="U626" s="19" t="n">
        <f aca="false">IF(OR($B626="",$A626=""),0,IF(COUNTIFS($A$5:$A626,$A626,$B$5:$B626,$B626)=1,1,0))</f>
        <v>0</v>
      </c>
    </row>
    <row r="627" customFormat="false" ht="15" hidden="false" customHeight="false" outlineLevel="0" collapsed="false">
      <c r="A627" s="17"/>
      <c r="B627" s="13"/>
      <c r="C627" s="20" t="str">
        <f aca="false">IF($B627="","",IFERROR(INDEX(고객사!$B$5:$B$104,MATCH($B627,고객사!$A$5:$A$104,0)),"코드 확인"))</f>
        <v/>
      </c>
      <c r="D627" s="15"/>
      <c r="E627" s="15"/>
      <c r="F627" s="16"/>
      <c r="G627" s="16"/>
      <c r="H627" s="21" t="str">
        <f aca="false">IF(OR($B627="",F627=0),"",G627/F627)</f>
        <v/>
      </c>
      <c r="I627" s="22" t="str">
        <f aca="false">IF($B627="","",MAX(F627-G627,0))</f>
        <v/>
      </c>
      <c r="J627" s="23" t="str">
        <f aca="false">IF($B627="","",IFERROR(INDEX(고객사!$G$5:$G$104,MATCH($B627,고객사!$A$5:$A$104,0)),""))</f>
        <v/>
      </c>
      <c r="K627" s="16"/>
      <c r="L627" s="22" t="str">
        <f aca="false">IF($B627="","",K627*IFERROR(INDEX(고객사!$L$5:$L$104,MATCH($B627,고객사!$A$5:$A$104,0)),0))</f>
        <v/>
      </c>
      <c r="M627" s="23" t="str">
        <f aca="false">IF($B627="","",IF(AND(J627="N",G627&gt;0,K627=0,IFERROR(INDEX(고객사!$H$5:$H$104,MATCH($B627,고객사!$A$5:$A$104,0)),"")="자사 차량 운행"),"차량 미배정",""))</f>
        <v/>
      </c>
      <c r="N627" s="22" t="str">
        <f aca="false">IF($B627="","",IFERROR(INDEX(고객사!$J$5:$J$104,MATCH($B627,고객사!$A$5:$A$104,0)),0))</f>
        <v/>
      </c>
      <c r="O627" s="22" t="str">
        <f aca="false">IF($B627="","",G627*N627)</f>
        <v/>
      </c>
      <c r="P627" s="22" t="str">
        <f aca="false">IF($B627="","",IFERROR(INDEX(고객사!$K$5:$K$104,MATCH($B627,고객사!$A$5:$A$104,0)),0))</f>
        <v/>
      </c>
      <c r="Q627" s="22" t="str">
        <f aca="false">IF($B627="","",G627*P627)</f>
        <v/>
      </c>
      <c r="R627" s="22" t="str">
        <f aca="false">IF($B627="","",O627-Q627-L627)</f>
        <v/>
      </c>
      <c r="S627" s="21" t="str">
        <f aca="false">IF(OR($B627="",N(O627)=0),"",R627/O627)</f>
        <v/>
      </c>
      <c r="T627" s="14"/>
      <c r="U627" s="19" t="n">
        <f aca="false">IF(OR($B627="",$A627=""),0,IF(COUNTIFS($A$5:$A627,$A627,$B$5:$B627,$B627)=1,1,0))</f>
        <v>0</v>
      </c>
    </row>
    <row r="628" customFormat="false" ht="15" hidden="false" customHeight="false" outlineLevel="0" collapsed="false">
      <c r="A628" s="17"/>
      <c r="B628" s="13"/>
      <c r="C628" s="20" t="str">
        <f aca="false">IF($B628="","",IFERROR(INDEX(고객사!$B$5:$B$104,MATCH($B628,고객사!$A$5:$A$104,0)),"코드 확인"))</f>
        <v/>
      </c>
      <c r="D628" s="15"/>
      <c r="E628" s="15"/>
      <c r="F628" s="16"/>
      <c r="G628" s="16"/>
      <c r="H628" s="21" t="str">
        <f aca="false">IF(OR($B628="",F628=0),"",G628/F628)</f>
        <v/>
      </c>
      <c r="I628" s="22" t="str">
        <f aca="false">IF($B628="","",MAX(F628-G628,0))</f>
        <v/>
      </c>
      <c r="J628" s="23" t="str">
        <f aca="false">IF($B628="","",IFERROR(INDEX(고객사!$G$5:$G$104,MATCH($B628,고객사!$A$5:$A$104,0)),""))</f>
        <v/>
      </c>
      <c r="K628" s="16"/>
      <c r="L628" s="22" t="str">
        <f aca="false">IF($B628="","",K628*IFERROR(INDEX(고객사!$L$5:$L$104,MATCH($B628,고객사!$A$5:$A$104,0)),0))</f>
        <v/>
      </c>
      <c r="M628" s="23" t="str">
        <f aca="false">IF($B628="","",IF(AND(J628="N",G628&gt;0,K628=0,IFERROR(INDEX(고객사!$H$5:$H$104,MATCH($B628,고객사!$A$5:$A$104,0)),"")="자사 차량 운행"),"차량 미배정",""))</f>
        <v/>
      </c>
      <c r="N628" s="22" t="str">
        <f aca="false">IF($B628="","",IFERROR(INDEX(고객사!$J$5:$J$104,MATCH($B628,고객사!$A$5:$A$104,0)),0))</f>
        <v/>
      </c>
      <c r="O628" s="22" t="str">
        <f aca="false">IF($B628="","",G628*N628)</f>
        <v/>
      </c>
      <c r="P628" s="22" t="str">
        <f aca="false">IF($B628="","",IFERROR(INDEX(고객사!$K$5:$K$104,MATCH($B628,고객사!$A$5:$A$104,0)),0))</f>
        <v/>
      </c>
      <c r="Q628" s="22" t="str">
        <f aca="false">IF($B628="","",G628*P628)</f>
        <v/>
      </c>
      <c r="R628" s="22" t="str">
        <f aca="false">IF($B628="","",O628-Q628-L628)</f>
        <v/>
      </c>
      <c r="S628" s="21" t="str">
        <f aca="false">IF(OR($B628="",N(O628)=0),"",R628/O628)</f>
        <v/>
      </c>
      <c r="T628" s="14"/>
      <c r="U628" s="19" t="n">
        <f aca="false">IF(OR($B628="",$A628=""),0,IF(COUNTIFS($A$5:$A628,$A628,$B$5:$B628,$B628)=1,1,0))</f>
        <v>0</v>
      </c>
    </row>
    <row r="629" customFormat="false" ht="15" hidden="false" customHeight="false" outlineLevel="0" collapsed="false">
      <c r="A629" s="17"/>
      <c r="B629" s="13"/>
      <c r="C629" s="20" t="str">
        <f aca="false">IF($B629="","",IFERROR(INDEX(고객사!$B$5:$B$104,MATCH($B629,고객사!$A$5:$A$104,0)),"코드 확인"))</f>
        <v/>
      </c>
      <c r="D629" s="15"/>
      <c r="E629" s="15"/>
      <c r="F629" s="16"/>
      <c r="G629" s="16"/>
      <c r="H629" s="21" t="str">
        <f aca="false">IF(OR($B629="",F629=0),"",G629/F629)</f>
        <v/>
      </c>
      <c r="I629" s="22" t="str">
        <f aca="false">IF($B629="","",MAX(F629-G629,0))</f>
        <v/>
      </c>
      <c r="J629" s="23" t="str">
        <f aca="false">IF($B629="","",IFERROR(INDEX(고객사!$G$5:$G$104,MATCH($B629,고객사!$A$5:$A$104,0)),""))</f>
        <v/>
      </c>
      <c r="K629" s="16"/>
      <c r="L629" s="22" t="str">
        <f aca="false">IF($B629="","",K629*IFERROR(INDEX(고객사!$L$5:$L$104,MATCH($B629,고객사!$A$5:$A$104,0)),0))</f>
        <v/>
      </c>
      <c r="M629" s="23" t="str">
        <f aca="false">IF($B629="","",IF(AND(J629="N",G629&gt;0,K629=0,IFERROR(INDEX(고객사!$H$5:$H$104,MATCH($B629,고객사!$A$5:$A$104,0)),"")="자사 차량 운행"),"차량 미배정",""))</f>
        <v/>
      </c>
      <c r="N629" s="22" t="str">
        <f aca="false">IF($B629="","",IFERROR(INDEX(고객사!$J$5:$J$104,MATCH($B629,고객사!$A$5:$A$104,0)),0))</f>
        <v/>
      </c>
      <c r="O629" s="22" t="str">
        <f aca="false">IF($B629="","",G629*N629)</f>
        <v/>
      </c>
      <c r="P629" s="22" t="str">
        <f aca="false">IF($B629="","",IFERROR(INDEX(고객사!$K$5:$K$104,MATCH($B629,고객사!$A$5:$A$104,0)),0))</f>
        <v/>
      </c>
      <c r="Q629" s="22" t="str">
        <f aca="false">IF($B629="","",G629*P629)</f>
        <v/>
      </c>
      <c r="R629" s="22" t="str">
        <f aca="false">IF($B629="","",O629-Q629-L629)</f>
        <v/>
      </c>
      <c r="S629" s="21" t="str">
        <f aca="false">IF(OR($B629="",N(O629)=0),"",R629/O629)</f>
        <v/>
      </c>
      <c r="T629" s="14"/>
      <c r="U629" s="19" t="n">
        <f aca="false">IF(OR($B629="",$A629=""),0,IF(COUNTIFS($A$5:$A629,$A629,$B$5:$B629,$B629)=1,1,0))</f>
        <v>0</v>
      </c>
    </row>
    <row r="630" customFormat="false" ht="15" hidden="false" customHeight="false" outlineLevel="0" collapsed="false">
      <c r="A630" s="17"/>
      <c r="B630" s="13"/>
      <c r="C630" s="20" t="str">
        <f aca="false">IF($B630="","",IFERROR(INDEX(고객사!$B$5:$B$104,MATCH($B630,고객사!$A$5:$A$104,0)),"코드 확인"))</f>
        <v/>
      </c>
      <c r="D630" s="15"/>
      <c r="E630" s="15"/>
      <c r="F630" s="16"/>
      <c r="G630" s="16"/>
      <c r="H630" s="21" t="str">
        <f aca="false">IF(OR($B630="",F630=0),"",G630/F630)</f>
        <v/>
      </c>
      <c r="I630" s="22" t="str">
        <f aca="false">IF($B630="","",MAX(F630-G630,0))</f>
        <v/>
      </c>
      <c r="J630" s="23" t="str">
        <f aca="false">IF($B630="","",IFERROR(INDEX(고객사!$G$5:$G$104,MATCH($B630,고객사!$A$5:$A$104,0)),""))</f>
        <v/>
      </c>
      <c r="K630" s="16"/>
      <c r="L630" s="22" t="str">
        <f aca="false">IF($B630="","",K630*IFERROR(INDEX(고객사!$L$5:$L$104,MATCH($B630,고객사!$A$5:$A$104,0)),0))</f>
        <v/>
      </c>
      <c r="M630" s="23" t="str">
        <f aca="false">IF($B630="","",IF(AND(J630="N",G630&gt;0,K630=0,IFERROR(INDEX(고객사!$H$5:$H$104,MATCH($B630,고객사!$A$5:$A$104,0)),"")="자사 차량 운행"),"차량 미배정",""))</f>
        <v/>
      </c>
      <c r="N630" s="22" t="str">
        <f aca="false">IF($B630="","",IFERROR(INDEX(고객사!$J$5:$J$104,MATCH($B630,고객사!$A$5:$A$104,0)),0))</f>
        <v/>
      </c>
      <c r="O630" s="22" t="str">
        <f aca="false">IF($B630="","",G630*N630)</f>
        <v/>
      </c>
      <c r="P630" s="22" t="str">
        <f aca="false">IF($B630="","",IFERROR(INDEX(고객사!$K$5:$K$104,MATCH($B630,고객사!$A$5:$A$104,0)),0))</f>
        <v/>
      </c>
      <c r="Q630" s="22" t="str">
        <f aca="false">IF($B630="","",G630*P630)</f>
        <v/>
      </c>
      <c r="R630" s="22" t="str">
        <f aca="false">IF($B630="","",O630-Q630-L630)</f>
        <v/>
      </c>
      <c r="S630" s="21" t="str">
        <f aca="false">IF(OR($B630="",N(O630)=0),"",R630/O630)</f>
        <v/>
      </c>
      <c r="T630" s="14"/>
      <c r="U630" s="19" t="n">
        <f aca="false">IF(OR($B630="",$A630=""),0,IF(COUNTIFS($A$5:$A630,$A630,$B$5:$B630,$B630)=1,1,0))</f>
        <v>0</v>
      </c>
    </row>
    <row r="631" customFormat="false" ht="15" hidden="false" customHeight="false" outlineLevel="0" collapsed="false">
      <c r="A631" s="17"/>
      <c r="B631" s="13"/>
      <c r="C631" s="20" t="str">
        <f aca="false">IF($B631="","",IFERROR(INDEX(고객사!$B$5:$B$104,MATCH($B631,고객사!$A$5:$A$104,0)),"코드 확인"))</f>
        <v/>
      </c>
      <c r="D631" s="15"/>
      <c r="E631" s="15"/>
      <c r="F631" s="16"/>
      <c r="G631" s="16"/>
      <c r="H631" s="21" t="str">
        <f aca="false">IF(OR($B631="",F631=0),"",G631/F631)</f>
        <v/>
      </c>
      <c r="I631" s="22" t="str">
        <f aca="false">IF($B631="","",MAX(F631-G631,0))</f>
        <v/>
      </c>
      <c r="J631" s="23" t="str">
        <f aca="false">IF($B631="","",IFERROR(INDEX(고객사!$G$5:$G$104,MATCH($B631,고객사!$A$5:$A$104,0)),""))</f>
        <v/>
      </c>
      <c r="K631" s="16"/>
      <c r="L631" s="22" t="str">
        <f aca="false">IF($B631="","",K631*IFERROR(INDEX(고객사!$L$5:$L$104,MATCH($B631,고객사!$A$5:$A$104,0)),0))</f>
        <v/>
      </c>
      <c r="M631" s="23" t="str">
        <f aca="false">IF($B631="","",IF(AND(J631="N",G631&gt;0,K631=0,IFERROR(INDEX(고객사!$H$5:$H$104,MATCH($B631,고객사!$A$5:$A$104,0)),"")="자사 차량 운행"),"차량 미배정",""))</f>
        <v/>
      </c>
      <c r="N631" s="22" t="str">
        <f aca="false">IF($B631="","",IFERROR(INDEX(고객사!$J$5:$J$104,MATCH($B631,고객사!$A$5:$A$104,0)),0))</f>
        <v/>
      </c>
      <c r="O631" s="22" t="str">
        <f aca="false">IF($B631="","",G631*N631)</f>
        <v/>
      </c>
      <c r="P631" s="22" t="str">
        <f aca="false">IF($B631="","",IFERROR(INDEX(고객사!$K$5:$K$104,MATCH($B631,고객사!$A$5:$A$104,0)),0))</f>
        <v/>
      </c>
      <c r="Q631" s="22" t="str">
        <f aca="false">IF($B631="","",G631*P631)</f>
        <v/>
      </c>
      <c r="R631" s="22" t="str">
        <f aca="false">IF($B631="","",O631-Q631-L631)</f>
        <v/>
      </c>
      <c r="S631" s="21" t="str">
        <f aca="false">IF(OR($B631="",N(O631)=0),"",R631/O631)</f>
        <v/>
      </c>
      <c r="T631" s="14"/>
      <c r="U631" s="19" t="n">
        <f aca="false">IF(OR($B631="",$A631=""),0,IF(COUNTIFS($A$5:$A631,$A631,$B$5:$B631,$B631)=1,1,0))</f>
        <v>0</v>
      </c>
    </row>
    <row r="632" customFormat="false" ht="15" hidden="false" customHeight="false" outlineLevel="0" collapsed="false">
      <c r="A632" s="17"/>
      <c r="B632" s="13"/>
      <c r="C632" s="20" t="str">
        <f aca="false">IF($B632="","",IFERROR(INDEX(고객사!$B$5:$B$104,MATCH($B632,고객사!$A$5:$A$104,0)),"코드 확인"))</f>
        <v/>
      </c>
      <c r="D632" s="15"/>
      <c r="E632" s="15"/>
      <c r="F632" s="16"/>
      <c r="G632" s="16"/>
      <c r="H632" s="21" t="str">
        <f aca="false">IF(OR($B632="",F632=0),"",G632/F632)</f>
        <v/>
      </c>
      <c r="I632" s="22" t="str">
        <f aca="false">IF($B632="","",MAX(F632-G632,0))</f>
        <v/>
      </c>
      <c r="J632" s="23" t="str">
        <f aca="false">IF($B632="","",IFERROR(INDEX(고객사!$G$5:$G$104,MATCH($B632,고객사!$A$5:$A$104,0)),""))</f>
        <v/>
      </c>
      <c r="K632" s="16"/>
      <c r="L632" s="22" t="str">
        <f aca="false">IF($B632="","",K632*IFERROR(INDEX(고객사!$L$5:$L$104,MATCH($B632,고객사!$A$5:$A$104,0)),0))</f>
        <v/>
      </c>
      <c r="M632" s="23" t="str">
        <f aca="false">IF($B632="","",IF(AND(J632="N",G632&gt;0,K632=0,IFERROR(INDEX(고객사!$H$5:$H$104,MATCH($B632,고객사!$A$5:$A$104,0)),"")="자사 차량 운행"),"차량 미배정",""))</f>
        <v/>
      </c>
      <c r="N632" s="22" t="str">
        <f aca="false">IF($B632="","",IFERROR(INDEX(고객사!$J$5:$J$104,MATCH($B632,고객사!$A$5:$A$104,0)),0))</f>
        <v/>
      </c>
      <c r="O632" s="22" t="str">
        <f aca="false">IF($B632="","",G632*N632)</f>
        <v/>
      </c>
      <c r="P632" s="22" t="str">
        <f aca="false">IF($B632="","",IFERROR(INDEX(고객사!$K$5:$K$104,MATCH($B632,고객사!$A$5:$A$104,0)),0))</f>
        <v/>
      </c>
      <c r="Q632" s="22" t="str">
        <f aca="false">IF($B632="","",G632*P632)</f>
        <v/>
      </c>
      <c r="R632" s="22" t="str">
        <f aca="false">IF($B632="","",O632-Q632-L632)</f>
        <v/>
      </c>
      <c r="S632" s="21" t="str">
        <f aca="false">IF(OR($B632="",N(O632)=0),"",R632/O632)</f>
        <v/>
      </c>
      <c r="T632" s="14"/>
      <c r="U632" s="19" t="n">
        <f aca="false">IF(OR($B632="",$A632=""),0,IF(COUNTIFS($A$5:$A632,$A632,$B$5:$B632,$B632)=1,1,0))</f>
        <v>0</v>
      </c>
    </row>
    <row r="633" customFormat="false" ht="15" hidden="false" customHeight="false" outlineLevel="0" collapsed="false">
      <c r="A633" s="17"/>
      <c r="B633" s="13"/>
      <c r="C633" s="20" t="str">
        <f aca="false">IF($B633="","",IFERROR(INDEX(고객사!$B$5:$B$104,MATCH($B633,고객사!$A$5:$A$104,0)),"코드 확인"))</f>
        <v/>
      </c>
      <c r="D633" s="15"/>
      <c r="E633" s="15"/>
      <c r="F633" s="16"/>
      <c r="G633" s="16"/>
      <c r="H633" s="21" t="str">
        <f aca="false">IF(OR($B633="",F633=0),"",G633/F633)</f>
        <v/>
      </c>
      <c r="I633" s="22" t="str">
        <f aca="false">IF($B633="","",MAX(F633-G633,0))</f>
        <v/>
      </c>
      <c r="J633" s="23" t="str">
        <f aca="false">IF($B633="","",IFERROR(INDEX(고객사!$G$5:$G$104,MATCH($B633,고객사!$A$5:$A$104,0)),""))</f>
        <v/>
      </c>
      <c r="K633" s="16"/>
      <c r="L633" s="22" t="str">
        <f aca="false">IF($B633="","",K633*IFERROR(INDEX(고객사!$L$5:$L$104,MATCH($B633,고객사!$A$5:$A$104,0)),0))</f>
        <v/>
      </c>
      <c r="M633" s="23" t="str">
        <f aca="false">IF($B633="","",IF(AND(J633="N",G633&gt;0,K633=0,IFERROR(INDEX(고객사!$H$5:$H$104,MATCH($B633,고객사!$A$5:$A$104,0)),"")="자사 차량 운행"),"차량 미배정",""))</f>
        <v/>
      </c>
      <c r="N633" s="22" t="str">
        <f aca="false">IF($B633="","",IFERROR(INDEX(고객사!$J$5:$J$104,MATCH($B633,고객사!$A$5:$A$104,0)),0))</f>
        <v/>
      </c>
      <c r="O633" s="22" t="str">
        <f aca="false">IF($B633="","",G633*N633)</f>
        <v/>
      </c>
      <c r="P633" s="22" t="str">
        <f aca="false">IF($B633="","",IFERROR(INDEX(고객사!$K$5:$K$104,MATCH($B633,고객사!$A$5:$A$104,0)),0))</f>
        <v/>
      </c>
      <c r="Q633" s="22" t="str">
        <f aca="false">IF($B633="","",G633*P633)</f>
        <v/>
      </c>
      <c r="R633" s="22" t="str">
        <f aca="false">IF($B633="","",O633-Q633-L633)</f>
        <v/>
      </c>
      <c r="S633" s="21" t="str">
        <f aca="false">IF(OR($B633="",N(O633)=0),"",R633/O633)</f>
        <v/>
      </c>
      <c r="T633" s="14"/>
      <c r="U633" s="19" t="n">
        <f aca="false">IF(OR($B633="",$A633=""),0,IF(COUNTIFS($A$5:$A633,$A633,$B$5:$B633,$B633)=1,1,0))</f>
        <v>0</v>
      </c>
    </row>
    <row r="634" customFormat="false" ht="15" hidden="false" customHeight="false" outlineLevel="0" collapsed="false">
      <c r="A634" s="17"/>
      <c r="B634" s="13"/>
      <c r="C634" s="20" t="str">
        <f aca="false">IF($B634="","",IFERROR(INDEX(고객사!$B$5:$B$104,MATCH($B634,고객사!$A$5:$A$104,0)),"코드 확인"))</f>
        <v/>
      </c>
      <c r="D634" s="15"/>
      <c r="E634" s="15"/>
      <c r="F634" s="16"/>
      <c r="G634" s="16"/>
      <c r="H634" s="21" t="str">
        <f aca="false">IF(OR($B634="",F634=0),"",G634/F634)</f>
        <v/>
      </c>
      <c r="I634" s="22" t="str">
        <f aca="false">IF($B634="","",MAX(F634-G634,0))</f>
        <v/>
      </c>
      <c r="J634" s="23" t="str">
        <f aca="false">IF($B634="","",IFERROR(INDEX(고객사!$G$5:$G$104,MATCH($B634,고객사!$A$5:$A$104,0)),""))</f>
        <v/>
      </c>
      <c r="K634" s="16"/>
      <c r="L634" s="22" t="str">
        <f aca="false">IF($B634="","",K634*IFERROR(INDEX(고객사!$L$5:$L$104,MATCH($B634,고객사!$A$5:$A$104,0)),0))</f>
        <v/>
      </c>
      <c r="M634" s="23" t="str">
        <f aca="false">IF($B634="","",IF(AND(J634="N",G634&gt;0,K634=0,IFERROR(INDEX(고객사!$H$5:$H$104,MATCH($B634,고객사!$A$5:$A$104,0)),"")="자사 차량 운행"),"차량 미배정",""))</f>
        <v/>
      </c>
      <c r="N634" s="22" t="str">
        <f aca="false">IF($B634="","",IFERROR(INDEX(고객사!$J$5:$J$104,MATCH($B634,고객사!$A$5:$A$104,0)),0))</f>
        <v/>
      </c>
      <c r="O634" s="22" t="str">
        <f aca="false">IF($B634="","",G634*N634)</f>
        <v/>
      </c>
      <c r="P634" s="22" t="str">
        <f aca="false">IF($B634="","",IFERROR(INDEX(고객사!$K$5:$K$104,MATCH($B634,고객사!$A$5:$A$104,0)),0))</f>
        <v/>
      </c>
      <c r="Q634" s="22" t="str">
        <f aca="false">IF($B634="","",G634*P634)</f>
        <v/>
      </c>
      <c r="R634" s="22" t="str">
        <f aca="false">IF($B634="","",O634-Q634-L634)</f>
        <v/>
      </c>
      <c r="S634" s="21" t="str">
        <f aca="false">IF(OR($B634="",N(O634)=0),"",R634/O634)</f>
        <v/>
      </c>
      <c r="T634" s="14"/>
      <c r="U634" s="19" t="n">
        <f aca="false">IF(OR($B634="",$A634=""),0,IF(COUNTIFS($A$5:$A634,$A634,$B$5:$B634,$B634)=1,1,0))</f>
        <v>0</v>
      </c>
    </row>
    <row r="635" customFormat="false" ht="15" hidden="false" customHeight="false" outlineLevel="0" collapsed="false">
      <c r="A635" s="17"/>
      <c r="B635" s="13"/>
      <c r="C635" s="20" t="str">
        <f aca="false">IF($B635="","",IFERROR(INDEX(고객사!$B$5:$B$104,MATCH($B635,고객사!$A$5:$A$104,0)),"코드 확인"))</f>
        <v/>
      </c>
      <c r="D635" s="15"/>
      <c r="E635" s="15"/>
      <c r="F635" s="16"/>
      <c r="G635" s="16"/>
      <c r="H635" s="21" t="str">
        <f aca="false">IF(OR($B635="",F635=0),"",G635/F635)</f>
        <v/>
      </c>
      <c r="I635" s="22" t="str">
        <f aca="false">IF($B635="","",MAX(F635-G635,0))</f>
        <v/>
      </c>
      <c r="J635" s="23" t="str">
        <f aca="false">IF($B635="","",IFERROR(INDEX(고객사!$G$5:$G$104,MATCH($B635,고객사!$A$5:$A$104,0)),""))</f>
        <v/>
      </c>
      <c r="K635" s="16"/>
      <c r="L635" s="22" t="str">
        <f aca="false">IF($B635="","",K635*IFERROR(INDEX(고객사!$L$5:$L$104,MATCH($B635,고객사!$A$5:$A$104,0)),0))</f>
        <v/>
      </c>
      <c r="M635" s="23" t="str">
        <f aca="false">IF($B635="","",IF(AND(J635="N",G635&gt;0,K635=0,IFERROR(INDEX(고객사!$H$5:$H$104,MATCH($B635,고객사!$A$5:$A$104,0)),"")="자사 차량 운행"),"차량 미배정",""))</f>
        <v/>
      </c>
      <c r="N635" s="22" t="str">
        <f aca="false">IF($B635="","",IFERROR(INDEX(고객사!$J$5:$J$104,MATCH($B635,고객사!$A$5:$A$104,0)),0))</f>
        <v/>
      </c>
      <c r="O635" s="22" t="str">
        <f aca="false">IF($B635="","",G635*N635)</f>
        <v/>
      </c>
      <c r="P635" s="22" t="str">
        <f aca="false">IF($B635="","",IFERROR(INDEX(고객사!$K$5:$K$104,MATCH($B635,고객사!$A$5:$A$104,0)),0))</f>
        <v/>
      </c>
      <c r="Q635" s="22" t="str">
        <f aca="false">IF($B635="","",G635*P635)</f>
        <v/>
      </c>
      <c r="R635" s="22" t="str">
        <f aca="false">IF($B635="","",O635-Q635-L635)</f>
        <v/>
      </c>
      <c r="S635" s="21" t="str">
        <f aca="false">IF(OR($B635="",N(O635)=0),"",R635/O635)</f>
        <v/>
      </c>
      <c r="T635" s="14"/>
      <c r="U635" s="19" t="n">
        <f aca="false">IF(OR($B635="",$A635=""),0,IF(COUNTIFS($A$5:$A635,$A635,$B$5:$B635,$B635)=1,1,0))</f>
        <v>0</v>
      </c>
    </row>
    <row r="636" customFormat="false" ht="15" hidden="false" customHeight="false" outlineLevel="0" collapsed="false">
      <c r="A636" s="17"/>
      <c r="B636" s="13"/>
      <c r="C636" s="20" t="str">
        <f aca="false">IF($B636="","",IFERROR(INDEX(고객사!$B$5:$B$104,MATCH($B636,고객사!$A$5:$A$104,0)),"코드 확인"))</f>
        <v/>
      </c>
      <c r="D636" s="15"/>
      <c r="E636" s="15"/>
      <c r="F636" s="16"/>
      <c r="G636" s="16"/>
      <c r="H636" s="21" t="str">
        <f aca="false">IF(OR($B636="",F636=0),"",G636/F636)</f>
        <v/>
      </c>
      <c r="I636" s="22" t="str">
        <f aca="false">IF($B636="","",MAX(F636-G636,0))</f>
        <v/>
      </c>
      <c r="J636" s="23" t="str">
        <f aca="false">IF($B636="","",IFERROR(INDEX(고객사!$G$5:$G$104,MATCH($B636,고객사!$A$5:$A$104,0)),""))</f>
        <v/>
      </c>
      <c r="K636" s="16"/>
      <c r="L636" s="22" t="str">
        <f aca="false">IF($B636="","",K636*IFERROR(INDEX(고객사!$L$5:$L$104,MATCH($B636,고객사!$A$5:$A$104,0)),0))</f>
        <v/>
      </c>
      <c r="M636" s="23" t="str">
        <f aca="false">IF($B636="","",IF(AND(J636="N",G636&gt;0,K636=0,IFERROR(INDEX(고객사!$H$5:$H$104,MATCH($B636,고객사!$A$5:$A$104,0)),"")="자사 차량 운행"),"차량 미배정",""))</f>
        <v/>
      </c>
      <c r="N636" s="22" t="str">
        <f aca="false">IF($B636="","",IFERROR(INDEX(고객사!$J$5:$J$104,MATCH($B636,고객사!$A$5:$A$104,0)),0))</f>
        <v/>
      </c>
      <c r="O636" s="22" t="str">
        <f aca="false">IF($B636="","",G636*N636)</f>
        <v/>
      </c>
      <c r="P636" s="22" t="str">
        <f aca="false">IF($B636="","",IFERROR(INDEX(고객사!$K$5:$K$104,MATCH($B636,고객사!$A$5:$A$104,0)),0))</f>
        <v/>
      </c>
      <c r="Q636" s="22" t="str">
        <f aca="false">IF($B636="","",G636*P636)</f>
        <v/>
      </c>
      <c r="R636" s="22" t="str">
        <f aca="false">IF($B636="","",O636-Q636-L636)</f>
        <v/>
      </c>
      <c r="S636" s="21" t="str">
        <f aca="false">IF(OR($B636="",N(O636)=0),"",R636/O636)</f>
        <v/>
      </c>
      <c r="T636" s="14"/>
      <c r="U636" s="19" t="n">
        <f aca="false">IF(OR($B636="",$A636=""),0,IF(COUNTIFS($A$5:$A636,$A636,$B$5:$B636,$B636)=1,1,0))</f>
        <v>0</v>
      </c>
    </row>
    <row r="637" customFormat="false" ht="15" hidden="false" customHeight="false" outlineLevel="0" collapsed="false">
      <c r="A637" s="17"/>
      <c r="B637" s="13"/>
      <c r="C637" s="20" t="str">
        <f aca="false">IF($B637="","",IFERROR(INDEX(고객사!$B$5:$B$104,MATCH($B637,고객사!$A$5:$A$104,0)),"코드 확인"))</f>
        <v/>
      </c>
      <c r="D637" s="15"/>
      <c r="E637" s="15"/>
      <c r="F637" s="16"/>
      <c r="G637" s="16"/>
      <c r="H637" s="21" t="str">
        <f aca="false">IF(OR($B637="",F637=0),"",G637/F637)</f>
        <v/>
      </c>
      <c r="I637" s="22" t="str">
        <f aca="false">IF($B637="","",MAX(F637-G637,0))</f>
        <v/>
      </c>
      <c r="J637" s="23" t="str">
        <f aca="false">IF($B637="","",IFERROR(INDEX(고객사!$G$5:$G$104,MATCH($B637,고객사!$A$5:$A$104,0)),""))</f>
        <v/>
      </c>
      <c r="K637" s="16"/>
      <c r="L637" s="22" t="str">
        <f aca="false">IF($B637="","",K637*IFERROR(INDEX(고객사!$L$5:$L$104,MATCH($B637,고객사!$A$5:$A$104,0)),0))</f>
        <v/>
      </c>
      <c r="M637" s="23" t="str">
        <f aca="false">IF($B637="","",IF(AND(J637="N",G637&gt;0,K637=0,IFERROR(INDEX(고객사!$H$5:$H$104,MATCH($B637,고객사!$A$5:$A$104,0)),"")="자사 차량 운행"),"차량 미배정",""))</f>
        <v/>
      </c>
      <c r="N637" s="22" t="str">
        <f aca="false">IF($B637="","",IFERROR(INDEX(고객사!$J$5:$J$104,MATCH($B637,고객사!$A$5:$A$104,0)),0))</f>
        <v/>
      </c>
      <c r="O637" s="22" t="str">
        <f aca="false">IF($B637="","",G637*N637)</f>
        <v/>
      </c>
      <c r="P637" s="22" t="str">
        <f aca="false">IF($B637="","",IFERROR(INDEX(고객사!$K$5:$K$104,MATCH($B637,고객사!$A$5:$A$104,0)),0))</f>
        <v/>
      </c>
      <c r="Q637" s="22" t="str">
        <f aca="false">IF($B637="","",G637*P637)</f>
        <v/>
      </c>
      <c r="R637" s="22" t="str">
        <f aca="false">IF($B637="","",O637-Q637-L637)</f>
        <v/>
      </c>
      <c r="S637" s="21" t="str">
        <f aca="false">IF(OR($B637="",N(O637)=0),"",R637/O637)</f>
        <v/>
      </c>
      <c r="T637" s="14"/>
      <c r="U637" s="19" t="n">
        <f aca="false">IF(OR($B637="",$A637=""),0,IF(COUNTIFS($A$5:$A637,$A637,$B$5:$B637,$B637)=1,1,0))</f>
        <v>0</v>
      </c>
    </row>
    <row r="638" customFormat="false" ht="15" hidden="false" customHeight="false" outlineLevel="0" collapsed="false">
      <c r="A638" s="17"/>
      <c r="B638" s="13"/>
      <c r="C638" s="20" t="str">
        <f aca="false">IF($B638="","",IFERROR(INDEX(고객사!$B$5:$B$104,MATCH($B638,고객사!$A$5:$A$104,0)),"코드 확인"))</f>
        <v/>
      </c>
      <c r="D638" s="15"/>
      <c r="E638" s="15"/>
      <c r="F638" s="16"/>
      <c r="G638" s="16"/>
      <c r="H638" s="21" t="str">
        <f aca="false">IF(OR($B638="",F638=0),"",G638/F638)</f>
        <v/>
      </c>
      <c r="I638" s="22" t="str">
        <f aca="false">IF($B638="","",MAX(F638-G638,0))</f>
        <v/>
      </c>
      <c r="J638" s="23" t="str">
        <f aca="false">IF($B638="","",IFERROR(INDEX(고객사!$G$5:$G$104,MATCH($B638,고객사!$A$5:$A$104,0)),""))</f>
        <v/>
      </c>
      <c r="K638" s="16"/>
      <c r="L638" s="22" t="str">
        <f aca="false">IF($B638="","",K638*IFERROR(INDEX(고객사!$L$5:$L$104,MATCH($B638,고객사!$A$5:$A$104,0)),0))</f>
        <v/>
      </c>
      <c r="M638" s="23" t="str">
        <f aca="false">IF($B638="","",IF(AND(J638="N",G638&gt;0,K638=0,IFERROR(INDEX(고객사!$H$5:$H$104,MATCH($B638,고객사!$A$5:$A$104,0)),"")="자사 차량 운행"),"차량 미배정",""))</f>
        <v/>
      </c>
      <c r="N638" s="22" t="str">
        <f aca="false">IF($B638="","",IFERROR(INDEX(고객사!$J$5:$J$104,MATCH($B638,고객사!$A$5:$A$104,0)),0))</f>
        <v/>
      </c>
      <c r="O638" s="22" t="str">
        <f aca="false">IF($B638="","",G638*N638)</f>
        <v/>
      </c>
      <c r="P638" s="22" t="str">
        <f aca="false">IF($B638="","",IFERROR(INDEX(고객사!$K$5:$K$104,MATCH($B638,고객사!$A$5:$A$104,0)),0))</f>
        <v/>
      </c>
      <c r="Q638" s="22" t="str">
        <f aca="false">IF($B638="","",G638*P638)</f>
        <v/>
      </c>
      <c r="R638" s="22" t="str">
        <f aca="false">IF($B638="","",O638-Q638-L638)</f>
        <v/>
      </c>
      <c r="S638" s="21" t="str">
        <f aca="false">IF(OR($B638="",N(O638)=0),"",R638/O638)</f>
        <v/>
      </c>
      <c r="T638" s="14"/>
      <c r="U638" s="19" t="n">
        <f aca="false">IF(OR($B638="",$A638=""),0,IF(COUNTIFS($A$5:$A638,$A638,$B$5:$B638,$B638)=1,1,0))</f>
        <v>0</v>
      </c>
    </row>
    <row r="639" customFormat="false" ht="15" hidden="false" customHeight="false" outlineLevel="0" collapsed="false">
      <c r="A639" s="17"/>
      <c r="B639" s="13"/>
      <c r="C639" s="20" t="str">
        <f aca="false">IF($B639="","",IFERROR(INDEX(고객사!$B$5:$B$104,MATCH($B639,고객사!$A$5:$A$104,0)),"코드 확인"))</f>
        <v/>
      </c>
      <c r="D639" s="15"/>
      <c r="E639" s="15"/>
      <c r="F639" s="16"/>
      <c r="G639" s="16"/>
      <c r="H639" s="21" t="str">
        <f aca="false">IF(OR($B639="",F639=0),"",G639/F639)</f>
        <v/>
      </c>
      <c r="I639" s="22" t="str">
        <f aca="false">IF($B639="","",MAX(F639-G639,0))</f>
        <v/>
      </c>
      <c r="J639" s="23" t="str">
        <f aca="false">IF($B639="","",IFERROR(INDEX(고객사!$G$5:$G$104,MATCH($B639,고객사!$A$5:$A$104,0)),""))</f>
        <v/>
      </c>
      <c r="K639" s="16"/>
      <c r="L639" s="22" t="str">
        <f aca="false">IF($B639="","",K639*IFERROR(INDEX(고객사!$L$5:$L$104,MATCH($B639,고객사!$A$5:$A$104,0)),0))</f>
        <v/>
      </c>
      <c r="M639" s="23" t="str">
        <f aca="false">IF($B639="","",IF(AND(J639="N",G639&gt;0,K639=0,IFERROR(INDEX(고객사!$H$5:$H$104,MATCH($B639,고객사!$A$5:$A$104,0)),"")="자사 차량 운행"),"차량 미배정",""))</f>
        <v/>
      </c>
      <c r="N639" s="22" t="str">
        <f aca="false">IF($B639="","",IFERROR(INDEX(고객사!$J$5:$J$104,MATCH($B639,고객사!$A$5:$A$104,0)),0))</f>
        <v/>
      </c>
      <c r="O639" s="22" t="str">
        <f aca="false">IF($B639="","",G639*N639)</f>
        <v/>
      </c>
      <c r="P639" s="22" t="str">
        <f aca="false">IF($B639="","",IFERROR(INDEX(고객사!$K$5:$K$104,MATCH($B639,고객사!$A$5:$A$104,0)),0))</f>
        <v/>
      </c>
      <c r="Q639" s="22" t="str">
        <f aca="false">IF($B639="","",G639*P639)</f>
        <v/>
      </c>
      <c r="R639" s="22" t="str">
        <f aca="false">IF($B639="","",O639-Q639-L639)</f>
        <v/>
      </c>
      <c r="S639" s="21" t="str">
        <f aca="false">IF(OR($B639="",N(O639)=0),"",R639/O639)</f>
        <v/>
      </c>
      <c r="T639" s="14"/>
      <c r="U639" s="19" t="n">
        <f aca="false">IF(OR($B639="",$A639=""),0,IF(COUNTIFS($A$5:$A639,$A639,$B$5:$B639,$B639)=1,1,0))</f>
        <v>0</v>
      </c>
    </row>
    <row r="640" customFormat="false" ht="15" hidden="false" customHeight="false" outlineLevel="0" collapsed="false">
      <c r="A640" s="17"/>
      <c r="B640" s="13"/>
      <c r="C640" s="20" t="str">
        <f aca="false">IF($B640="","",IFERROR(INDEX(고객사!$B$5:$B$104,MATCH($B640,고객사!$A$5:$A$104,0)),"코드 확인"))</f>
        <v/>
      </c>
      <c r="D640" s="15"/>
      <c r="E640" s="15"/>
      <c r="F640" s="16"/>
      <c r="G640" s="16"/>
      <c r="H640" s="21" t="str">
        <f aca="false">IF(OR($B640="",F640=0),"",G640/F640)</f>
        <v/>
      </c>
      <c r="I640" s="22" t="str">
        <f aca="false">IF($B640="","",MAX(F640-G640,0))</f>
        <v/>
      </c>
      <c r="J640" s="23" t="str">
        <f aca="false">IF($B640="","",IFERROR(INDEX(고객사!$G$5:$G$104,MATCH($B640,고객사!$A$5:$A$104,0)),""))</f>
        <v/>
      </c>
      <c r="K640" s="16"/>
      <c r="L640" s="22" t="str">
        <f aca="false">IF($B640="","",K640*IFERROR(INDEX(고객사!$L$5:$L$104,MATCH($B640,고객사!$A$5:$A$104,0)),0))</f>
        <v/>
      </c>
      <c r="M640" s="23" t="str">
        <f aca="false">IF($B640="","",IF(AND(J640="N",G640&gt;0,K640=0,IFERROR(INDEX(고객사!$H$5:$H$104,MATCH($B640,고객사!$A$5:$A$104,0)),"")="자사 차량 운행"),"차량 미배정",""))</f>
        <v/>
      </c>
      <c r="N640" s="22" t="str">
        <f aca="false">IF($B640="","",IFERROR(INDEX(고객사!$J$5:$J$104,MATCH($B640,고객사!$A$5:$A$104,0)),0))</f>
        <v/>
      </c>
      <c r="O640" s="22" t="str">
        <f aca="false">IF($B640="","",G640*N640)</f>
        <v/>
      </c>
      <c r="P640" s="22" t="str">
        <f aca="false">IF($B640="","",IFERROR(INDEX(고객사!$K$5:$K$104,MATCH($B640,고객사!$A$5:$A$104,0)),0))</f>
        <v/>
      </c>
      <c r="Q640" s="22" t="str">
        <f aca="false">IF($B640="","",G640*P640)</f>
        <v/>
      </c>
      <c r="R640" s="22" t="str">
        <f aca="false">IF($B640="","",O640-Q640-L640)</f>
        <v/>
      </c>
      <c r="S640" s="21" t="str">
        <f aca="false">IF(OR($B640="",N(O640)=0),"",R640/O640)</f>
        <v/>
      </c>
      <c r="T640" s="14"/>
      <c r="U640" s="19" t="n">
        <f aca="false">IF(OR($B640="",$A640=""),0,IF(COUNTIFS($A$5:$A640,$A640,$B$5:$B640,$B640)=1,1,0))</f>
        <v>0</v>
      </c>
    </row>
    <row r="641" customFormat="false" ht="15" hidden="false" customHeight="false" outlineLevel="0" collapsed="false">
      <c r="A641" s="17"/>
      <c r="B641" s="13"/>
      <c r="C641" s="20" t="str">
        <f aca="false">IF($B641="","",IFERROR(INDEX(고객사!$B$5:$B$104,MATCH($B641,고객사!$A$5:$A$104,0)),"코드 확인"))</f>
        <v/>
      </c>
      <c r="D641" s="15"/>
      <c r="E641" s="15"/>
      <c r="F641" s="16"/>
      <c r="G641" s="16"/>
      <c r="H641" s="21" t="str">
        <f aca="false">IF(OR($B641="",F641=0),"",G641/F641)</f>
        <v/>
      </c>
      <c r="I641" s="22" t="str">
        <f aca="false">IF($B641="","",MAX(F641-G641,0))</f>
        <v/>
      </c>
      <c r="J641" s="23" t="str">
        <f aca="false">IF($B641="","",IFERROR(INDEX(고객사!$G$5:$G$104,MATCH($B641,고객사!$A$5:$A$104,0)),""))</f>
        <v/>
      </c>
      <c r="K641" s="16"/>
      <c r="L641" s="22" t="str">
        <f aca="false">IF($B641="","",K641*IFERROR(INDEX(고객사!$L$5:$L$104,MATCH($B641,고객사!$A$5:$A$104,0)),0))</f>
        <v/>
      </c>
      <c r="M641" s="23" t="str">
        <f aca="false">IF($B641="","",IF(AND(J641="N",G641&gt;0,K641=0,IFERROR(INDEX(고객사!$H$5:$H$104,MATCH($B641,고객사!$A$5:$A$104,0)),"")="자사 차량 운행"),"차량 미배정",""))</f>
        <v/>
      </c>
      <c r="N641" s="22" t="str">
        <f aca="false">IF($B641="","",IFERROR(INDEX(고객사!$J$5:$J$104,MATCH($B641,고객사!$A$5:$A$104,0)),0))</f>
        <v/>
      </c>
      <c r="O641" s="22" t="str">
        <f aca="false">IF($B641="","",G641*N641)</f>
        <v/>
      </c>
      <c r="P641" s="22" t="str">
        <f aca="false">IF($B641="","",IFERROR(INDEX(고객사!$K$5:$K$104,MATCH($B641,고객사!$A$5:$A$104,0)),0))</f>
        <v/>
      </c>
      <c r="Q641" s="22" t="str">
        <f aca="false">IF($B641="","",G641*P641)</f>
        <v/>
      </c>
      <c r="R641" s="22" t="str">
        <f aca="false">IF($B641="","",O641-Q641-L641)</f>
        <v/>
      </c>
      <c r="S641" s="21" t="str">
        <f aca="false">IF(OR($B641="",N(O641)=0),"",R641/O641)</f>
        <v/>
      </c>
      <c r="T641" s="14"/>
      <c r="U641" s="19" t="n">
        <f aca="false">IF(OR($B641="",$A641=""),0,IF(COUNTIFS($A$5:$A641,$A641,$B$5:$B641,$B641)=1,1,0))</f>
        <v>0</v>
      </c>
    </row>
    <row r="642" customFormat="false" ht="15" hidden="false" customHeight="false" outlineLevel="0" collapsed="false">
      <c r="A642" s="17"/>
      <c r="B642" s="13"/>
      <c r="C642" s="20" t="str">
        <f aca="false">IF($B642="","",IFERROR(INDEX(고객사!$B$5:$B$104,MATCH($B642,고객사!$A$5:$A$104,0)),"코드 확인"))</f>
        <v/>
      </c>
      <c r="D642" s="15"/>
      <c r="E642" s="15"/>
      <c r="F642" s="16"/>
      <c r="G642" s="16"/>
      <c r="H642" s="21" t="str">
        <f aca="false">IF(OR($B642="",F642=0),"",G642/F642)</f>
        <v/>
      </c>
      <c r="I642" s="22" t="str">
        <f aca="false">IF($B642="","",MAX(F642-G642,0))</f>
        <v/>
      </c>
      <c r="J642" s="23" t="str">
        <f aca="false">IF($B642="","",IFERROR(INDEX(고객사!$G$5:$G$104,MATCH($B642,고객사!$A$5:$A$104,0)),""))</f>
        <v/>
      </c>
      <c r="K642" s="16"/>
      <c r="L642" s="22" t="str">
        <f aca="false">IF($B642="","",K642*IFERROR(INDEX(고객사!$L$5:$L$104,MATCH($B642,고객사!$A$5:$A$104,0)),0))</f>
        <v/>
      </c>
      <c r="M642" s="23" t="str">
        <f aca="false">IF($B642="","",IF(AND(J642="N",G642&gt;0,K642=0,IFERROR(INDEX(고객사!$H$5:$H$104,MATCH($B642,고객사!$A$5:$A$104,0)),"")="자사 차량 운행"),"차량 미배정",""))</f>
        <v/>
      </c>
      <c r="N642" s="22" t="str">
        <f aca="false">IF($B642="","",IFERROR(INDEX(고객사!$J$5:$J$104,MATCH($B642,고객사!$A$5:$A$104,0)),0))</f>
        <v/>
      </c>
      <c r="O642" s="22" t="str">
        <f aca="false">IF($B642="","",G642*N642)</f>
        <v/>
      </c>
      <c r="P642" s="22" t="str">
        <f aca="false">IF($B642="","",IFERROR(INDEX(고객사!$K$5:$K$104,MATCH($B642,고객사!$A$5:$A$104,0)),0))</f>
        <v/>
      </c>
      <c r="Q642" s="22" t="str">
        <f aca="false">IF($B642="","",G642*P642)</f>
        <v/>
      </c>
      <c r="R642" s="22" t="str">
        <f aca="false">IF($B642="","",O642-Q642-L642)</f>
        <v/>
      </c>
      <c r="S642" s="21" t="str">
        <f aca="false">IF(OR($B642="",N(O642)=0),"",R642/O642)</f>
        <v/>
      </c>
      <c r="T642" s="14"/>
      <c r="U642" s="19" t="n">
        <f aca="false">IF(OR($B642="",$A642=""),0,IF(COUNTIFS($A$5:$A642,$A642,$B$5:$B642,$B642)=1,1,0))</f>
        <v>0</v>
      </c>
    </row>
    <row r="643" customFormat="false" ht="15" hidden="false" customHeight="false" outlineLevel="0" collapsed="false">
      <c r="A643" s="17"/>
      <c r="B643" s="13"/>
      <c r="C643" s="20" t="str">
        <f aca="false">IF($B643="","",IFERROR(INDEX(고객사!$B$5:$B$104,MATCH($B643,고객사!$A$5:$A$104,0)),"코드 확인"))</f>
        <v/>
      </c>
      <c r="D643" s="15"/>
      <c r="E643" s="15"/>
      <c r="F643" s="16"/>
      <c r="G643" s="16"/>
      <c r="H643" s="21" t="str">
        <f aca="false">IF(OR($B643="",F643=0),"",G643/F643)</f>
        <v/>
      </c>
      <c r="I643" s="22" t="str">
        <f aca="false">IF($B643="","",MAX(F643-G643,0))</f>
        <v/>
      </c>
      <c r="J643" s="23" t="str">
        <f aca="false">IF($B643="","",IFERROR(INDEX(고객사!$G$5:$G$104,MATCH($B643,고객사!$A$5:$A$104,0)),""))</f>
        <v/>
      </c>
      <c r="K643" s="16"/>
      <c r="L643" s="22" t="str">
        <f aca="false">IF($B643="","",K643*IFERROR(INDEX(고객사!$L$5:$L$104,MATCH($B643,고객사!$A$5:$A$104,0)),0))</f>
        <v/>
      </c>
      <c r="M643" s="23" t="str">
        <f aca="false">IF($B643="","",IF(AND(J643="N",G643&gt;0,K643=0,IFERROR(INDEX(고객사!$H$5:$H$104,MATCH($B643,고객사!$A$5:$A$104,0)),"")="자사 차량 운행"),"차량 미배정",""))</f>
        <v/>
      </c>
      <c r="N643" s="22" t="str">
        <f aca="false">IF($B643="","",IFERROR(INDEX(고객사!$J$5:$J$104,MATCH($B643,고객사!$A$5:$A$104,0)),0))</f>
        <v/>
      </c>
      <c r="O643" s="22" t="str">
        <f aca="false">IF($B643="","",G643*N643)</f>
        <v/>
      </c>
      <c r="P643" s="22" t="str">
        <f aca="false">IF($B643="","",IFERROR(INDEX(고객사!$K$5:$K$104,MATCH($B643,고객사!$A$5:$A$104,0)),0))</f>
        <v/>
      </c>
      <c r="Q643" s="22" t="str">
        <f aca="false">IF($B643="","",G643*P643)</f>
        <v/>
      </c>
      <c r="R643" s="22" t="str">
        <f aca="false">IF($B643="","",O643-Q643-L643)</f>
        <v/>
      </c>
      <c r="S643" s="21" t="str">
        <f aca="false">IF(OR($B643="",N(O643)=0),"",R643/O643)</f>
        <v/>
      </c>
      <c r="T643" s="14"/>
      <c r="U643" s="19" t="n">
        <f aca="false">IF(OR($B643="",$A643=""),0,IF(COUNTIFS($A$5:$A643,$A643,$B$5:$B643,$B643)=1,1,0))</f>
        <v>0</v>
      </c>
    </row>
    <row r="644" customFormat="false" ht="15" hidden="false" customHeight="false" outlineLevel="0" collapsed="false">
      <c r="A644" s="17"/>
      <c r="B644" s="13"/>
      <c r="C644" s="20" t="str">
        <f aca="false">IF($B644="","",IFERROR(INDEX(고객사!$B$5:$B$104,MATCH($B644,고객사!$A$5:$A$104,0)),"코드 확인"))</f>
        <v/>
      </c>
      <c r="D644" s="15"/>
      <c r="E644" s="15"/>
      <c r="F644" s="16"/>
      <c r="G644" s="16"/>
      <c r="H644" s="21" t="str">
        <f aca="false">IF(OR($B644="",F644=0),"",G644/F644)</f>
        <v/>
      </c>
      <c r="I644" s="22" t="str">
        <f aca="false">IF($B644="","",MAX(F644-G644,0))</f>
        <v/>
      </c>
      <c r="J644" s="23" t="str">
        <f aca="false">IF($B644="","",IFERROR(INDEX(고객사!$G$5:$G$104,MATCH($B644,고객사!$A$5:$A$104,0)),""))</f>
        <v/>
      </c>
      <c r="K644" s="16"/>
      <c r="L644" s="22" t="str">
        <f aca="false">IF($B644="","",K644*IFERROR(INDEX(고객사!$L$5:$L$104,MATCH($B644,고객사!$A$5:$A$104,0)),0))</f>
        <v/>
      </c>
      <c r="M644" s="23" t="str">
        <f aca="false">IF($B644="","",IF(AND(J644="N",G644&gt;0,K644=0,IFERROR(INDEX(고객사!$H$5:$H$104,MATCH($B644,고객사!$A$5:$A$104,0)),"")="자사 차량 운행"),"차량 미배정",""))</f>
        <v/>
      </c>
      <c r="N644" s="22" t="str">
        <f aca="false">IF($B644="","",IFERROR(INDEX(고객사!$J$5:$J$104,MATCH($B644,고객사!$A$5:$A$104,0)),0))</f>
        <v/>
      </c>
      <c r="O644" s="22" t="str">
        <f aca="false">IF($B644="","",G644*N644)</f>
        <v/>
      </c>
      <c r="P644" s="22" t="str">
        <f aca="false">IF($B644="","",IFERROR(INDEX(고객사!$K$5:$K$104,MATCH($B644,고객사!$A$5:$A$104,0)),0))</f>
        <v/>
      </c>
      <c r="Q644" s="22" t="str">
        <f aca="false">IF($B644="","",G644*P644)</f>
        <v/>
      </c>
      <c r="R644" s="22" t="str">
        <f aca="false">IF($B644="","",O644-Q644-L644)</f>
        <v/>
      </c>
      <c r="S644" s="21" t="str">
        <f aca="false">IF(OR($B644="",N(O644)=0),"",R644/O644)</f>
        <v/>
      </c>
      <c r="T644" s="14"/>
      <c r="U644" s="19" t="n">
        <f aca="false">IF(OR($B644="",$A644=""),0,IF(COUNTIFS($A$5:$A644,$A644,$B$5:$B644,$B644)=1,1,0))</f>
        <v>0</v>
      </c>
    </row>
    <row r="645" customFormat="false" ht="15" hidden="false" customHeight="false" outlineLevel="0" collapsed="false">
      <c r="A645" s="17"/>
      <c r="B645" s="13"/>
      <c r="C645" s="20" t="str">
        <f aca="false">IF($B645="","",IFERROR(INDEX(고객사!$B$5:$B$104,MATCH($B645,고객사!$A$5:$A$104,0)),"코드 확인"))</f>
        <v/>
      </c>
      <c r="D645" s="15"/>
      <c r="E645" s="15"/>
      <c r="F645" s="16"/>
      <c r="G645" s="16"/>
      <c r="H645" s="21" t="str">
        <f aca="false">IF(OR($B645="",F645=0),"",G645/F645)</f>
        <v/>
      </c>
      <c r="I645" s="22" t="str">
        <f aca="false">IF($B645="","",MAX(F645-G645,0))</f>
        <v/>
      </c>
      <c r="J645" s="23" t="str">
        <f aca="false">IF($B645="","",IFERROR(INDEX(고객사!$G$5:$G$104,MATCH($B645,고객사!$A$5:$A$104,0)),""))</f>
        <v/>
      </c>
      <c r="K645" s="16"/>
      <c r="L645" s="22" t="str">
        <f aca="false">IF($B645="","",K645*IFERROR(INDEX(고객사!$L$5:$L$104,MATCH($B645,고객사!$A$5:$A$104,0)),0))</f>
        <v/>
      </c>
      <c r="M645" s="23" t="str">
        <f aca="false">IF($B645="","",IF(AND(J645="N",G645&gt;0,K645=0,IFERROR(INDEX(고객사!$H$5:$H$104,MATCH($B645,고객사!$A$5:$A$104,0)),"")="자사 차량 운행"),"차량 미배정",""))</f>
        <v/>
      </c>
      <c r="N645" s="22" t="str">
        <f aca="false">IF($B645="","",IFERROR(INDEX(고객사!$J$5:$J$104,MATCH($B645,고객사!$A$5:$A$104,0)),0))</f>
        <v/>
      </c>
      <c r="O645" s="22" t="str">
        <f aca="false">IF($B645="","",G645*N645)</f>
        <v/>
      </c>
      <c r="P645" s="22" t="str">
        <f aca="false">IF($B645="","",IFERROR(INDEX(고객사!$K$5:$K$104,MATCH($B645,고객사!$A$5:$A$104,0)),0))</f>
        <v/>
      </c>
      <c r="Q645" s="22" t="str">
        <f aca="false">IF($B645="","",G645*P645)</f>
        <v/>
      </c>
      <c r="R645" s="22" t="str">
        <f aca="false">IF($B645="","",O645-Q645-L645)</f>
        <v/>
      </c>
      <c r="S645" s="21" t="str">
        <f aca="false">IF(OR($B645="",N(O645)=0),"",R645/O645)</f>
        <v/>
      </c>
      <c r="T645" s="14"/>
      <c r="U645" s="19" t="n">
        <f aca="false">IF(OR($B645="",$A645=""),0,IF(COUNTIFS($A$5:$A645,$A645,$B$5:$B645,$B645)=1,1,0))</f>
        <v>0</v>
      </c>
    </row>
    <row r="646" customFormat="false" ht="15" hidden="false" customHeight="false" outlineLevel="0" collapsed="false">
      <c r="A646" s="17"/>
      <c r="B646" s="13"/>
      <c r="C646" s="20" t="str">
        <f aca="false">IF($B646="","",IFERROR(INDEX(고객사!$B$5:$B$104,MATCH($B646,고객사!$A$5:$A$104,0)),"코드 확인"))</f>
        <v/>
      </c>
      <c r="D646" s="15"/>
      <c r="E646" s="15"/>
      <c r="F646" s="16"/>
      <c r="G646" s="16"/>
      <c r="H646" s="21" t="str">
        <f aca="false">IF(OR($B646="",F646=0),"",G646/F646)</f>
        <v/>
      </c>
      <c r="I646" s="22" t="str">
        <f aca="false">IF($B646="","",MAX(F646-G646,0))</f>
        <v/>
      </c>
      <c r="J646" s="23" t="str">
        <f aca="false">IF($B646="","",IFERROR(INDEX(고객사!$G$5:$G$104,MATCH($B646,고객사!$A$5:$A$104,0)),""))</f>
        <v/>
      </c>
      <c r="K646" s="16"/>
      <c r="L646" s="22" t="str">
        <f aca="false">IF($B646="","",K646*IFERROR(INDEX(고객사!$L$5:$L$104,MATCH($B646,고객사!$A$5:$A$104,0)),0))</f>
        <v/>
      </c>
      <c r="M646" s="23" t="str">
        <f aca="false">IF($B646="","",IF(AND(J646="N",G646&gt;0,K646=0,IFERROR(INDEX(고객사!$H$5:$H$104,MATCH($B646,고객사!$A$5:$A$104,0)),"")="자사 차량 운행"),"차량 미배정",""))</f>
        <v/>
      </c>
      <c r="N646" s="22" t="str">
        <f aca="false">IF($B646="","",IFERROR(INDEX(고객사!$J$5:$J$104,MATCH($B646,고객사!$A$5:$A$104,0)),0))</f>
        <v/>
      </c>
      <c r="O646" s="22" t="str">
        <f aca="false">IF($B646="","",G646*N646)</f>
        <v/>
      </c>
      <c r="P646" s="22" t="str">
        <f aca="false">IF($B646="","",IFERROR(INDEX(고객사!$K$5:$K$104,MATCH($B646,고객사!$A$5:$A$104,0)),0))</f>
        <v/>
      </c>
      <c r="Q646" s="22" t="str">
        <f aca="false">IF($B646="","",G646*P646)</f>
        <v/>
      </c>
      <c r="R646" s="22" t="str">
        <f aca="false">IF($B646="","",O646-Q646-L646)</f>
        <v/>
      </c>
      <c r="S646" s="21" t="str">
        <f aca="false">IF(OR($B646="",N(O646)=0),"",R646/O646)</f>
        <v/>
      </c>
      <c r="T646" s="14"/>
      <c r="U646" s="19" t="n">
        <f aca="false">IF(OR($B646="",$A646=""),0,IF(COUNTIFS($A$5:$A646,$A646,$B$5:$B646,$B646)=1,1,0))</f>
        <v>0</v>
      </c>
    </row>
    <row r="647" customFormat="false" ht="15" hidden="false" customHeight="false" outlineLevel="0" collapsed="false">
      <c r="A647" s="17"/>
      <c r="B647" s="13"/>
      <c r="C647" s="20" t="str">
        <f aca="false">IF($B647="","",IFERROR(INDEX(고객사!$B$5:$B$104,MATCH($B647,고객사!$A$5:$A$104,0)),"코드 확인"))</f>
        <v/>
      </c>
      <c r="D647" s="15"/>
      <c r="E647" s="15"/>
      <c r="F647" s="16"/>
      <c r="G647" s="16"/>
      <c r="H647" s="21" t="str">
        <f aca="false">IF(OR($B647="",F647=0),"",G647/F647)</f>
        <v/>
      </c>
      <c r="I647" s="22" t="str">
        <f aca="false">IF($B647="","",MAX(F647-G647,0))</f>
        <v/>
      </c>
      <c r="J647" s="23" t="str">
        <f aca="false">IF($B647="","",IFERROR(INDEX(고객사!$G$5:$G$104,MATCH($B647,고객사!$A$5:$A$104,0)),""))</f>
        <v/>
      </c>
      <c r="K647" s="16"/>
      <c r="L647" s="22" t="str">
        <f aca="false">IF($B647="","",K647*IFERROR(INDEX(고객사!$L$5:$L$104,MATCH($B647,고객사!$A$5:$A$104,0)),0))</f>
        <v/>
      </c>
      <c r="M647" s="23" t="str">
        <f aca="false">IF($B647="","",IF(AND(J647="N",G647&gt;0,K647=0,IFERROR(INDEX(고객사!$H$5:$H$104,MATCH($B647,고객사!$A$5:$A$104,0)),"")="자사 차량 운행"),"차량 미배정",""))</f>
        <v/>
      </c>
      <c r="N647" s="22" t="str">
        <f aca="false">IF($B647="","",IFERROR(INDEX(고객사!$J$5:$J$104,MATCH($B647,고객사!$A$5:$A$104,0)),0))</f>
        <v/>
      </c>
      <c r="O647" s="22" t="str">
        <f aca="false">IF($B647="","",G647*N647)</f>
        <v/>
      </c>
      <c r="P647" s="22" t="str">
        <f aca="false">IF($B647="","",IFERROR(INDEX(고객사!$K$5:$K$104,MATCH($B647,고객사!$A$5:$A$104,0)),0))</f>
        <v/>
      </c>
      <c r="Q647" s="22" t="str">
        <f aca="false">IF($B647="","",G647*P647)</f>
        <v/>
      </c>
      <c r="R647" s="22" t="str">
        <f aca="false">IF($B647="","",O647-Q647-L647)</f>
        <v/>
      </c>
      <c r="S647" s="21" t="str">
        <f aca="false">IF(OR($B647="",N(O647)=0),"",R647/O647)</f>
        <v/>
      </c>
      <c r="T647" s="14"/>
      <c r="U647" s="19" t="n">
        <f aca="false">IF(OR($B647="",$A647=""),0,IF(COUNTIFS($A$5:$A647,$A647,$B$5:$B647,$B647)=1,1,0))</f>
        <v>0</v>
      </c>
    </row>
    <row r="648" customFormat="false" ht="15" hidden="false" customHeight="false" outlineLevel="0" collapsed="false">
      <c r="A648" s="17"/>
      <c r="B648" s="13"/>
      <c r="C648" s="20" t="str">
        <f aca="false">IF($B648="","",IFERROR(INDEX(고객사!$B$5:$B$104,MATCH($B648,고객사!$A$5:$A$104,0)),"코드 확인"))</f>
        <v/>
      </c>
      <c r="D648" s="15"/>
      <c r="E648" s="15"/>
      <c r="F648" s="16"/>
      <c r="G648" s="16"/>
      <c r="H648" s="21" t="str">
        <f aca="false">IF(OR($B648="",F648=0),"",G648/F648)</f>
        <v/>
      </c>
      <c r="I648" s="22" t="str">
        <f aca="false">IF($B648="","",MAX(F648-G648,0))</f>
        <v/>
      </c>
      <c r="J648" s="23" t="str">
        <f aca="false">IF($B648="","",IFERROR(INDEX(고객사!$G$5:$G$104,MATCH($B648,고객사!$A$5:$A$104,0)),""))</f>
        <v/>
      </c>
      <c r="K648" s="16"/>
      <c r="L648" s="22" t="str">
        <f aca="false">IF($B648="","",K648*IFERROR(INDEX(고객사!$L$5:$L$104,MATCH($B648,고객사!$A$5:$A$104,0)),0))</f>
        <v/>
      </c>
      <c r="M648" s="23" t="str">
        <f aca="false">IF($B648="","",IF(AND(J648="N",G648&gt;0,K648=0,IFERROR(INDEX(고객사!$H$5:$H$104,MATCH($B648,고객사!$A$5:$A$104,0)),"")="자사 차량 운행"),"차량 미배정",""))</f>
        <v/>
      </c>
      <c r="N648" s="22" t="str">
        <f aca="false">IF($B648="","",IFERROR(INDEX(고객사!$J$5:$J$104,MATCH($B648,고객사!$A$5:$A$104,0)),0))</f>
        <v/>
      </c>
      <c r="O648" s="22" t="str">
        <f aca="false">IF($B648="","",G648*N648)</f>
        <v/>
      </c>
      <c r="P648" s="22" t="str">
        <f aca="false">IF($B648="","",IFERROR(INDEX(고객사!$K$5:$K$104,MATCH($B648,고객사!$A$5:$A$104,0)),0))</f>
        <v/>
      </c>
      <c r="Q648" s="22" t="str">
        <f aca="false">IF($B648="","",G648*P648)</f>
        <v/>
      </c>
      <c r="R648" s="22" t="str">
        <f aca="false">IF($B648="","",O648-Q648-L648)</f>
        <v/>
      </c>
      <c r="S648" s="21" t="str">
        <f aca="false">IF(OR($B648="",N(O648)=0),"",R648/O648)</f>
        <v/>
      </c>
      <c r="T648" s="14"/>
      <c r="U648" s="19" t="n">
        <f aca="false">IF(OR($B648="",$A648=""),0,IF(COUNTIFS($A$5:$A648,$A648,$B$5:$B648,$B648)=1,1,0))</f>
        <v>0</v>
      </c>
    </row>
    <row r="649" customFormat="false" ht="15" hidden="false" customHeight="false" outlineLevel="0" collapsed="false">
      <c r="A649" s="17"/>
      <c r="B649" s="13"/>
      <c r="C649" s="20" t="str">
        <f aca="false">IF($B649="","",IFERROR(INDEX(고객사!$B$5:$B$104,MATCH($B649,고객사!$A$5:$A$104,0)),"코드 확인"))</f>
        <v/>
      </c>
      <c r="D649" s="15"/>
      <c r="E649" s="15"/>
      <c r="F649" s="16"/>
      <c r="G649" s="16"/>
      <c r="H649" s="21" t="str">
        <f aca="false">IF(OR($B649="",F649=0),"",G649/F649)</f>
        <v/>
      </c>
      <c r="I649" s="22" t="str">
        <f aca="false">IF($B649="","",MAX(F649-G649,0))</f>
        <v/>
      </c>
      <c r="J649" s="23" t="str">
        <f aca="false">IF($B649="","",IFERROR(INDEX(고객사!$G$5:$G$104,MATCH($B649,고객사!$A$5:$A$104,0)),""))</f>
        <v/>
      </c>
      <c r="K649" s="16"/>
      <c r="L649" s="22" t="str">
        <f aca="false">IF($B649="","",K649*IFERROR(INDEX(고객사!$L$5:$L$104,MATCH($B649,고객사!$A$5:$A$104,0)),0))</f>
        <v/>
      </c>
      <c r="M649" s="23" t="str">
        <f aca="false">IF($B649="","",IF(AND(J649="N",G649&gt;0,K649=0,IFERROR(INDEX(고객사!$H$5:$H$104,MATCH($B649,고객사!$A$5:$A$104,0)),"")="자사 차량 운행"),"차량 미배정",""))</f>
        <v/>
      </c>
      <c r="N649" s="22" t="str">
        <f aca="false">IF($B649="","",IFERROR(INDEX(고객사!$J$5:$J$104,MATCH($B649,고객사!$A$5:$A$104,0)),0))</f>
        <v/>
      </c>
      <c r="O649" s="22" t="str">
        <f aca="false">IF($B649="","",G649*N649)</f>
        <v/>
      </c>
      <c r="P649" s="22" t="str">
        <f aca="false">IF($B649="","",IFERROR(INDEX(고객사!$K$5:$K$104,MATCH($B649,고객사!$A$5:$A$104,0)),0))</f>
        <v/>
      </c>
      <c r="Q649" s="22" t="str">
        <f aca="false">IF($B649="","",G649*P649)</f>
        <v/>
      </c>
      <c r="R649" s="22" t="str">
        <f aca="false">IF($B649="","",O649-Q649-L649)</f>
        <v/>
      </c>
      <c r="S649" s="21" t="str">
        <f aca="false">IF(OR($B649="",N(O649)=0),"",R649/O649)</f>
        <v/>
      </c>
      <c r="T649" s="14"/>
      <c r="U649" s="19" t="n">
        <f aca="false">IF(OR($B649="",$A649=""),0,IF(COUNTIFS($A$5:$A649,$A649,$B$5:$B649,$B649)=1,1,0))</f>
        <v>0</v>
      </c>
    </row>
    <row r="650" customFormat="false" ht="15" hidden="false" customHeight="false" outlineLevel="0" collapsed="false">
      <c r="A650" s="17"/>
      <c r="B650" s="13"/>
      <c r="C650" s="20" t="str">
        <f aca="false">IF($B650="","",IFERROR(INDEX(고객사!$B$5:$B$104,MATCH($B650,고객사!$A$5:$A$104,0)),"코드 확인"))</f>
        <v/>
      </c>
      <c r="D650" s="15"/>
      <c r="E650" s="15"/>
      <c r="F650" s="16"/>
      <c r="G650" s="16"/>
      <c r="H650" s="21" t="str">
        <f aca="false">IF(OR($B650="",F650=0),"",G650/F650)</f>
        <v/>
      </c>
      <c r="I650" s="22" t="str">
        <f aca="false">IF($B650="","",MAX(F650-G650,0))</f>
        <v/>
      </c>
      <c r="J650" s="23" t="str">
        <f aca="false">IF($B650="","",IFERROR(INDEX(고객사!$G$5:$G$104,MATCH($B650,고객사!$A$5:$A$104,0)),""))</f>
        <v/>
      </c>
      <c r="K650" s="16"/>
      <c r="L650" s="22" t="str">
        <f aca="false">IF($B650="","",K650*IFERROR(INDEX(고객사!$L$5:$L$104,MATCH($B650,고객사!$A$5:$A$104,0)),0))</f>
        <v/>
      </c>
      <c r="M650" s="23" t="str">
        <f aca="false">IF($B650="","",IF(AND(J650="N",G650&gt;0,K650=0,IFERROR(INDEX(고객사!$H$5:$H$104,MATCH($B650,고객사!$A$5:$A$104,0)),"")="자사 차량 운행"),"차량 미배정",""))</f>
        <v/>
      </c>
      <c r="N650" s="22" t="str">
        <f aca="false">IF($B650="","",IFERROR(INDEX(고객사!$J$5:$J$104,MATCH($B650,고객사!$A$5:$A$104,0)),0))</f>
        <v/>
      </c>
      <c r="O650" s="22" t="str">
        <f aca="false">IF($B650="","",G650*N650)</f>
        <v/>
      </c>
      <c r="P650" s="22" t="str">
        <f aca="false">IF($B650="","",IFERROR(INDEX(고객사!$K$5:$K$104,MATCH($B650,고객사!$A$5:$A$104,0)),0))</f>
        <v/>
      </c>
      <c r="Q650" s="22" t="str">
        <f aca="false">IF($B650="","",G650*P650)</f>
        <v/>
      </c>
      <c r="R650" s="22" t="str">
        <f aca="false">IF($B650="","",O650-Q650-L650)</f>
        <v/>
      </c>
      <c r="S650" s="21" t="str">
        <f aca="false">IF(OR($B650="",N(O650)=0),"",R650/O650)</f>
        <v/>
      </c>
      <c r="T650" s="14"/>
      <c r="U650" s="19" t="n">
        <f aca="false">IF(OR($B650="",$A650=""),0,IF(COUNTIFS($A$5:$A650,$A650,$B$5:$B650,$B650)=1,1,0))</f>
        <v>0</v>
      </c>
    </row>
    <row r="651" customFormat="false" ht="15" hidden="false" customHeight="false" outlineLevel="0" collapsed="false">
      <c r="A651" s="17"/>
      <c r="B651" s="13"/>
      <c r="C651" s="20" t="str">
        <f aca="false">IF($B651="","",IFERROR(INDEX(고객사!$B$5:$B$104,MATCH($B651,고객사!$A$5:$A$104,0)),"코드 확인"))</f>
        <v/>
      </c>
      <c r="D651" s="15"/>
      <c r="E651" s="15"/>
      <c r="F651" s="16"/>
      <c r="G651" s="16"/>
      <c r="H651" s="21" t="str">
        <f aca="false">IF(OR($B651="",F651=0),"",G651/F651)</f>
        <v/>
      </c>
      <c r="I651" s="22" t="str">
        <f aca="false">IF($B651="","",MAX(F651-G651,0))</f>
        <v/>
      </c>
      <c r="J651" s="23" t="str">
        <f aca="false">IF($B651="","",IFERROR(INDEX(고객사!$G$5:$G$104,MATCH($B651,고객사!$A$5:$A$104,0)),""))</f>
        <v/>
      </c>
      <c r="K651" s="16"/>
      <c r="L651" s="22" t="str">
        <f aca="false">IF($B651="","",K651*IFERROR(INDEX(고객사!$L$5:$L$104,MATCH($B651,고객사!$A$5:$A$104,0)),0))</f>
        <v/>
      </c>
      <c r="M651" s="23" t="str">
        <f aca="false">IF($B651="","",IF(AND(J651="N",G651&gt;0,K651=0,IFERROR(INDEX(고객사!$H$5:$H$104,MATCH($B651,고객사!$A$5:$A$104,0)),"")="자사 차량 운행"),"차량 미배정",""))</f>
        <v/>
      </c>
      <c r="N651" s="22" t="str">
        <f aca="false">IF($B651="","",IFERROR(INDEX(고객사!$J$5:$J$104,MATCH($B651,고객사!$A$5:$A$104,0)),0))</f>
        <v/>
      </c>
      <c r="O651" s="22" t="str">
        <f aca="false">IF($B651="","",G651*N651)</f>
        <v/>
      </c>
      <c r="P651" s="22" t="str">
        <f aca="false">IF($B651="","",IFERROR(INDEX(고객사!$K$5:$K$104,MATCH($B651,고객사!$A$5:$A$104,0)),0))</f>
        <v/>
      </c>
      <c r="Q651" s="22" t="str">
        <f aca="false">IF($B651="","",G651*P651)</f>
        <v/>
      </c>
      <c r="R651" s="22" t="str">
        <f aca="false">IF($B651="","",O651-Q651-L651)</f>
        <v/>
      </c>
      <c r="S651" s="21" t="str">
        <f aca="false">IF(OR($B651="",N(O651)=0),"",R651/O651)</f>
        <v/>
      </c>
      <c r="T651" s="14"/>
      <c r="U651" s="19" t="n">
        <f aca="false">IF(OR($B651="",$A651=""),0,IF(COUNTIFS($A$5:$A651,$A651,$B$5:$B651,$B651)=1,1,0))</f>
        <v>0</v>
      </c>
    </row>
    <row r="652" customFormat="false" ht="15" hidden="false" customHeight="false" outlineLevel="0" collapsed="false">
      <c r="A652" s="17"/>
      <c r="B652" s="13"/>
      <c r="C652" s="20" t="str">
        <f aca="false">IF($B652="","",IFERROR(INDEX(고객사!$B$5:$B$104,MATCH($B652,고객사!$A$5:$A$104,0)),"코드 확인"))</f>
        <v/>
      </c>
      <c r="D652" s="15"/>
      <c r="E652" s="15"/>
      <c r="F652" s="16"/>
      <c r="G652" s="16"/>
      <c r="H652" s="21" t="str">
        <f aca="false">IF(OR($B652="",F652=0),"",G652/F652)</f>
        <v/>
      </c>
      <c r="I652" s="22" t="str">
        <f aca="false">IF($B652="","",MAX(F652-G652,0))</f>
        <v/>
      </c>
      <c r="J652" s="23" t="str">
        <f aca="false">IF($B652="","",IFERROR(INDEX(고객사!$G$5:$G$104,MATCH($B652,고객사!$A$5:$A$104,0)),""))</f>
        <v/>
      </c>
      <c r="K652" s="16"/>
      <c r="L652" s="22" t="str">
        <f aca="false">IF($B652="","",K652*IFERROR(INDEX(고객사!$L$5:$L$104,MATCH($B652,고객사!$A$5:$A$104,0)),0))</f>
        <v/>
      </c>
      <c r="M652" s="23" t="str">
        <f aca="false">IF($B652="","",IF(AND(J652="N",G652&gt;0,K652=0,IFERROR(INDEX(고객사!$H$5:$H$104,MATCH($B652,고객사!$A$5:$A$104,0)),"")="자사 차량 운행"),"차량 미배정",""))</f>
        <v/>
      </c>
      <c r="N652" s="22" t="str">
        <f aca="false">IF($B652="","",IFERROR(INDEX(고객사!$J$5:$J$104,MATCH($B652,고객사!$A$5:$A$104,0)),0))</f>
        <v/>
      </c>
      <c r="O652" s="22" t="str">
        <f aca="false">IF($B652="","",G652*N652)</f>
        <v/>
      </c>
      <c r="P652" s="22" t="str">
        <f aca="false">IF($B652="","",IFERROR(INDEX(고객사!$K$5:$K$104,MATCH($B652,고객사!$A$5:$A$104,0)),0))</f>
        <v/>
      </c>
      <c r="Q652" s="22" t="str">
        <f aca="false">IF($B652="","",G652*P652)</f>
        <v/>
      </c>
      <c r="R652" s="22" t="str">
        <f aca="false">IF($B652="","",O652-Q652-L652)</f>
        <v/>
      </c>
      <c r="S652" s="21" t="str">
        <f aca="false">IF(OR($B652="",N(O652)=0),"",R652/O652)</f>
        <v/>
      </c>
      <c r="T652" s="14"/>
      <c r="U652" s="19" t="n">
        <f aca="false">IF(OR($B652="",$A652=""),0,IF(COUNTIFS($A$5:$A652,$A652,$B$5:$B652,$B652)=1,1,0))</f>
        <v>0</v>
      </c>
    </row>
    <row r="653" customFormat="false" ht="15" hidden="false" customHeight="false" outlineLevel="0" collapsed="false">
      <c r="A653" s="17"/>
      <c r="B653" s="13"/>
      <c r="C653" s="20" t="str">
        <f aca="false">IF($B653="","",IFERROR(INDEX(고객사!$B$5:$B$104,MATCH($B653,고객사!$A$5:$A$104,0)),"코드 확인"))</f>
        <v/>
      </c>
      <c r="D653" s="15"/>
      <c r="E653" s="15"/>
      <c r="F653" s="16"/>
      <c r="G653" s="16"/>
      <c r="H653" s="21" t="str">
        <f aca="false">IF(OR($B653="",F653=0),"",G653/F653)</f>
        <v/>
      </c>
      <c r="I653" s="22" t="str">
        <f aca="false">IF($B653="","",MAX(F653-G653,0))</f>
        <v/>
      </c>
      <c r="J653" s="23" t="str">
        <f aca="false">IF($B653="","",IFERROR(INDEX(고객사!$G$5:$G$104,MATCH($B653,고객사!$A$5:$A$104,0)),""))</f>
        <v/>
      </c>
      <c r="K653" s="16"/>
      <c r="L653" s="22" t="str">
        <f aca="false">IF($B653="","",K653*IFERROR(INDEX(고객사!$L$5:$L$104,MATCH($B653,고객사!$A$5:$A$104,0)),0))</f>
        <v/>
      </c>
      <c r="M653" s="23" t="str">
        <f aca="false">IF($B653="","",IF(AND(J653="N",G653&gt;0,K653=0,IFERROR(INDEX(고객사!$H$5:$H$104,MATCH($B653,고객사!$A$5:$A$104,0)),"")="자사 차량 운행"),"차량 미배정",""))</f>
        <v/>
      </c>
      <c r="N653" s="22" t="str">
        <f aca="false">IF($B653="","",IFERROR(INDEX(고객사!$J$5:$J$104,MATCH($B653,고객사!$A$5:$A$104,0)),0))</f>
        <v/>
      </c>
      <c r="O653" s="22" t="str">
        <f aca="false">IF($B653="","",G653*N653)</f>
        <v/>
      </c>
      <c r="P653" s="22" t="str">
        <f aca="false">IF($B653="","",IFERROR(INDEX(고객사!$K$5:$K$104,MATCH($B653,고객사!$A$5:$A$104,0)),0))</f>
        <v/>
      </c>
      <c r="Q653" s="22" t="str">
        <f aca="false">IF($B653="","",G653*P653)</f>
        <v/>
      </c>
      <c r="R653" s="22" t="str">
        <f aca="false">IF($B653="","",O653-Q653-L653)</f>
        <v/>
      </c>
      <c r="S653" s="21" t="str">
        <f aca="false">IF(OR($B653="",N(O653)=0),"",R653/O653)</f>
        <v/>
      </c>
      <c r="T653" s="14"/>
      <c r="U653" s="19" t="n">
        <f aca="false">IF(OR($B653="",$A653=""),0,IF(COUNTIFS($A$5:$A653,$A653,$B$5:$B653,$B653)=1,1,0))</f>
        <v>0</v>
      </c>
    </row>
    <row r="654" customFormat="false" ht="15" hidden="false" customHeight="false" outlineLevel="0" collapsed="false">
      <c r="A654" s="17"/>
      <c r="B654" s="13"/>
      <c r="C654" s="20" t="str">
        <f aca="false">IF($B654="","",IFERROR(INDEX(고객사!$B$5:$B$104,MATCH($B654,고객사!$A$5:$A$104,0)),"코드 확인"))</f>
        <v/>
      </c>
      <c r="D654" s="15"/>
      <c r="E654" s="15"/>
      <c r="F654" s="16"/>
      <c r="G654" s="16"/>
      <c r="H654" s="21" t="str">
        <f aca="false">IF(OR($B654="",F654=0),"",G654/F654)</f>
        <v/>
      </c>
      <c r="I654" s="22" t="str">
        <f aca="false">IF($B654="","",MAX(F654-G654,0))</f>
        <v/>
      </c>
      <c r="J654" s="23" t="str">
        <f aca="false">IF($B654="","",IFERROR(INDEX(고객사!$G$5:$G$104,MATCH($B654,고객사!$A$5:$A$104,0)),""))</f>
        <v/>
      </c>
      <c r="K654" s="16"/>
      <c r="L654" s="22" t="str">
        <f aca="false">IF($B654="","",K654*IFERROR(INDEX(고객사!$L$5:$L$104,MATCH($B654,고객사!$A$5:$A$104,0)),0))</f>
        <v/>
      </c>
      <c r="M654" s="23" t="str">
        <f aca="false">IF($B654="","",IF(AND(J654="N",G654&gt;0,K654=0,IFERROR(INDEX(고객사!$H$5:$H$104,MATCH($B654,고객사!$A$5:$A$104,0)),"")="자사 차량 운행"),"차량 미배정",""))</f>
        <v/>
      </c>
      <c r="N654" s="22" t="str">
        <f aca="false">IF($B654="","",IFERROR(INDEX(고객사!$J$5:$J$104,MATCH($B654,고객사!$A$5:$A$104,0)),0))</f>
        <v/>
      </c>
      <c r="O654" s="22" t="str">
        <f aca="false">IF($B654="","",G654*N654)</f>
        <v/>
      </c>
      <c r="P654" s="22" t="str">
        <f aca="false">IF($B654="","",IFERROR(INDEX(고객사!$K$5:$K$104,MATCH($B654,고객사!$A$5:$A$104,0)),0))</f>
        <v/>
      </c>
      <c r="Q654" s="22" t="str">
        <f aca="false">IF($B654="","",G654*P654)</f>
        <v/>
      </c>
      <c r="R654" s="22" t="str">
        <f aca="false">IF($B654="","",O654-Q654-L654)</f>
        <v/>
      </c>
      <c r="S654" s="21" t="str">
        <f aca="false">IF(OR($B654="",N(O654)=0),"",R654/O654)</f>
        <v/>
      </c>
      <c r="T654" s="14"/>
      <c r="U654" s="19" t="n">
        <f aca="false">IF(OR($B654="",$A654=""),0,IF(COUNTIFS($A$5:$A654,$A654,$B$5:$B654,$B654)=1,1,0))</f>
        <v>0</v>
      </c>
    </row>
    <row r="655" customFormat="false" ht="15" hidden="false" customHeight="false" outlineLevel="0" collapsed="false">
      <c r="A655" s="17"/>
      <c r="B655" s="13"/>
      <c r="C655" s="20" t="str">
        <f aca="false">IF($B655="","",IFERROR(INDEX(고객사!$B$5:$B$104,MATCH($B655,고객사!$A$5:$A$104,0)),"코드 확인"))</f>
        <v/>
      </c>
      <c r="D655" s="15"/>
      <c r="E655" s="15"/>
      <c r="F655" s="16"/>
      <c r="G655" s="16"/>
      <c r="H655" s="21" t="str">
        <f aca="false">IF(OR($B655="",F655=0),"",G655/F655)</f>
        <v/>
      </c>
      <c r="I655" s="22" t="str">
        <f aca="false">IF($B655="","",MAX(F655-G655,0))</f>
        <v/>
      </c>
      <c r="J655" s="23" t="str">
        <f aca="false">IF($B655="","",IFERROR(INDEX(고객사!$G$5:$G$104,MATCH($B655,고객사!$A$5:$A$104,0)),""))</f>
        <v/>
      </c>
      <c r="K655" s="16"/>
      <c r="L655" s="22" t="str">
        <f aca="false">IF($B655="","",K655*IFERROR(INDEX(고객사!$L$5:$L$104,MATCH($B655,고객사!$A$5:$A$104,0)),0))</f>
        <v/>
      </c>
      <c r="M655" s="23" t="str">
        <f aca="false">IF($B655="","",IF(AND(J655="N",G655&gt;0,K655=0,IFERROR(INDEX(고객사!$H$5:$H$104,MATCH($B655,고객사!$A$5:$A$104,0)),"")="자사 차량 운행"),"차량 미배정",""))</f>
        <v/>
      </c>
      <c r="N655" s="22" t="str">
        <f aca="false">IF($B655="","",IFERROR(INDEX(고객사!$J$5:$J$104,MATCH($B655,고객사!$A$5:$A$104,0)),0))</f>
        <v/>
      </c>
      <c r="O655" s="22" t="str">
        <f aca="false">IF($B655="","",G655*N655)</f>
        <v/>
      </c>
      <c r="P655" s="22" t="str">
        <f aca="false">IF($B655="","",IFERROR(INDEX(고객사!$K$5:$K$104,MATCH($B655,고객사!$A$5:$A$104,0)),0))</f>
        <v/>
      </c>
      <c r="Q655" s="22" t="str">
        <f aca="false">IF($B655="","",G655*P655)</f>
        <v/>
      </c>
      <c r="R655" s="22" t="str">
        <f aca="false">IF($B655="","",O655-Q655-L655)</f>
        <v/>
      </c>
      <c r="S655" s="21" t="str">
        <f aca="false">IF(OR($B655="",N(O655)=0),"",R655/O655)</f>
        <v/>
      </c>
      <c r="T655" s="14"/>
      <c r="U655" s="19" t="n">
        <f aca="false">IF(OR($B655="",$A655=""),0,IF(COUNTIFS($A$5:$A655,$A655,$B$5:$B655,$B655)=1,1,0))</f>
        <v>0</v>
      </c>
    </row>
    <row r="656" customFormat="false" ht="15" hidden="false" customHeight="false" outlineLevel="0" collapsed="false">
      <c r="A656" s="17"/>
      <c r="B656" s="13"/>
      <c r="C656" s="20" t="str">
        <f aca="false">IF($B656="","",IFERROR(INDEX(고객사!$B$5:$B$104,MATCH($B656,고객사!$A$5:$A$104,0)),"코드 확인"))</f>
        <v/>
      </c>
      <c r="D656" s="15"/>
      <c r="E656" s="15"/>
      <c r="F656" s="16"/>
      <c r="G656" s="16"/>
      <c r="H656" s="21" t="str">
        <f aca="false">IF(OR($B656="",F656=0),"",G656/F656)</f>
        <v/>
      </c>
      <c r="I656" s="22" t="str">
        <f aca="false">IF($B656="","",MAX(F656-G656,0))</f>
        <v/>
      </c>
      <c r="J656" s="23" t="str">
        <f aca="false">IF($B656="","",IFERROR(INDEX(고객사!$G$5:$G$104,MATCH($B656,고객사!$A$5:$A$104,0)),""))</f>
        <v/>
      </c>
      <c r="K656" s="16"/>
      <c r="L656" s="22" t="str">
        <f aca="false">IF($B656="","",K656*IFERROR(INDEX(고객사!$L$5:$L$104,MATCH($B656,고객사!$A$5:$A$104,0)),0))</f>
        <v/>
      </c>
      <c r="M656" s="23" t="str">
        <f aca="false">IF($B656="","",IF(AND(J656="N",G656&gt;0,K656=0,IFERROR(INDEX(고객사!$H$5:$H$104,MATCH($B656,고객사!$A$5:$A$104,0)),"")="자사 차량 운행"),"차량 미배정",""))</f>
        <v/>
      </c>
      <c r="N656" s="22" t="str">
        <f aca="false">IF($B656="","",IFERROR(INDEX(고객사!$J$5:$J$104,MATCH($B656,고객사!$A$5:$A$104,0)),0))</f>
        <v/>
      </c>
      <c r="O656" s="22" t="str">
        <f aca="false">IF($B656="","",G656*N656)</f>
        <v/>
      </c>
      <c r="P656" s="22" t="str">
        <f aca="false">IF($B656="","",IFERROR(INDEX(고객사!$K$5:$K$104,MATCH($B656,고객사!$A$5:$A$104,0)),0))</f>
        <v/>
      </c>
      <c r="Q656" s="22" t="str">
        <f aca="false">IF($B656="","",G656*P656)</f>
        <v/>
      </c>
      <c r="R656" s="22" t="str">
        <f aca="false">IF($B656="","",O656-Q656-L656)</f>
        <v/>
      </c>
      <c r="S656" s="21" t="str">
        <f aca="false">IF(OR($B656="",N(O656)=0),"",R656/O656)</f>
        <v/>
      </c>
      <c r="T656" s="14"/>
      <c r="U656" s="19" t="n">
        <f aca="false">IF(OR($B656="",$A656=""),0,IF(COUNTIFS($A$5:$A656,$A656,$B$5:$B656,$B656)=1,1,0))</f>
        <v>0</v>
      </c>
    </row>
    <row r="657" customFormat="false" ht="15" hidden="false" customHeight="false" outlineLevel="0" collapsed="false">
      <c r="A657" s="17"/>
      <c r="B657" s="13"/>
      <c r="C657" s="20" t="str">
        <f aca="false">IF($B657="","",IFERROR(INDEX(고객사!$B$5:$B$104,MATCH($B657,고객사!$A$5:$A$104,0)),"코드 확인"))</f>
        <v/>
      </c>
      <c r="D657" s="15"/>
      <c r="E657" s="15"/>
      <c r="F657" s="16"/>
      <c r="G657" s="16"/>
      <c r="H657" s="21" t="str">
        <f aca="false">IF(OR($B657="",F657=0),"",G657/F657)</f>
        <v/>
      </c>
      <c r="I657" s="22" t="str">
        <f aca="false">IF($B657="","",MAX(F657-G657,0))</f>
        <v/>
      </c>
      <c r="J657" s="23" t="str">
        <f aca="false">IF($B657="","",IFERROR(INDEX(고객사!$G$5:$G$104,MATCH($B657,고객사!$A$5:$A$104,0)),""))</f>
        <v/>
      </c>
      <c r="K657" s="16"/>
      <c r="L657" s="22" t="str">
        <f aca="false">IF($B657="","",K657*IFERROR(INDEX(고객사!$L$5:$L$104,MATCH($B657,고객사!$A$5:$A$104,0)),0))</f>
        <v/>
      </c>
      <c r="M657" s="23" t="str">
        <f aca="false">IF($B657="","",IF(AND(J657="N",G657&gt;0,K657=0,IFERROR(INDEX(고객사!$H$5:$H$104,MATCH($B657,고객사!$A$5:$A$104,0)),"")="자사 차량 운행"),"차량 미배정",""))</f>
        <v/>
      </c>
      <c r="N657" s="22" t="str">
        <f aca="false">IF($B657="","",IFERROR(INDEX(고객사!$J$5:$J$104,MATCH($B657,고객사!$A$5:$A$104,0)),0))</f>
        <v/>
      </c>
      <c r="O657" s="22" t="str">
        <f aca="false">IF($B657="","",G657*N657)</f>
        <v/>
      </c>
      <c r="P657" s="22" t="str">
        <f aca="false">IF($B657="","",IFERROR(INDEX(고객사!$K$5:$K$104,MATCH($B657,고객사!$A$5:$A$104,0)),0))</f>
        <v/>
      </c>
      <c r="Q657" s="22" t="str">
        <f aca="false">IF($B657="","",G657*P657)</f>
        <v/>
      </c>
      <c r="R657" s="22" t="str">
        <f aca="false">IF($B657="","",O657-Q657-L657)</f>
        <v/>
      </c>
      <c r="S657" s="21" t="str">
        <f aca="false">IF(OR($B657="",N(O657)=0),"",R657/O657)</f>
        <v/>
      </c>
      <c r="T657" s="14"/>
      <c r="U657" s="19" t="n">
        <f aca="false">IF(OR($B657="",$A657=""),0,IF(COUNTIFS($A$5:$A657,$A657,$B$5:$B657,$B657)=1,1,0))</f>
        <v>0</v>
      </c>
    </row>
    <row r="658" customFormat="false" ht="15" hidden="false" customHeight="false" outlineLevel="0" collapsed="false">
      <c r="A658" s="17"/>
      <c r="B658" s="13"/>
      <c r="C658" s="20" t="str">
        <f aca="false">IF($B658="","",IFERROR(INDEX(고객사!$B$5:$B$104,MATCH($B658,고객사!$A$5:$A$104,0)),"코드 확인"))</f>
        <v/>
      </c>
      <c r="D658" s="15"/>
      <c r="E658" s="15"/>
      <c r="F658" s="16"/>
      <c r="G658" s="16"/>
      <c r="H658" s="21" t="str">
        <f aca="false">IF(OR($B658="",F658=0),"",G658/F658)</f>
        <v/>
      </c>
      <c r="I658" s="22" t="str">
        <f aca="false">IF($B658="","",MAX(F658-G658,0))</f>
        <v/>
      </c>
      <c r="J658" s="23" t="str">
        <f aca="false">IF($B658="","",IFERROR(INDEX(고객사!$G$5:$G$104,MATCH($B658,고객사!$A$5:$A$104,0)),""))</f>
        <v/>
      </c>
      <c r="K658" s="16"/>
      <c r="L658" s="22" t="str">
        <f aca="false">IF($B658="","",K658*IFERROR(INDEX(고객사!$L$5:$L$104,MATCH($B658,고객사!$A$5:$A$104,0)),0))</f>
        <v/>
      </c>
      <c r="M658" s="23" t="str">
        <f aca="false">IF($B658="","",IF(AND(J658="N",G658&gt;0,K658=0,IFERROR(INDEX(고객사!$H$5:$H$104,MATCH($B658,고객사!$A$5:$A$104,0)),"")="자사 차량 운행"),"차량 미배정",""))</f>
        <v/>
      </c>
      <c r="N658" s="22" t="str">
        <f aca="false">IF($B658="","",IFERROR(INDEX(고객사!$J$5:$J$104,MATCH($B658,고객사!$A$5:$A$104,0)),0))</f>
        <v/>
      </c>
      <c r="O658" s="22" t="str">
        <f aca="false">IF($B658="","",G658*N658)</f>
        <v/>
      </c>
      <c r="P658" s="22" t="str">
        <f aca="false">IF($B658="","",IFERROR(INDEX(고객사!$K$5:$K$104,MATCH($B658,고객사!$A$5:$A$104,0)),0))</f>
        <v/>
      </c>
      <c r="Q658" s="22" t="str">
        <f aca="false">IF($B658="","",G658*P658)</f>
        <v/>
      </c>
      <c r="R658" s="22" t="str">
        <f aca="false">IF($B658="","",O658-Q658-L658)</f>
        <v/>
      </c>
      <c r="S658" s="21" t="str">
        <f aca="false">IF(OR($B658="",N(O658)=0),"",R658/O658)</f>
        <v/>
      </c>
      <c r="T658" s="14"/>
      <c r="U658" s="19" t="n">
        <f aca="false">IF(OR($B658="",$A658=""),0,IF(COUNTIFS($A$5:$A658,$A658,$B$5:$B658,$B658)=1,1,0))</f>
        <v>0</v>
      </c>
    </row>
    <row r="659" customFormat="false" ht="15" hidden="false" customHeight="false" outlineLevel="0" collapsed="false">
      <c r="A659" s="17"/>
      <c r="B659" s="13"/>
      <c r="C659" s="20" t="str">
        <f aca="false">IF($B659="","",IFERROR(INDEX(고객사!$B$5:$B$104,MATCH($B659,고객사!$A$5:$A$104,0)),"코드 확인"))</f>
        <v/>
      </c>
      <c r="D659" s="15"/>
      <c r="E659" s="15"/>
      <c r="F659" s="16"/>
      <c r="G659" s="16"/>
      <c r="H659" s="21" t="str">
        <f aca="false">IF(OR($B659="",F659=0),"",G659/F659)</f>
        <v/>
      </c>
      <c r="I659" s="22" t="str">
        <f aca="false">IF($B659="","",MAX(F659-G659,0))</f>
        <v/>
      </c>
      <c r="J659" s="23" t="str">
        <f aca="false">IF($B659="","",IFERROR(INDEX(고객사!$G$5:$G$104,MATCH($B659,고객사!$A$5:$A$104,0)),""))</f>
        <v/>
      </c>
      <c r="K659" s="16"/>
      <c r="L659" s="22" t="str">
        <f aca="false">IF($B659="","",K659*IFERROR(INDEX(고객사!$L$5:$L$104,MATCH($B659,고객사!$A$5:$A$104,0)),0))</f>
        <v/>
      </c>
      <c r="M659" s="23" t="str">
        <f aca="false">IF($B659="","",IF(AND(J659="N",G659&gt;0,K659=0,IFERROR(INDEX(고객사!$H$5:$H$104,MATCH($B659,고객사!$A$5:$A$104,0)),"")="자사 차량 운행"),"차량 미배정",""))</f>
        <v/>
      </c>
      <c r="N659" s="22" t="str">
        <f aca="false">IF($B659="","",IFERROR(INDEX(고객사!$J$5:$J$104,MATCH($B659,고객사!$A$5:$A$104,0)),0))</f>
        <v/>
      </c>
      <c r="O659" s="22" t="str">
        <f aca="false">IF($B659="","",G659*N659)</f>
        <v/>
      </c>
      <c r="P659" s="22" t="str">
        <f aca="false">IF($B659="","",IFERROR(INDEX(고객사!$K$5:$K$104,MATCH($B659,고객사!$A$5:$A$104,0)),0))</f>
        <v/>
      </c>
      <c r="Q659" s="22" t="str">
        <f aca="false">IF($B659="","",G659*P659)</f>
        <v/>
      </c>
      <c r="R659" s="22" t="str">
        <f aca="false">IF($B659="","",O659-Q659-L659)</f>
        <v/>
      </c>
      <c r="S659" s="21" t="str">
        <f aca="false">IF(OR($B659="",N(O659)=0),"",R659/O659)</f>
        <v/>
      </c>
      <c r="T659" s="14"/>
      <c r="U659" s="19" t="n">
        <f aca="false">IF(OR($B659="",$A659=""),0,IF(COUNTIFS($A$5:$A659,$A659,$B$5:$B659,$B659)=1,1,0))</f>
        <v>0</v>
      </c>
    </row>
    <row r="660" customFormat="false" ht="15" hidden="false" customHeight="false" outlineLevel="0" collapsed="false">
      <c r="A660" s="17"/>
      <c r="B660" s="13"/>
      <c r="C660" s="20" t="str">
        <f aca="false">IF($B660="","",IFERROR(INDEX(고객사!$B$5:$B$104,MATCH($B660,고객사!$A$5:$A$104,0)),"코드 확인"))</f>
        <v/>
      </c>
      <c r="D660" s="15"/>
      <c r="E660" s="15"/>
      <c r="F660" s="16"/>
      <c r="G660" s="16"/>
      <c r="H660" s="21" t="str">
        <f aca="false">IF(OR($B660="",F660=0),"",G660/F660)</f>
        <v/>
      </c>
      <c r="I660" s="22" t="str">
        <f aca="false">IF($B660="","",MAX(F660-G660,0))</f>
        <v/>
      </c>
      <c r="J660" s="23" t="str">
        <f aca="false">IF($B660="","",IFERROR(INDEX(고객사!$G$5:$G$104,MATCH($B660,고객사!$A$5:$A$104,0)),""))</f>
        <v/>
      </c>
      <c r="K660" s="16"/>
      <c r="L660" s="22" t="str">
        <f aca="false">IF($B660="","",K660*IFERROR(INDEX(고객사!$L$5:$L$104,MATCH($B660,고객사!$A$5:$A$104,0)),0))</f>
        <v/>
      </c>
      <c r="M660" s="23" t="str">
        <f aca="false">IF($B660="","",IF(AND(J660="N",G660&gt;0,K660=0,IFERROR(INDEX(고객사!$H$5:$H$104,MATCH($B660,고객사!$A$5:$A$104,0)),"")="자사 차량 운행"),"차량 미배정",""))</f>
        <v/>
      </c>
      <c r="N660" s="22" t="str">
        <f aca="false">IF($B660="","",IFERROR(INDEX(고객사!$J$5:$J$104,MATCH($B660,고객사!$A$5:$A$104,0)),0))</f>
        <v/>
      </c>
      <c r="O660" s="22" t="str">
        <f aca="false">IF($B660="","",G660*N660)</f>
        <v/>
      </c>
      <c r="P660" s="22" t="str">
        <f aca="false">IF($B660="","",IFERROR(INDEX(고객사!$K$5:$K$104,MATCH($B660,고객사!$A$5:$A$104,0)),0))</f>
        <v/>
      </c>
      <c r="Q660" s="22" t="str">
        <f aca="false">IF($B660="","",G660*P660)</f>
        <v/>
      </c>
      <c r="R660" s="22" t="str">
        <f aca="false">IF($B660="","",O660-Q660-L660)</f>
        <v/>
      </c>
      <c r="S660" s="21" t="str">
        <f aca="false">IF(OR($B660="",N(O660)=0),"",R660/O660)</f>
        <v/>
      </c>
      <c r="T660" s="14"/>
      <c r="U660" s="19" t="n">
        <f aca="false">IF(OR($B660="",$A660=""),0,IF(COUNTIFS($A$5:$A660,$A660,$B$5:$B660,$B660)=1,1,0))</f>
        <v>0</v>
      </c>
    </row>
    <row r="661" customFormat="false" ht="15" hidden="false" customHeight="false" outlineLevel="0" collapsed="false">
      <c r="A661" s="17"/>
      <c r="B661" s="13"/>
      <c r="C661" s="20" t="str">
        <f aca="false">IF($B661="","",IFERROR(INDEX(고객사!$B$5:$B$104,MATCH($B661,고객사!$A$5:$A$104,0)),"코드 확인"))</f>
        <v/>
      </c>
      <c r="D661" s="15"/>
      <c r="E661" s="15"/>
      <c r="F661" s="16"/>
      <c r="G661" s="16"/>
      <c r="H661" s="21" t="str">
        <f aca="false">IF(OR($B661="",F661=0),"",G661/F661)</f>
        <v/>
      </c>
      <c r="I661" s="22" t="str">
        <f aca="false">IF($B661="","",MAX(F661-G661,0))</f>
        <v/>
      </c>
      <c r="J661" s="23" t="str">
        <f aca="false">IF($B661="","",IFERROR(INDEX(고객사!$G$5:$G$104,MATCH($B661,고객사!$A$5:$A$104,0)),""))</f>
        <v/>
      </c>
      <c r="K661" s="16"/>
      <c r="L661" s="22" t="str">
        <f aca="false">IF($B661="","",K661*IFERROR(INDEX(고객사!$L$5:$L$104,MATCH($B661,고객사!$A$5:$A$104,0)),0))</f>
        <v/>
      </c>
      <c r="M661" s="23" t="str">
        <f aca="false">IF($B661="","",IF(AND(J661="N",G661&gt;0,K661=0,IFERROR(INDEX(고객사!$H$5:$H$104,MATCH($B661,고객사!$A$5:$A$104,0)),"")="자사 차량 운행"),"차량 미배정",""))</f>
        <v/>
      </c>
      <c r="N661" s="22" t="str">
        <f aca="false">IF($B661="","",IFERROR(INDEX(고객사!$J$5:$J$104,MATCH($B661,고객사!$A$5:$A$104,0)),0))</f>
        <v/>
      </c>
      <c r="O661" s="22" t="str">
        <f aca="false">IF($B661="","",G661*N661)</f>
        <v/>
      </c>
      <c r="P661" s="22" t="str">
        <f aca="false">IF($B661="","",IFERROR(INDEX(고객사!$K$5:$K$104,MATCH($B661,고객사!$A$5:$A$104,0)),0))</f>
        <v/>
      </c>
      <c r="Q661" s="22" t="str">
        <f aca="false">IF($B661="","",G661*P661)</f>
        <v/>
      </c>
      <c r="R661" s="22" t="str">
        <f aca="false">IF($B661="","",O661-Q661-L661)</f>
        <v/>
      </c>
      <c r="S661" s="21" t="str">
        <f aca="false">IF(OR($B661="",N(O661)=0),"",R661/O661)</f>
        <v/>
      </c>
      <c r="T661" s="14"/>
      <c r="U661" s="19" t="n">
        <f aca="false">IF(OR($B661="",$A661=""),0,IF(COUNTIFS($A$5:$A661,$A661,$B$5:$B661,$B661)=1,1,0))</f>
        <v>0</v>
      </c>
    </row>
    <row r="662" customFormat="false" ht="15" hidden="false" customHeight="false" outlineLevel="0" collapsed="false">
      <c r="A662" s="17"/>
      <c r="B662" s="13"/>
      <c r="C662" s="20" t="str">
        <f aca="false">IF($B662="","",IFERROR(INDEX(고객사!$B$5:$B$104,MATCH($B662,고객사!$A$5:$A$104,0)),"코드 확인"))</f>
        <v/>
      </c>
      <c r="D662" s="15"/>
      <c r="E662" s="15"/>
      <c r="F662" s="16"/>
      <c r="G662" s="16"/>
      <c r="H662" s="21" t="str">
        <f aca="false">IF(OR($B662="",F662=0),"",G662/F662)</f>
        <v/>
      </c>
      <c r="I662" s="22" t="str">
        <f aca="false">IF($B662="","",MAX(F662-G662,0))</f>
        <v/>
      </c>
      <c r="J662" s="23" t="str">
        <f aca="false">IF($B662="","",IFERROR(INDEX(고객사!$G$5:$G$104,MATCH($B662,고객사!$A$5:$A$104,0)),""))</f>
        <v/>
      </c>
      <c r="K662" s="16"/>
      <c r="L662" s="22" t="str">
        <f aca="false">IF($B662="","",K662*IFERROR(INDEX(고객사!$L$5:$L$104,MATCH($B662,고객사!$A$5:$A$104,0)),0))</f>
        <v/>
      </c>
      <c r="M662" s="23" t="str">
        <f aca="false">IF($B662="","",IF(AND(J662="N",G662&gt;0,K662=0,IFERROR(INDEX(고객사!$H$5:$H$104,MATCH($B662,고객사!$A$5:$A$104,0)),"")="자사 차량 운행"),"차량 미배정",""))</f>
        <v/>
      </c>
      <c r="N662" s="22" t="str">
        <f aca="false">IF($B662="","",IFERROR(INDEX(고객사!$J$5:$J$104,MATCH($B662,고객사!$A$5:$A$104,0)),0))</f>
        <v/>
      </c>
      <c r="O662" s="22" t="str">
        <f aca="false">IF($B662="","",G662*N662)</f>
        <v/>
      </c>
      <c r="P662" s="22" t="str">
        <f aca="false">IF($B662="","",IFERROR(INDEX(고객사!$K$5:$K$104,MATCH($B662,고객사!$A$5:$A$104,0)),0))</f>
        <v/>
      </c>
      <c r="Q662" s="22" t="str">
        <f aca="false">IF($B662="","",G662*P662)</f>
        <v/>
      </c>
      <c r="R662" s="22" t="str">
        <f aca="false">IF($B662="","",O662-Q662-L662)</f>
        <v/>
      </c>
      <c r="S662" s="21" t="str">
        <f aca="false">IF(OR($B662="",N(O662)=0),"",R662/O662)</f>
        <v/>
      </c>
      <c r="T662" s="14"/>
      <c r="U662" s="19" t="n">
        <f aca="false">IF(OR($B662="",$A662=""),0,IF(COUNTIFS($A$5:$A662,$A662,$B$5:$B662,$B662)=1,1,0))</f>
        <v>0</v>
      </c>
    </row>
    <row r="663" customFormat="false" ht="15" hidden="false" customHeight="false" outlineLevel="0" collapsed="false">
      <c r="A663" s="17"/>
      <c r="B663" s="13"/>
      <c r="C663" s="20" t="str">
        <f aca="false">IF($B663="","",IFERROR(INDEX(고객사!$B$5:$B$104,MATCH($B663,고객사!$A$5:$A$104,0)),"코드 확인"))</f>
        <v/>
      </c>
      <c r="D663" s="15"/>
      <c r="E663" s="15"/>
      <c r="F663" s="16"/>
      <c r="G663" s="16"/>
      <c r="H663" s="21" t="str">
        <f aca="false">IF(OR($B663="",F663=0),"",G663/F663)</f>
        <v/>
      </c>
      <c r="I663" s="22" t="str">
        <f aca="false">IF($B663="","",MAX(F663-G663,0))</f>
        <v/>
      </c>
      <c r="J663" s="23" t="str">
        <f aca="false">IF($B663="","",IFERROR(INDEX(고객사!$G$5:$G$104,MATCH($B663,고객사!$A$5:$A$104,0)),""))</f>
        <v/>
      </c>
      <c r="K663" s="16"/>
      <c r="L663" s="22" t="str">
        <f aca="false">IF($B663="","",K663*IFERROR(INDEX(고객사!$L$5:$L$104,MATCH($B663,고객사!$A$5:$A$104,0)),0))</f>
        <v/>
      </c>
      <c r="M663" s="23" t="str">
        <f aca="false">IF($B663="","",IF(AND(J663="N",G663&gt;0,K663=0,IFERROR(INDEX(고객사!$H$5:$H$104,MATCH($B663,고객사!$A$5:$A$104,0)),"")="자사 차량 운행"),"차량 미배정",""))</f>
        <v/>
      </c>
      <c r="N663" s="22" t="str">
        <f aca="false">IF($B663="","",IFERROR(INDEX(고객사!$J$5:$J$104,MATCH($B663,고객사!$A$5:$A$104,0)),0))</f>
        <v/>
      </c>
      <c r="O663" s="22" t="str">
        <f aca="false">IF($B663="","",G663*N663)</f>
        <v/>
      </c>
      <c r="P663" s="22" t="str">
        <f aca="false">IF($B663="","",IFERROR(INDEX(고객사!$K$5:$K$104,MATCH($B663,고객사!$A$5:$A$104,0)),0))</f>
        <v/>
      </c>
      <c r="Q663" s="22" t="str">
        <f aca="false">IF($B663="","",G663*P663)</f>
        <v/>
      </c>
      <c r="R663" s="22" t="str">
        <f aca="false">IF($B663="","",O663-Q663-L663)</f>
        <v/>
      </c>
      <c r="S663" s="21" t="str">
        <f aca="false">IF(OR($B663="",N(O663)=0),"",R663/O663)</f>
        <v/>
      </c>
      <c r="T663" s="14"/>
      <c r="U663" s="19" t="n">
        <f aca="false">IF(OR($B663="",$A663=""),0,IF(COUNTIFS($A$5:$A663,$A663,$B$5:$B663,$B663)=1,1,0))</f>
        <v>0</v>
      </c>
    </row>
    <row r="664" customFormat="false" ht="15" hidden="false" customHeight="false" outlineLevel="0" collapsed="false">
      <c r="A664" s="17"/>
      <c r="B664" s="13"/>
      <c r="C664" s="20" t="str">
        <f aca="false">IF($B664="","",IFERROR(INDEX(고객사!$B$5:$B$104,MATCH($B664,고객사!$A$5:$A$104,0)),"코드 확인"))</f>
        <v/>
      </c>
      <c r="D664" s="15"/>
      <c r="E664" s="15"/>
      <c r="F664" s="16"/>
      <c r="G664" s="16"/>
      <c r="H664" s="21" t="str">
        <f aca="false">IF(OR($B664="",F664=0),"",G664/F664)</f>
        <v/>
      </c>
      <c r="I664" s="22" t="str">
        <f aca="false">IF($B664="","",MAX(F664-G664,0))</f>
        <v/>
      </c>
      <c r="J664" s="23" t="str">
        <f aca="false">IF($B664="","",IFERROR(INDEX(고객사!$G$5:$G$104,MATCH($B664,고객사!$A$5:$A$104,0)),""))</f>
        <v/>
      </c>
      <c r="K664" s="16"/>
      <c r="L664" s="22" t="str">
        <f aca="false">IF($B664="","",K664*IFERROR(INDEX(고객사!$L$5:$L$104,MATCH($B664,고객사!$A$5:$A$104,0)),0))</f>
        <v/>
      </c>
      <c r="M664" s="23" t="str">
        <f aca="false">IF($B664="","",IF(AND(J664="N",G664&gt;0,K664=0,IFERROR(INDEX(고객사!$H$5:$H$104,MATCH($B664,고객사!$A$5:$A$104,0)),"")="자사 차량 운행"),"차량 미배정",""))</f>
        <v/>
      </c>
      <c r="N664" s="22" t="str">
        <f aca="false">IF($B664="","",IFERROR(INDEX(고객사!$J$5:$J$104,MATCH($B664,고객사!$A$5:$A$104,0)),0))</f>
        <v/>
      </c>
      <c r="O664" s="22" t="str">
        <f aca="false">IF($B664="","",G664*N664)</f>
        <v/>
      </c>
      <c r="P664" s="22" t="str">
        <f aca="false">IF($B664="","",IFERROR(INDEX(고객사!$K$5:$K$104,MATCH($B664,고객사!$A$5:$A$104,0)),0))</f>
        <v/>
      </c>
      <c r="Q664" s="22" t="str">
        <f aca="false">IF($B664="","",G664*P664)</f>
        <v/>
      </c>
      <c r="R664" s="22" t="str">
        <f aca="false">IF($B664="","",O664-Q664-L664)</f>
        <v/>
      </c>
      <c r="S664" s="21" t="str">
        <f aca="false">IF(OR($B664="",N(O664)=0),"",R664/O664)</f>
        <v/>
      </c>
      <c r="T664" s="14"/>
      <c r="U664" s="19" t="n">
        <f aca="false">IF(OR($B664="",$A664=""),0,IF(COUNTIFS($A$5:$A664,$A664,$B$5:$B664,$B664)=1,1,0))</f>
        <v>0</v>
      </c>
    </row>
    <row r="665" customFormat="false" ht="15" hidden="false" customHeight="false" outlineLevel="0" collapsed="false">
      <c r="A665" s="17"/>
      <c r="B665" s="13"/>
      <c r="C665" s="20" t="str">
        <f aca="false">IF($B665="","",IFERROR(INDEX(고객사!$B$5:$B$104,MATCH($B665,고객사!$A$5:$A$104,0)),"코드 확인"))</f>
        <v/>
      </c>
      <c r="D665" s="15"/>
      <c r="E665" s="15"/>
      <c r="F665" s="16"/>
      <c r="G665" s="16"/>
      <c r="H665" s="21" t="str">
        <f aca="false">IF(OR($B665="",F665=0),"",G665/F665)</f>
        <v/>
      </c>
      <c r="I665" s="22" t="str">
        <f aca="false">IF($B665="","",MAX(F665-G665,0))</f>
        <v/>
      </c>
      <c r="J665" s="23" t="str">
        <f aca="false">IF($B665="","",IFERROR(INDEX(고객사!$G$5:$G$104,MATCH($B665,고객사!$A$5:$A$104,0)),""))</f>
        <v/>
      </c>
      <c r="K665" s="16"/>
      <c r="L665" s="22" t="str">
        <f aca="false">IF($B665="","",K665*IFERROR(INDEX(고객사!$L$5:$L$104,MATCH($B665,고객사!$A$5:$A$104,0)),0))</f>
        <v/>
      </c>
      <c r="M665" s="23" t="str">
        <f aca="false">IF($B665="","",IF(AND(J665="N",G665&gt;0,K665=0,IFERROR(INDEX(고객사!$H$5:$H$104,MATCH($B665,고객사!$A$5:$A$104,0)),"")="자사 차량 운행"),"차량 미배정",""))</f>
        <v/>
      </c>
      <c r="N665" s="22" t="str">
        <f aca="false">IF($B665="","",IFERROR(INDEX(고객사!$J$5:$J$104,MATCH($B665,고객사!$A$5:$A$104,0)),0))</f>
        <v/>
      </c>
      <c r="O665" s="22" t="str">
        <f aca="false">IF($B665="","",G665*N665)</f>
        <v/>
      </c>
      <c r="P665" s="22" t="str">
        <f aca="false">IF($B665="","",IFERROR(INDEX(고객사!$K$5:$K$104,MATCH($B665,고객사!$A$5:$A$104,0)),0))</f>
        <v/>
      </c>
      <c r="Q665" s="22" t="str">
        <f aca="false">IF($B665="","",G665*P665)</f>
        <v/>
      </c>
      <c r="R665" s="22" t="str">
        <f aca="false">IF($B665="","",O665-Q665-L665)</f>
        <v/>
      </c>
      <c r="S665" s="21" t="str">
        <f aca="false">IF(OR($B665="",N(O665)=0),"",R665/O665)</f>
        <v/>
      </c>
      <c r="T665" s="14"/>
      <c r="U665" s="19" t="n">
        <f aca="false">IF(OR($B665="",$A665=""),0,IF(COUNTIFS($A$5:$A665,$A665,$B$5:$B665,$B665)=1,1,0))</f>
        <v>0</v>
      </c>
    </row>
    <row r="666" customFormat="false" ht="15" hidden="false" customHeight="false" outlineLevel="0" collapsed="false">
      <c r="A666" s="17"/>
      <c r="B666" s="13"/>
      <c r="C666" s="20" t="str">
        <f aca="false">IF($B666="","",IFERROR(INDEX(고객사!$B$5:$B$104,MATCH($B666,고객사!$A$5:$A$104,0)),"코드 확인"))</f>
        <v/>
      </c>
      <c r="D666" s="15"/>
      <c r="E666" s="15"/>
      <c r="F666" s="16"/>
      <c r="G666" s="16"/>
      <c r="H666" s="21" t="str">
        <f aca="false">IF(OR($B666="",F666=0),"",G666/F666)</f>
        <v/>
      </c>
      <c r="I666" s="22" t="str">
        <f aca="false">IF($B666="","",MAX(F666-G666,0))</f>
        <v/>
      </c>
      <c r="J666" s="23" t="str">
        <f aca="false">IF($B666="","",IFERROR(INDEX(고객사!$G$5:$G$104,MATCH($B666,고객사!$A$5:$A$104,0)),""))</f>
        <v/>
      </c>
      <c r="K666" s="16"/>
      <c r="L666" s="22" t="str">
        <f aca="false">IF($B666="","",K666*IFERROR(INDEX(고객사!$L$5:$L$104,MATCH($B666,고객사!$A$5:$A$104,0)),0))</f>
        <v/>
      </c>
      <c r="M666" s="23" t="str">
        <f aca="false">IF($B666="","",IF(AND(J666="N",G666&gt;0,K666=0,IFERROR(INDEX(고객사!$H$5:$H$104,MATCH($B666,고객사!$A$5:$A$104,0)),"")="자사 차량 운행"),"차량 미배정",""))</f>
        <v/>
      </c>
      <c r="N666" s="22" t="str">
        <f aca="false">IF($B666="","",IFERROR(INDEX(고객사!$J$5:$J$104,MATCH($B666,고객사!$A$5:$A$104,0)),0))</f>
        <v/>
      </c>
      <c r="O666" s="22" t="str">
        <f aca="false">IF($B666="","",G666*N666)</f>
        <v/>
      </c>
      <c r="P666" s="22" t="str">
        <f aca="false">IF($B666="","",IFERROR(INDEX(고객사!$K$5:$K$104,MATCH($B666,고객사!$A$5:$A$104,0)),0))</f>
        <v/>
      </c>
      <c r="Q666" s="22" t="str">
        <f aca="false">IF($B666="","",G666*P666)</f>
        <v/>
      </c>
      <c r="R666" s="22" t="str">
        <f aca="false">IF($B666="","",O666-Q666-L666)</f>
        <v/>
      </c>
      <c r="S666" s="21" t="str">
        <f aca="false">IF(OR($B666="",N(O666)=0),"",R666/O666)</f>
        <v/>
      </c>
      <c r="T666" s="14"/>
      <c r="U666" s="19" t="n">
        <f aca="false">IF(OR($B666="",$A666=""),0,IF(COUNTIFS($A$5:$A666,$A666,$B$5:$B666,$B666)=1,1,0))</f>
        <v>0</v>
      </c>
    </row>
    <row r="667" customFormat="false" ht="15" hidden="false" customHeight="false" outlineLevel="0" collapsed="false">
      <c r="A667" s="17"/>
      <c r="B667" s="13"/>
      <c r="C667" s="20" t="str">
        <f aca="false">IF($B667="","",IFERROR(INDEX(고객사!$B$5:$B$104,MATCH($B667,고객사!$A$5:$A$104,0)),"코드 확인"))</f>
        <v/>
      </c>
      <c r="D667" s="15"/>
      <c r="E667" s="15"/>
      <c r="F667" s="16"/>
      <c r="G667" s="16"/>
      <c r="H667" s="21" t="str">
        <f aca="false">IF(OR($B667="",F667=0),"",G667/F667)</f>
        <v/>
      </c>
      <c r="I667" s="22" t="str">
        <f aca="false">IF($B667="","",MAX(F667-G667,0))</f>
        <v/>
      </c>
      <c r="J667" s="23" t="str">
        <f aca="false">IF($B667="","",IFERROR(INDEX(고객사!$G$5:$G$104,MATCH($B667,고객사!$A$5:$A$104,0)),""))</f>
        <v/>
      </c>
      <c r="K667" s="16"/>
      <c r="L667" s="22" t="str">
        <f aca="false">IF($B667="","",K667*IFERROR(INDEX(고객사!$L$5:$L$104,MATCH($B667,고객사!$A$5:$A$104,0)),0))</f>
        <v/>
      </c>
      <c r="M667" s="23" t="str">
        <f aca="false">IF($B667="","",IF(AND(J667="N",G667&gt;0,K667=0,IFERROR(INDEX(고객사!$H$5:$H$104,MATCH($B667,고객사!$A$5:$A$104,0)),"")="자사 차량 운행"),"차량 미배정",""))</f>
        <v/>
      </c>
      <c r="N667" s="22" t="str">
        <f aca="false">IF($B667="","",IFERROR(INDEX(고객사!$J$5:$J$104,MATCH($B667,고객사!$A$5:$A$104,0)),0))</f>
        <v/>
      </c>
      <c r="O667" s="22" t="str">
        <f aca="false">IF($B667="","",G667*N667)</f>
        <v/>
      </c>
      <c r="P667" s="22" t="str">
        <f aca="false">IF($B667="","",IFERROR(INDEX(고객사!$K$5:$K$104,MATCH($B667,고객사!$A$5:$A$104,0)),0))</f>
        <v/>
      </c>
      <c r="Q667" s="22" t="str">
        <f aca="false">IF($B667="","",G667*P667)</f>
        <v/>
      </c>
      <c r="R667" s="22" t="str">
        <f aca="false">IF($B667="","",O667-Q667-L667)</f>
        <v/>
      </c>
      <c r="S667" s="21" t="str">
        <f aca="false">IF(OR($B667="",N(O667)=0),"",R667/O667)</f>
        <v/>
      </c>
      <c r="T667" s="14"/>
      <c r="U667" s="19" t="n">
        <f aca="false">IF(OR($B667="",$A667=""),0,IF(COUNTIFS($A$5:$A667,$A667,$B$5:$B667,$B667)=1,1,0))</f>
        <v>0</v>
      </c>
    </row>
    <row r="668" customFormat="false" ht="15" hidden="false" customHeight="false" outlineLevel="0" collapsed="false">
      <c r="A668" s="17"/>
      <c r="B668" s="13"/>
      <c r="C668" s="20" t="str">
        <f aca="false">IF($B668="","",IFERROR(INDEX(고객사!$B$5:$B$104,MATCH($B668,고객사!$A$5:$A$104,0)),"코드 확인"))</f>
        <v/>
      </c>
      <c r="D668" s="15"/>
      <c r="E668" s="15"/>
      <c r="F668" s="16"/>
      <c r="G668" s="16"/>
      <c r="H668" s="21" t="str">
        <f aca="false">IF(OR($B668="",F668=0),"",G668/F668)</f>
        <v/>
      </c>
      <c r="I668" s="22" t="str">
        <f aca="false">IF($B668="","",MAX(F668-G668,0))</f>
        <v/>
      </c>
      <c r="J668" s="23" t="str">
        <f aca="false">IF($B668="","",IFERROR(INDEX(고객사!$G$5:$G$104,MATCH($B668,고객사!$A$5:$A$104,0)),""))</f>
        <v/>
      </c>
      <c r="K668" s="16"/>
      <c r="L668" s="22" t="str">
        <f aca="false">IF($B668="","",K668*IFERROR(INDEX(고객사!$L$5:$L$104,MATCH($B668,고객사!$A$5:$A$104,0)),0))</f>
        <v/>
      </c>
      <c r="M668" s="23" t="str">
        <f aca="false">IF($B668="","",IF(AND(J668="N",G668&gt;0,K668=0,IFERROR(INDEX(고객사!$H$5:$H$104,MATCH($B668,고객사!$A$5:$A$104,0)),"")="자사 차량 운행"),"차량 미배정",""))</f>
        <v/>
      </c>
      <c r="N668" s="22" t="str">
        <f aca="false">IF($B668="","",IFERROR(INDEX(고객사!$J$5:$J$104,MATCH($B668,고객사!$A$5:$A$104,0)),0))</f>
        <v/>
      </c>
      <c r="O668" s="22" t="str">
        <f aca="false">IF($B668="","",G668*N668)</f>
        <v/>
      </c>
      <c r="P668" s="22" t="str">
        <f aca="false">IF($B668="","",IFERROR(INDEX(고객사!$K$5:$K$104,MATCH($B668,고객사!$A$5:$A$104,0)),0))</f>
        <v/>
      </c>
      <c r="Q668" s="22" t="str">
        <f aca="false">IF($B668="","",G668*P668)</f>
        <v/>
      </c>
      <c r="R668" s="22" t="str">
        <f aca="false">IF($B668="","",O668-Q668-L668)</f>
        <v/>
      </c>
      <c r="S668" s="21" t="str">
        <f aca="false">IF(OR($B668="",N(O668)=0),"",R668/O668)</f>
        <v/>
      </c>
      <c r="T668" s="14"/>
      <c r="U668" s="19" t="n">
        <f aca="false">IF(OR($B668="",$A668=""),0,IF(COUNTIFS($A$5:$A668,$A668,$B$5:$B668,$B668)=1,1,0))</f>
        <v>0</v>
      </c>
    </row>
    <row r="669" customFormat="false" ht="15" hidden="false" customHeight="false" outlineLevel="0" collapsed="false">
      <c r="A669" s="17"/>
      <c r="B669" s="13"/>
      <c r="C669" s="20" t="str">
        <f aca="false">IF($B669="","",IFERROR(INDEX(고객사!$B$5:$B$104,MATCH($B669,고객사!$A$5:$A$104,0)),"코드 확인"))</f>
        <v/>
      </c>
      <c r="D669" s="15"/>
      <c r="E669" s="15"/>
      <c r="F669" s="16"/>
      <c r="G669" s="16"/>
      <c r="H669" s="21" t="str">
        <f aca="false">IF(OR($B669="",F669=0),"",G669/F669)</f>
        <v/>
      </c>
      <c r="I669" s="22" t="str">
        <f aca="false">IF($B669="","",MAX(F669-G669,0))</f>
        <v/>
      </c>
      <c r="J669" s="23" t="str">
        <f aca="false">IF($B669="","",IFERROR(INDEX(고객사!$G$5:$G$104,MATCH($B669,고객사!$A$5:$A$104,0)),""))</f>
        <v/>
      </c>
      <c r="K669" s="16"/>
      <c r="L669" s="22" t="str">
        <f aca="false">IF($B669="","",K669*IFERROR(INDEX(고객사!$L$5:$L$104,MATCH($B669,고객사!$A$5:$A$104,0)),0))</f>
        <v/>
      </c>
      <c r="M669" s="23" t="str">
        <f aca="false">IF($B669="","",IF(AND(J669="N",G669&gt;0,K669=0,IFERROR(INDEX(고객사!$H$5:$H$104,MATCH($B669,고객사!$A$5:$A$104,0)),"")="자사 차량 운행"),"차량 미배정",""))</f>
        <v/>
      </c>
      <c r="N669" s="22" t="str">
        <f aca="false">IF($B669="","",IFERROR(INDEX(고객사!$J$5:$J$104,MATCH($B669,고객사!$A$5:$A$104,0)),0))</f>
        <v/>
      </c>
      <c r="O669" s="22" t="str">
        <f aca="false">IF($B669="","",G669*N669)</f>
        <v/>
      </c>
      <c r="P669" s="22" t="str">
        <f aca="false">IF($B669="","",IFERROR(INDEX(고객사!$K$5:$K$104,MATCH($B669,고객사!$A$5:$A$104,0)),0))</f>
        <v/>
      </c>
      <c r="Q669" s="22" t="str">
        <f aca="false">IF($B669="","",G669*P669)</f>
        <v/>
      </c>
      <c r="R669" s="22" t="str">
        <f aca="false">IF($B669="","",O669-Q669-L669)</f>
        <v/>
      </c>
      <c r="S669" s="21" t="str">
        <f aca="false">IF(OR($B669="",N(O669)=0),"",R669/O669)</f>
        <v/>
      </c>
      <c r="T669" s="14"/>
      <c r="U669" s="19" t="n">
        <f aca="false">IF(OR($B669="",$A669=""),0,IF(COUNTIFS($A$5:$A669,$A669,$B$5:$B669,$B669)=1,1,0))</f>
        <v>0</v>
      </c>
    </row>
    <row r="670" customFormat="false" ht="15" hidden="false" customHeight="false" outlineLevel="0" collapsed="false">
      <c r="A670" s="17"/>
      <c r="B670" s="13"/>
      <c r="C670" s="20" t="str">
        <f aca="false">IF($B670="","",IFERROR(INDEX(고객사!$B$5:$B$104,MATCH($B670,고객사!$A$5:$A$104,0)),"코드 확인"))</f>
        <v/>
      </c>
      <c r="D670" s="15"/>
      <c r="E670" s="15"/>
      <c r="F670" s="16"/>
      <c r="G670" s="16"/>
      <c r="H670" s="21" t="str">
        <f aca="false">IF(OR($B670="",F670=0),"",G670/F670)</f>
        <v/>
      </c>
      <c r="I670" s="22" t="str">
        <f aca="false">IF($B670="","",MAX(F670-G670,0))</f>
        <v/>
      </c>
      <c r="J670" s="23" t="str">
        <f aca="false">IF($B670="","",IFERROR(INDEX(고객사!$G$5:$G$104,MATCH($B670,고객사!$A$5:$A$104,0)),""))</f>
        <v/>
      </c>
      <c r="K670" s="16"/>
      <c r="L670" s="22" t="str">
        <f aca="false">IF($B670="","",K670*IFERROR(INDEX(고객사!$L$5:$L$104,MATCH($B670,고객사!$A$5:$A$104,0)),0))</f>
        <v/>
      </c>
      <c r="M670" s="23" t="str">
        <f aca="false">IF($B670="","",IF(AND(J670="N",G670&gt;0,K670=0,IFERROR(INDEX(고객사!$H$5:$H$104,MATCH($B670,고객사!$A$5:$A$104,0)),"")="자사 차량 운행"),"차량 미배정",""))</f>
        <v/>
      </c>
      <c r="N670" s="22" t="str">
        <f aca="false">IF($B670="","",IFERROR(INDEX(고객사!$J$5:$J$104,MATCH($B670,고객사!$A$5:$A$104,0)),0))</f>
        <v/>
      </c>
      <c r="O670" s="22" t="str">
        <f aca="false">IF($B670="","",G670*N670)</f>
        <v/>
      </c>
      <c r="P670" s="22" t="str">
        <f aca="false">IF($B670="","",IFERROR(INDEX(고객사!$K$5:$K$104,MATCH($B670,고객사!$A$5:$A$104,0)),0))</f>
        <v/>
      </c>
      <c r="Q670" s="22" t="str">
        <f aca="false">IF($B670="","",G670*P670)</f>
        <v/>
      </c>
      <c r="R670" s="22" t="str">
        <f aca="false">IF($B670="","",O670-Q670-L670)</f>
        <v/>
      </c>
      <c r="S670" s="21" t="str">
        <f aca="false">IF(OR($B670="",N(O670)=0),"",R670/O670)</f>
        <v/>
      </c>
      <c r="T670" s="14"/>
      <c r="U670" s="19" t="n">
        <f aca="false">IF(OR($B670="",$A670=""),0,IF(COUNTIFS($A$5:$A670,$A670,$B$5:$B670,$B670)=1,1,0))</f>
        <v>0</v>
      </c>
    </row>
    <row r="671" customFormat="false" ht="15" hidden="false" customHeight="false" outlineLevel="0" collapsed="false">
      <c r="A671" s="17"/>
      <c r="B671" s="13"/>
      <c r="C671" s="20" t="str">
        <f aca="false">IF($B671="","",IFERROR(INDEX(고객사!$B$5:$B$104,MATCH($B671,고객사!$A$5:$A$104,0)),"코드 확인"))</f>
        <v/>
      </c>
      <c r="D671" s="15"/>
      <c r="E671" s="15"/>
      <c r="F671" s="16"/>
      <c r="G671" s="16"/>
      <c r="H671" s="21" t="str">
        <f aca="false">IF(OR($B671="",F671=0),"",G671/F671)</f>
        <v/>
      </c>
      <c r="I671" s="22" t="str">
        <f aca="false">IF($B671="","",MAX(F671-G671,0))</f>
        <v/>
      </c>
      <c r="J671" s="23" t="str">
        <f aca="false">IF($B671="","",IFERROR(INDEX(고객사!$G$5:$G$104,MATCH($B671,고객사!$A$5:$A$104,0)),""))</f>
        <v/>
      </c>
      <c r="K671" s="16"/>
      <c r="L671" s="22" t="str">
        <f aca="false">IF($B671="","",K671*IFERROR(INDEX(고객사!$L$5:$L$104,MATCH($B671,고객사!$A$5:$A$104,0)),0))</f>
        <v/>
      </c>
      <c r="M671" s="23" t="str">
        <f aca="false">IF($B671="","",IF(AND(J671="N",G671&gt;0,K671=0,IFERROR(INDEX(고객사!$H$5:$H$104,MATCH($B671,고객사!$A$5:$A$104,0)),"")="자사 차량 운행"),"차량 미배정",""))</f>
        <v/>
      </c>
      <c r="N671" s="22" t="str">
        <f aca="false">IF($B671="","",IFERROR(INDEX(고객사!$J$5:$J$104,MATCH($B671,고객사!$A$5:$A$104,0)),0))</f>
        <v/>
      </c>
      <c r="O671" s="22" t="str">
        <f aca="false">IF($B671="","",G671*N671)</f>
        <v/>
      </c>
      <c r="P671" s="22" t="str">
        <f aca="false">IF($B671="","",IFERROR(INDEX(고객사!$K$5:$K$104,MATCH($B671,고객사!$A$5:$A$104,0)),0))</f>
        <v/>
      </c>
      <c r="Q671" s="22" t="str">
        <f aca="false">IF($B671="","",G671*P671)</f>
        <v/>
      </c>
      <c r="R671" s="22" t="str">
        <f aca="false">IF($B671="","",O671-Q671-L671)</f>
        <v/>
      </c>
      <c r="S671" s="21" t="str">
        <f aca="false">IF(OR($B671="",N(O671)=0),"",R671/O671)</f>
        <v/>
      </c>
      <c r="T671" s="14"/>
      <c r="U671" s="19" t="n">
        <f aca="false">IF(OR($B671="",$A671=""),0,IF(COUNTIFS($A$5:$A671,$A671,$B$5:$B671,$B671)=1,1,0))</f>
        <v>0</v>
      </c>
    </row>
    <row r="672" customFormat="false" ht="15" hidden="false" customHeight="false" outlineLevel="0" collapsed="false">
      <c r="A672" s="17"/>
      <c r="B672" s="13"/>
      <c r="C672" s="20" t="str">
        <f aca="false">IF($B672="","",IFERROR(INDEX(고객사!$B$5:$B$104,MATCH($B672,고객사!$A$5:$A$104,0)),"코드 확인"))</f>
        <v/>
      </c>
      <c r="D672" s="15"/>
      <c r="E672" s="15"/>
      <c r="F672" s="16"/>
      <c r="G672" s="16"/>
      <c r="H672" s="21" t="str">
        <f aca="false">IF(OR($B672="",F672=0),"",G672/F672)</f>
        <v/>
      </c>
      <c r="I672" s="22" t="str">
        <f aca="false">IF($B672="","",MAX(F672-G672,0))</f>
        <v/>
      </c>
      <c r="J672" s="23" t="str">
        <f aca="false">IF($B672="","",IFERROR(INDEX(고객사!$G$5:$G$104,MATCH($B672,고객사!$A$5:$A$104,0)),""))</f>
        <v/>
      </c>
      <c r="K672" s="16"/>
      <c r="L672" s="22" t="str">
        <f aca="false">IF($B672="","",K672*IFERROR(INDEX(고객사!$L$5:$L$104,MATCH($B672,고객사!$A$5:$A$104,0)),0))</f>
        <v/>
      </c>
      <c r="M672" s="23" t="str">
        <f aca="false">IF($B672="","",IF(AND(J672="N",G672&gt;0,K672=0,IFERROR(INDEX(고객사!$H$5:$H$104,MATCH($B672,고객사!$A$5:$A$104,0)),"")="자사 차량 운행"),"차량 미배정",""))</f>
        <v/>
      </c>
      <c r="N672" s="22" t="str">
        <f aca="false">IF($B672="","",IFERROR(INDEX(고객사!$J$5:$J$104,MATCH($B672,고객사!$A$5:$A$104,0)),0))</f>
        <v/>
      </c>
      <c r="O672" s="22" t="str">
        <f aca="false">IF($B672="","",G672*N672)</f>
        <v/>
      </c>
      <c r="P672" s="22" t="str">
        <f aca="false">IF($B672="","",IFERROR(INDEX(고객사!$K$5:$K$104,MATCH($B672,고객사!$A$5:$A$104,0)),0))</f>
        <v/>
      </c>
      <c r="Q672" s="22" t="str">
        <f aca="false">IF($B672="","",G672*P672)</f>
        <v/>
      </c>
      <c r="R672" s="22" t="str">
        <f aca="false">IF($B672="","",O672-Q672-L672)</f>
        <v/>
      </c>
      <c r="S672" s="21" t="str">
        <f aca="false">IF(OR($B672="",N(O672)=0),"",R672/O672)</f>
        <v/>
      </c>
      <c r="T672" s="14"/>
      <c r="U672" s="19" t="n">
        <f aca="false">IF(OR($B672="",$A672=""),0,IF(COUNTIFS($A$5:$A672,$A672,$B$5:$B672,$B672)=1,1,0))</f>
        <v>0</v>
      </c>
    </row>
    <row r="673" customFormat="false" ht="15" hidden="false" customHeight="false" outlineLevel="0" collapsed="false">
      <c r="A673" s="17"/>
      <c r="B673" s="13"/>
      <c r="C673" s="20" t="str">
        <f aca="false">IF($B673="","",IFERROR(INDEX(고객사!$B$5:$B$104,MATCH($B673,고객사!$A$5:$A$104,0)),"코드 확인"))</f>
        <v/>
      </c>
      <c r="D673" s="15"/>
      <c r="E673" s="15"/>
      <c r="F673" s="16"/>
      <c r="G673" s="16"/>
      <c r="H673" s="21" t="str">
        <f aca="false">IF(OR($B673="",F673=0),"",G673/F673)</f>
        <v/>
      </c>
      <c r="I673" s="22" t="str">
        <f aca="false">IF($B673="","",MAX(F673-G673,0))</f>
        <v/>
      </c>
      <c r="J673" s="23" t="str">
        <f aca="false">IF($B673="","",IFERROR(INDEX(고객사!$G$5:$G$104,MATCH($B673,고객사!$A$5:$A$104,0)),""))</f>
        <v/>
      </c>
      <c r="K673" s="16"/>
      <c r="L673" s="22" t="str">
        <f aca="false">IF($B673="","",K673*IFERROR(INDEX(고객사!$L$5:$L$104,MATCH($B673,고객사!$A$5:$A$104,0)),0))</f>
        <v/>
      </c>
      <c r="M673" s="23" t="str">
        <f aca="false">IF($B673="","",IF(AND(J673="N",G673&gt;0,K673=0,IFERROR(INDEX(고객사!$H$5:$H$104,MATCH($B673,고객사!$A$5:$A$104,0)),"")="자사 차량 운행"),"차량 미배정",""))</f>
        <v/>
      </c>
      <c r="N673" s="22" t="str">
        <f aca="false">IF($B673="","",IFERROR(INDEX(고객사!$J$5:$J$104,MATCH($B673,고객사!$A$5:$A$104,0)),0))</f>
        <v/>
      </c>
      <c r="O673" s="22" t="str">
        <f aca="false">IF($B673="","",G673*N673)</f>
        <v/>
      </c>
      <c r="P673" s="22" t="str">
        <f aca="false">IF($B673="","",IFERROR(INDEX(고객사!$K$5:$K$104,MATCH($B673,고객사!$A$5:$A$104,0)),0))</f>
        <v/>
      </c>
      <c r="Q673" s="22" t="str">
        <f aca="false">IF($B673="","",G673*P673)</f>
        <v/>
      </c>
      <c r="R673" s="22" t="str">
        <f aca="false">IF($B673="","",O673-Q673-L673)</f>
        <v/>
      </c>
      <c r="S673" s="21" t="str">
        <f aca="false">IF(OR($B673="",N(O673)=0),"",R673/O673)</f>
        <v/>
      </c>
      <c r="T673" s="14"/>
      <c r="U673" s="19" t="n">
        <f aca="false">IF(OR($B673="",$A673=""),0,IF(COUNTIFS($A$5:$A673,$A673,$B$5:$B673,$B673)=1,1,0))</f>
        <v>0</v>
      </c>
    </row>
    <row r="674" customFormat="false" ht="15" hidden="false" customHeight="false" outlineLevel="0" collapsed="false">
      <c r="A674" s="17"/>
      <c r="B674" s="13"/>
      <c r="C674" s="20" t="str">
        <f aca="false">IF($B674="","",IFERROR(INDEX(고객사!$B$5:$B$104,MATCH($B674,고객사!$A$5:$A$104,0)),"코드 확인"))</f>
        <v/>
      </c>
      <c r="D674" s="15"/>
      <c r="E674" s="15"/>
      <c r="F674" s="16"/>
      <c r="G674" s="16"/>
      <c r="H674" s="21" t="str">
        <f aca="false">IF(OR($B674="",F674=0),"",G674/F674)</f>
        <v/>
      </c>
      <c r="I674" s="22" t="str">
        <f aca="false">IF($B674="","",MAX(F674-G674,0))</f>
        <v/>
      </c>
      <c r="J674" s="23" t="str">
        <f aca="false">IF($B674="","",IFERROR(INDEX(고객사!$G$5:$G$104,MATCH($B674,고객사!$A$5:$A$104,0)),""))</f>
        <v/>
      </c>
      <c r="K674" s="16"/>
      <c r="L674" s="22" t="str">
        <f aca="false">IF($B674="","",K674*IFERROR(INDEX(고객사!$L$5:$L$104,MATCH($B674,고객사!$A$5:$A$104,0)),0))</f>
        <v/>
      </c>
      <c r="M674" s="23" t="str">
        <f aca="false">IF($B674="","",IF(AND(J674="N",G674&gt;0,K674=0,IFERROR(INDEX(고객사!$H$5:$H$104,MATCH($B674,고객사!$A$5:$A$104,0)),"")="자사 차량 운행"),"차량 미배정",""))</f>
        <v/>
      </c>
      <c r="N674" s="22" t="str">
        <f aca="false">IF($B674="","",IFERROR(INDEX(고객사!$J$5:$J$104,MATCH($B674,고객사!$A$5:$A$104,0)),0))</f>
        <v/>
      </c>
      <c r="O674" s="22" t="str">
        <f aca="false">IF($B674="","",G674*N674)</f>
        <v/>
      </c>
      <c r="P674" s="22" t="str">
        <f aca="false">IF($B674="","",IFERROR(INDEX(고객사!$K$5:$K$104,MATCH($B674,고객사!$A$5:$A$104,0)),0))</f>
        <v/>
      </c>
      <c r="Q674" s="22" t="str">
        <f aca="false">IF($B674="","",G674*P674)</f>
        <v/>
      </c>
      <c r="R674" s="22" t="str">
        <f aca="false">IF($B674="","",O674-Q674-L674)</f>
        <v/>
      </c>
      <c r="S674" s="21" t="str">
        <f aca="false">IF(OR($B674="",N(O674)=0),"",R674/O674)</f>
        <v/>
      </c>
      <c r="T674" s="14"/>
      <c r="U674" s="19" t="n">
        <f aca="false">IF(OR($B674="",$A674=""),0,IF(COUNTIFS($A$5:$A674,$A674,$B$5:$B674,$B674)=1,1,0))</f>
        <v>0</v>
      </c>
    </row>
    <row r="675" customFormat="false" ht="15" hidden="false" customHeight="false" outlineLevel="0" collapsed="false">
      <c r="A675" s="17"/>
      <c r="B675" s="13"/>
      <c r="C675" s="20" t="str">
        <f aca="false">IF($B675="","",IFERROR(INDEX(고객사!$B$5:$B$104,MATCH($B675,고객사!$A$5:$A$104,0)),"코드 확인"))</f>
        <v/>
      </c>
      <c r="D675" s="15"/>
      <c r="E675" s="15"/>
      <c r="F675" s="16"/>
      <c r="G675" s="16"/>
      <c r="H675" s="21" t="str">
        <f aca="false">IF(OR($B675="",F675=0),"",G675/F675)</f>
        <v/>
      </c>
      <c r="I675" s="22" t="str">
        <f aca="false">IF($B675="","",MAX(F675-G675,0))</f>
        <v/>
      </c>
      <c r="J675" s="23" t="str">
        <f aca="false">IF($B675="","",IFERROR(INDEX(고객사!$G$5:$G$104,MATCH($B675,고객사!$A$5:$A$104,0)),""))</f>
        <v/>
      </c>
      <c r="K675" s="16"/>
      <c r="L675" s="22" t="str">
        <f aca="false">IF($B675="","",K675*IFERROR(INDEX(고객사!$L$5:$L$104,MATCH($B675,고객사!$A$5:$A$104,0)),0))</f>
        <v/>
      </c>
      <c r="M675" s="23" t="str">
        <f aca="false">IF($B675="","",IF(AND(J675="N",G675&gt;0,K675=0,IFERROR(INDEX(고객사!$H$5:$H$104,MATCH($B675,고객사!$A$5:$A$104,0)),"")="자사 차량 운행"),"차량 미배정",""))</f>
        <v/>
      </c>
      <c r="N675" s="22" t="str">
        <f aca="false">IF($B675="","",IFERROR(INDEX(고객사!$J$5:$J$104,MATCH($B675,고객사!$A$5:$A$104,0)),0))</f>
        <v/>
      </c>
      <c r="O675" s="22" t="str">
        <f aca="false">IF($B675="","",G675*N675)</f>
        <v/>
      </c>
      <c r="P675" s="22" t="str">
        <f aca="false">IF($B675="","",IFERROR(INDEX(고객사!$K$5:$K$104,MATCH($B675,고객사!$A$5:$A$104,0)),0))</f>
        <v/>
      </c>
      <c r="Q675" s="22" t="str">
        <f aca="false">IF($B675="","",G675*P675)</f>
        <v/>
      </c>
      <c r="R675" s="22" t="str">
        <f aca="false">IF($B675="","",O675-Q675-L675)</f>
        <v/>
      </c>
      <c r="S675" s="21" t="str">
        <f aca="false">IF(OR($B675="",N(O675)=0),"",R675/O675)</f>
        <v/>
      </c>
      <c r="T675" s="14"/>
      <c r="U675" s="19" t="n">
        <f aca="false">IF(OR($B675="",$A675=""),0,IF(COUNTIFS($A$5:$A675,$A675,$B$5:$B675,$B675)=1,1,0))</f>
        <v>0</v>
      </c>
    </row>
    <row r="676" customFormat="false" ht="15" hidden="false" customHeight="false" outlineLevel="0" collapsed="false">
      <c r="A676" s="17"/>
      <c r="B676" s="13"/>
      <c r="C676" s="20" t="str">
        <f aca="false">IF($B676="","",IFERROR(INDEX(고객사!$B$5:$B$104,MATCH($B676,고객사!$A$5:$A$104,0)),"코드 확인"))</f>
        <v/>
      </c>
      <c r="D676" s="15"/>
      <c r="E676" s="15"/>
      <c r="F676" s="16"/>
      <c r="G676" s="16"/>
      <c r="H676" s="21" t="str">
        <f aca="false">IF(OR($B676="",F676=0),"",G676/F676)</f>
        <v/>
      </c>
      <c r="I676" s="22" t="str">
        <f aca="false">IF($B676="","",MAX(F676-G676,0))</f>
        <v/>
      </c>
      <c r="J676" s="23" t="str">
        <f aca="false">IF($B676="","",IFERROR(INDEX(고객사!$G$5:$G$104,MATCH($B676,고객사!$A$5:$A$104,0)),""))</f>
        <v/>
      </c>
      <c r="K676" s="16"/>
      <c r="L676" s="22" t="str">
        <f aca="false">IF($B676="","",K676*IFERROR(INDEX(고객사!$L$5:$L$104,MATCH($B676,고객사!$A$5:$A$104,0)),0))</f>
        <v/>
      </c>
      <c r="M676" s="23" t="str">
        <f aca="false">IF($B676="","",IF(AND(J676="N",G676&gt;0,K676=0,IFERROR(INDEX(고객사!$H$5:$H$104,MATCH($B676,고객사!$A$5:$A$104,0)),"")="자사 차량 운행"),"차량 미배정",""))</f>
        <v/>
      </c>
      <c r="N676" s="22" t="str">
        <f aca="false">IF($B676="","",IFERROR(INDEX(고객사!$J$5:$J$104,MATCH($B676,고객사!$A$5:$A$104,0)),0))</f>
        <v/>
      </c>
      <c r="O676" s="22" t="str">
        <f aca="false">IF($B676="","",G676*N676)</f>
        <v/>
      </c>
      <c r="P676" s="22" t="str">
        <f aca="false">IF($B676="","",IFERROR(INDEX(고객사!$K$5:$K$104,MATCH($B676,고객사!$A$5:$A$104,0)),0))</f>
        <v/>
      </c>
      <c r="Q676" s="22" t="str">
        <f aca="false">IF($B676="","",G676*P676)</f>
        <v/>
      </c>
      <c r="R676" s="22" t="str">
        <f aca="false">IF($B676="","",O676-Q676-L676)</f>
        <v/>
      </c>
      <c r="S676" s="21" t="str">
        <f aca="false">IF(OR($B676="",N(O676)=0),"",R676/O676)</f>
        <v/>
      </c>
      <c r="T676" s="14"/>
      <c r="U676" s="19" t="n">
        <f aca="false">IF(OR($B676="",$A676=""),0,IF(COUNTIFS($A$5:$A676,$A676,$B$5:$B676,$B676)=1,1,0))</f>
        <v>0</v>
      </c>
    </row>
    <row r="677" customFormat="false" ht="15" hidden="false" customHeight="false" outlineLevel="0" collapsed="false">
      <c r="A677" s="17"/>
      <c r="B677" s="13"/>
      <c r="C677" s="20" t="str">
        <f aca="false">IF($B677="","",IFERROR(INDEX(고객사!$B$5:$B$104,MATCH($B677,고객사!$A$5:$A$104,0)),"코드 확인"))</f>
        <v/>
      </c>
      <c r="D677" s="15"/>
      <c r="E677" s="15"/>
      <c r="F677" s="16"/>
      <c r="G677" s="16"/>
      <c r="H677" s="21" t="str">
        <f aca="false">IF(OR($B677="",F677=0),"",G677/F677)</f>
        <v/>
      </c>
      <c r="I677" s="22" t="str">
        <f aca="false">IF($B677="","",MAX(F677-G677,0))</f>
        <v/>
      </c>
      <c r="J677" s="23" t="str">
        <f aca="false">IF($B677="","",IFERROR(INDEX(고객사!$G$5:$G$104,MATCH($B677,고객사!$A$5:$A$104,0)),""))</f>
        <v/>
      </c>
      <c r="K677" s="16"/>
      <c r="L677" s="22" t="str">
        <f aca="false">IF($B677="","",K677*IFERROR(INDEX(고객사!$L$5:$L$104,MATCH($B677,고객사!$A$5:$A$104,0)),0))</f>
        <v/>
      </c>
      <c r="M677" s="23" t="str">
        <f aca="false">IF($B677="","",IF(AND(J677="N",G677&gt;0,K677=0,IFERROR(INDEX(고객사!$H$5:$H$104,MATCH($B677,고객사!$A$5:$A$104,0)),"")="자사 차량 운행"),"차량 미배정",""))</f>
        <v/>
      </c>
      <c r="N677" s="22" t="str">
        <f aca="false">IF($B677="","",IFERROR(INDEX(고객사!$J$5:$J$104,MATCH($B677,고객사!$A$5:$A$104,0)),0))</f>
        <v/>
      </c>
      <c r="O677" s="22" t="str">
        <f aca="false">IF($B677="","",G677*N677)</f>
        <v/>
      </c>
      <c r="P677" s="22" t="str">
        <f aca="false">IF($B677="","",IFERROR(INDEX(고객사!$K$5:$K$104,MATCH($B677,고객사!$A$5:$A$104,0)),0))</f>
        <v/>
      </c>
      <c r="Q677" s="22" t="str">
        <f aca="false">IF($B677="","",G677*P677)</f>
        <v/>
      </c>
      <c r="R677" s="22" t="str">
        <f aca="false">IF($B677="","",O677-Q677-L677)</f>
        <v/>
      </c>
      <c r="S677" s="21" t="str">
        <f aca="false">IF(OR($B677="",N(O677)=0),"",R677/O677)</f>
        <v/>
      </c>
      <c r="T677" s="14"/>
      <c r="U677" s="19" t="n">
        <f aca="false">IF(OR($B677="",$A677=""),0,IF(COUNTIFS($A$5:$A677,$A677,$B$5:$B677,$B677)=1,1,0))</f>
        <v>0</v>
      </c>
    </row>
    <row r="678" customFormat="false" ht="15" hidden="false" customHeight="false" outlineLevel="0" collapsed="false">
      <c r="A678" s="17"/>
      <c r="B678" s="13"/>
      <c r="C678" s="20" t="str">
        <f aca="false">IF($B678="","",IFERROR(INDEX(고객사!$B$5:$B$104,MATCH($B678,고객사!$A$5:$A$104,0)),"코드 확인"))</f>
        <v/>
      </c>
      <c r="D678" s="15"/>
      <c r="E678" s="15"/>
      <c r="F678" s="16"/>
      <c r="G678" s="16"/>
      <c r="H678" s="21" t="str">
        <f aca="false">IF(OR($B678="",F678=0),"",G678/F678)</f>
        <v/>
      </c>
      <c r="I678" s="22" t="str">
        <f aca="false">IF($B678="","",MAX(F678-G678,0))</f>
        <v/>
      </c>
      <c r="J678" s="23" t="str">
        <f aca="false">IF($B678="","",IFERROR(INDEX(고객사!$G$5:$G$104,MATCH($B678,고객사!$A$5:$A$104,0)),""))</f>
        <v/>
      </c>
      <c r="K678" s="16"/>
      <c r="L678" s="22" t="str">
        <f aca="false">IF($B678="","",K678*IFERROR(INDEX(고객사!$L$5:$L$104,MATCH($B678,고객사!$A$5:$A$104,0)),0))</f>
        <v/>
      </c>
      <c r="M678" s="23" t="str">
        <f aca="false">IF($B678="","",IF(AND(J678="N",G678&gt;0,K678=0,IFERROR(INDEX(고객사!$H$5:$H$104,MATCH($B678,고객사!$A$5:$A$104,0)),"")="자사 차량 운행"),"차량 미배정",""))</f>
        <v/>
      </c>
      <c r="N678" s="22" t="str">
        <f aca="false">IF($B678="","",IFERROR(INDEX(고객사!$J$5:$J$104,MATCH($B678,고객사!$A$5:$A$104,0)),0))</f>
        <v/>
      </c>
      <c r="O678" s="22" t="str">
        <f aca="false">IF($B678="","",G678*N678)</f>
        <v/>
      </c>
      <c r="P678" s="22" t="str">
        <f aca="false">IF($B678="","",IFERROR(INDEX(고객사!$K$5:$K$104,MATCH($B678,고객사!$A$5:$A$104,0)),0))</f>
        <v/>
      </c>
      <c r="Q678" s="22" t="str">
        <f aca="false">IF($B678="","",G678*P678)</f>
        <v/>
      </c>
      <c r="R678" s="22" t="str">
        <f aca="false">IF($B678="","",O678-Q678-L678)</f>
        <v/>
      </c>
      <c r="S678" s="21" t="str">
        <f aca="false">IF(OR($B678="",N(O678)=0),"",R678/O678)</f>
        <v/>
      </c>
      <c r="T678" s="14"/>
      <c r="U678" s="19" t="n">
        <f aca="false">IF(OR($B678="",$A678=""),0,IF(COUNTIFS($A$5:$A678,$A678,$B$5:$B678,$B678)=1,1,0))</f>
        <v>0</v>
      </c>
    </row>
    <row r="679" customFormat="false" ht="15" hidden="false" customHeight="false" outlineLevel="0" collapsed="false">
      <c r="A679" s="17"/>
      <c r="B679" s="13"/>
      <c r="C679" s="20" t="str">
        <f aca="false">IF($B679="","",IFERROR(INDEX(고객사!$B$5:$B$104,MATCH($B679,고객사!$A$5:$A$104,0)),"코드 확인"))</f>
        <v/>
      </c>
      <c r="D679" s="15"/>
      <c r="E679" s="15"/>
      <c r="F679" s="16"/>
      <c r="G679" s="16"/>
      <c r="H679" s="21" t="str">
        <f aca="false">IF(OR($B679="",F679=0),"",G679/F679)</f>
        <v/>
      </c>
      <c r="I679" s="22" t="str">
        <f aca="false">IF($B679="","",MAX(F679-G679,0))</f>
        <v/>
      </c>
      <c r="J679" s="23" t="str">
        <f aca="false">IF($B679="","",IFERROR(INDEX(고객사!$G$5:$G$104,MATCH($B679,고객사!$A$5:$A$104,0)),""))</f>
        <v/>
      </c>
      <c r="K679" s="16"/>
      <c r="L679" s="22" t="str">
        <f aca="false">IF($B679="","",K679*IFERROR(INDEX(고객사!$L$5:$L$104,MATCH($B679,고객사!$A$5:$A$104,0)),0))</f>
        <v/>
      </c>
      <c r="M679" s="23" t="str">
        <f aca="false">IF($B679="","",IF(AND(J679="N",G679&gt;0,K679=0,IFERROR(INDEX(고객사!$H$5:$H$104,MATCH($B679,고객사!$A$5:$A$104,0)),"")="자사 차량 운행"),"차량 미배정",""))</f>
        <v/>
      </c>
      <c r="N679" s="22" t="str">
        <f aca="false">IF($B679="","",IFERROR(INDEX(고객사!$J$5:$J$104,MATCH($B679,고객사!$A$5:$A$104,0)),0))</f>
        <v/>
      </c>
      <c r="O679" s="22" t="str">
        <f aca="false">IF($B679="","",G679*N679)</f>
        <v/>
      </c>
      <c r="P679" s="22" t="str">
        <f aca="false">IF($B679="","",IFERROR(INDEX(고객사!$K$5:$K$104,MATCH($B679,고객사!$A$5:$A$104,0)),0))</f>
        <v/>
      </c>
      <c r="Q679" s="22" t="str">
        <f aca="false">IF($B679="","",G679*P679)</f>
        <v/>
      </c>
      <c r="R679" s="22" t="str">
        <f aca="false">IF($B679="","",O679-Q679-L679)</f>
        <v/>
      </c>
      <c r="S679" s="21" t="str">
        <f aca="false">IF(OR($B679="",N(O679)=0),"",R679/O679)</f>
        <v/>
      </c>
      <c r="T679" s="14"/>
      <c r="U679" s="19" t="n">
        <f aca="false">IF(OR($B679="",$A679=""),0,IF(COUNTIFS($A$5:$A679,$A679,$B$5:$B679,$B679)=1,1,0))</f>
        <v>0</v>
      </c>
    </row>
    <row r="680" customFormat="false" ht="15" hidden="false" customHeight="false" outlineLevel="0" collapsed="false">
      <c r="A680" s="17"/>
      <c r="B680" s="13"/>
      <c r="C680" s="20" t="str">
        <f aca="false">IF($B680="","",IFERROR(INDEX(고객사!$B$5:$B$104,MATCH($B680,고객사!$A$5:$A$104,0)),"코드 확인"))</f>
        <v/>
      </c>
      <c r="D680" s="15"/>
      <c r="E680" s="15"/>
      <c r="F680" s="16"/>
      <c r="G680" s="16"/>
      <c r="H680" s="21" t="str">
        <f aca="false">IF(OR($B680="",F680=0),"",G680/F680)</f>
        <v/>
      </c>
      <c r="I680" s="22" t="str">
        <f aca="false">IF($B680="","",MAX(F680-G680,0))</f>
        <v/>
      </c>
      <c r="J680" s="23" t="str">
        <f aca="false">IF($B680="","",IFERROR(INDEX(고객사!$G$5:$G$104,MATCH($B680,고객사!$A$5:$A$104,0)),""))</f>
        <v/>
      </c>
      <c r="K680" s="16"/>
      <c r="L680" s="22" t="str">
        <f aca="false">IF($B680="","",K680*IFERROR(INDEX(고객사!$L$5:$L$104,MATCH($B680,고객사!$A$5:$A$104,0)),0))</f>
        <v/>
      </c>
      <c r="M680" s="23" t="str">
        <f aca="false">IF($B680="","",IF(AND(J680="N",G680&gt;0,K680=0,IFERROR(INDEX(고객사!$H$5:$H$104,MATCH($B680,고객사!$A$5:$A$104,0)),"")="자사 차량 운행"),"차량 미배정",""))</f>
        <v/>
      </c>
      <c r="N680" s="22" t="str">
        <f aca="false">IF($B680="","",IFERROR(INDEX(고객사!$J$5:$J$104,MATCH($B680,고객사!$A$5:$A$104,0)),0))</f>
        <v/>
      </c>
      <c r="O680" s="22" t="str">
        <f aca="false">IF($B680="","",G680*N680)</f>
        <v/>
      </c>
      <c r="P680" s="22" t="str">
        <f aca="false">IF($B680="","",IFERROR(INDEX(고객사!$K$5:$K$104,MATCH($B680,고객사!$A$5:$A$104,0)),0))</f>
        <v/>
      </c>
      <c r="Q680" s="22" t="str">
        <f aca="false">IF($B680="","",G680*P680)</f>
        <v/>
      </c>
      <c r="R680" s="22" t="str">
        <f aca="false">IF($B680="","",O680-Q680-L680)</f>
        <v/>
      </c>
      <c r="S680" s="21" t="str">
        <f aca="false">IF(OR($B680="",N(O680)=0),"",R680/O680)</f>
        <v/>
      </c>
      <c r="T680" s="14"/>
      <c r="U680" s="19" t="n">
        <f aca="false">IF(OR($B680="",$A680=""),0,IF(COUNTIFS($A$5:$A680,$A680,$B$5:$B680,$B680)=1,1,0))</f>
        <v>0</v>
      </c>
    </row>
    <row r="681" customFormat="false" ht="15" hidden="false" customHeight="false" outlineLevel="0" collapsed="false">
      <c r="A681" s="17"/>
      <c r="B681" s="13"/>
      <c r="C681" s="20" t="str">
        <f aca="false">IF($B681="","",IFERROR(INDEX(고객사!$B$5:$B$104,MATCH($B681,고객사!$A$5:$A$104,0)),"코드 확인"))</f>
        <v/>
      </c>
      <c r="D681" s="15"/>
      <c r="E681" s="15"/>
      <c r="F681" s="16"/>
      <c r="G681" s="16"/>
      <c r="H681" s="21" t="str">
        <f aca="false">IF(OR($B681="",F681=0),"",G681/F681)</f>
        <v/>
      </c>
      <c r="I681" s="22" t="str">
        <f aca="false">IF($B681="","",MAX(F681-G681,0))</f>
        <v/>
      </c>
      <c r="J681" s="23" t="str">
        <f aca="false">IF($B681="","",IFERROR(INDEX(고객사!$G$5:$G$104,MATCH($B681,고객사!$A$5:$A$104,0)),""))</f>
        <v/>
      </c>
      <c r="K681" s="16"/>
      <c r="L681" s="22" t="str">
        <f aca="false">IF($B681="","",K681*IFERROR(INDEX(고객사!$L$5:$L$104,MATCH($B681,고객사!$A$5:$A$104,0)),0))</f>
        <v/>
      </c>
      <c r="M681" s="23" t="str">
        <f aca="false">IF($B681="","",IF(AND(J681="N",G681&gt;0,K681=0,IFERROR(INDEX(고객사!$H$5:$H$104,MATCH($B681,고객사!$A$5:$A$104,0)),"")="자사 차량 운행"),"차량 미배정",""))</f>
        <v/>
      </c>
      <c r="N681" s="22" t="str">
        <f aca="false">IF($B681="","",IFERROR(INDEX(고객사!$J$5:$J$104,MATCH($B681,고객사!$A$5:$A$104,0)),0))</f>
        <v/>
      </c>
      <c r="O681" s="22" t="str">
        <f aca="false">IF($B681="","",G681*N681)</f>
        <v/>
      </c>
      <c r="P681" s="22" t="str">
        <f aca="false">IF($B681="","",IFERROR(INDEX(고객사!$K$5:$K$104,MATCH($B681,고객사!$A$5:$A$104,0)),0))</f>
        <v/>
      </c>
      <c r="Q681" s="22" t="str">
        <f aca="false">IF($B681="","",G681*P681)</f>
        <v/>
      </c>
      <c r="R681" s="22" t="str">
        <f aca="false">IF($B681="","",O681-Q681-L681)</f>
        <v/>
      </c>
      <c r="S681" s="21" t="str">
        <f aca="false">IF(OR($B681="",N(O681)=0),"",R681/O681)</f>
        <v/>
      </c>
      <c r="T681" s="14"/>
      <c r="U681" s="19" t="n">
        <f aca="false">IF(OR($B681="",$A681=""),0,IF(COUNTIFS($A$5:$A681,$A681,$B$5:$B681,$B681)=1,1,0))</f>
        <v>0</v>
      </c>
    </row>
    <row r="682" customFormat="false" ht="15" hidden="false" customHeight="false" outlineLevel="0" collapsed="false">
      <c r="A682" s="17"/>
      <c r="B682" s="13"/>
      <c r="C682" s="20" t="str">
        <f aca="false">IF($B682="","",IFERROR(INDEX(고객사!$B$5:$B$104,MATCH($B682,고객사!$A$5:$A$104,0)),"코드 확인"))</f>
        <v/>
      </c>
      <c r="D682" s="15"/>
      <c r="E682" s="15"/>
      <c r="F682" s="16"/>
      <c r="G682" s="16"/>
      <c r="H682" s="21" t="str">
        <f aca="false">IF(OR($B682="",F682=0),"",G682/F682)</f>
        <v/>
      </c>
      <c r="I682" s="22" t="str">
        <f aca="false">IF($B682="","",MAX(F682-G682,0))</f>
        <v/>
      </c>
      <c r="J682" s="23" t="str">
        <f aca="false">IF($B682="","",IFERROR(INDEX(고객사!$G$5:$G$104,MATCH($B682,고객사!$A$5:$A$104,0)),""))</f>
        <v/>
      </c>
      <c r="K682" s="16"/>
      <c r="L682" s="22" t="str">
        <f aca="false">IF($B682="","",K682*IFERROR(INDEX(고객사!$L$5:$L$104,MATCH($B682,고객사!$A$5:$A$104,0)),0))</f>
        <v/>
      </c>
      <c r="M682" s="23" t="str">
        <f aca="false">IF($B682="","",IF(AND(J682="N",G682&gt;0,K682=0,IFERROR(INDEX(고객사!$H$5:$H$104,MATCH($B682,고객사!$A$5:$A$104,0)),"")="자사 차량 운행"),"차량 미배정",""))</f>
        <v/>
      </c>
      <c r="N682" s="22" t="str">
        <f aca="false">IF($B682="","",IFERROR(INDEX(고객사!$J$5:$J$104,MATCH($B682,고객사!$A$5:$A$104,0)),0))</f>
        <v/>
      </c>
      <c r="O682" s="22" t="str">
        <f aca="false">IF($B682="","",G682*N682)</f>
        <v/>
      </c>
      <c r="P682" s="22" t="str">
        <f aca="false">IF($B682="","",IFERROR(INDEX(고객사!$K$5:$K$104,MATCH($B682,고객사!$A$5:$A$104,0)),0))</f>
        <v/>
      </c>
      <c r="Q682" s="22" t="str">
        <f aca="false">IF($B682="","",G682*P682)</f>
        <v/>
      </c>
      <c r="R682" s="22" t="str">
        <f aca="false">IF($B682="","",O682-Q682-L682)</f>
        <v/>
      </c>
      <c r="S682" s="21" t="str">
        <f aca="false">IF(OR($B682="",N(O682)=0),"",R682/O682)</f>
        <v/>
      </c>
      <c r="T682" s="14"/>
      <c r="U682" s="19" t="n">
        <f aca="false">IF(OR($B682="",$A682=""),0,IF(COUNTIFS($A$5:$A682,$A682,$B$5:$B682,$B682)=1,1,0))</f>
        <v>0</v>
      </c>
    </row>
    <row r="683" customFormat="false" ht="15" hidden="false" customHeight="false" outlineLevel="0" collapsed="false">
      <c r="A683" s="17"/>
      <c r="B683" s="13"/>
      <c r="C683" s="20" t="str">
        <f aca="false">IF($B683="","",IFERROR(INDEX(고객사!$B$5:$B$104,MATCH($B683,고객사!$A$5:$A$104,0)),"코드 확인"))</f>
        <v/>
      </c>
      <c r="D683" s="15"/>
      <c r="E683" s="15"/>
      <c r="F683" s="16"/>
      <c r="G683" s="16"/>
      <c r="H683" s="21" t="str">
        <f aca="false">IF(OR($B683="",F683=0),"",G683/F683)</f>
        <v/>
      </c>
      <c r="I683" s="22" t="str">
        <f aca="false">IF($B683="","",MAX(F683-G683,0))</f>
        <v/>
      </c>
      <c r="J683" s="23" t="str">
        <f aca="false">IF($B683="","",IFERROR(INDEX(고객사!$G$5:$G$104,MATCH($B683,고객사!$A$5:$A$104,0)),""))</f>
        <v/>
      </c>
      <c r="K683" s="16"/>
      <c r="L683" s="22" t="str">
        <f aca="false">IF($B683="","",K683*IFERROR(INDEX(고객사!$L$5:$L$104,MATCH($B683,고객사!$A$5:$A$104,0)),0))</f>
        <v/>
      </c>
      <c r="M683" s="23" t="str">
        <f aca="false">IF($B683="","",IF(AND(J683="N",G683&gt;0,K683=0,IFERROR(INDEX(고객사!$H$5:$H$104,MATCH($B683,고객사!$A$5:$A$104,0)),"")="자사 차량 운행"),"차량 미배정",""))</f>
        <v/>
      </c>
      <c r="N683" s="22" t="str">
        <f aca="false">IF($B683="","",IFERROR(INDEX(고객사!$J$5:$J$104,MATCH($B683,고객사!$A$5:$A$104,0)),0))</f>
        <v/>
      </c>
      <c r="O683" s="22" t="str">
        <f aca="false">IF($B683="","",G683*N683)</f>
        <v/>
      </c>
      <c r="P683" s="22" t="str">
        <f aca="false">IF($B683="","",IFERROR(INDEX(고객사!$K$5:$K$104,MATCH($B683,고객사!$A$5:$A$104,0)),0))</f>
        <v/>
      </c>
      <c r="Q683" s="22" t="str">
        <f aca="false">IF($B683="","",G683*P683)</f>
        <v/>
      </c>
      <c r="R683" s="22" t="str">
        <f aca="false">IF($B683="","",O683-Q683-L683)</f>
        <v/>
      </c>
      <c r="S683" s="21" t="str">
        <f aca="false">IF(OR($B683="",N(O683)=0),"",R683/O683)</f>
        <v/>
      </c>
      <c r="T683" s="14"/>
      <c r="U683" s="19" t="n">
        <f aca="false">IF(OR($B683="",$A683=""),0,IF(COUNTIFS($A$5:$A683,$A683,$B$5:$B683,$B683)=1,1,0))</f>
        <v>0</v>
      </c>
    </row>
    <row r="684" customFormat="false" ht="15" hidden="false" customHeight="false" outlineLevel="0" collapsed="false">
      <c r="A684" s="17"/>
      <c r="B684" s="13"/>
      <c r="C684" s="20" t="str">
        <f aca="false">IF($B684="","",IFERROR(INDEX(고객사!$B$5:$B$104,MATCH($B684,고객사!$A$5:$A$104,0)),"코드 확인"))</f>
        <v/>
      </c>
      <c r="D684" s="15"/>
      <c r="E684" s="15"/>
      <c r="F684" s="16"/>
      <c r="G684" s="16"/>
      <c r="H684" s="21" t="str">
        <f aca="false">IF(OR($B684="",F684=0),"",G684/F684)</f>
        <v/>
      </c>
      <c r="I684" s="22" t="str">
        <f aca="false">IF($B684="","",MAX(F684-G684,0))</f>
        <v/>
      </c>
      <c r="J684" s="23" t="str">
        <f aca="false">IF($B684="","",IFERROR(INDEX(고객사!$G$5:$G$104,MATCH($B684,고객사!$A$5:$A$104,0)),""))</f>
        <v/>
      </c>
      <c r="K684" s="16"/>
      <c r="L684" s="22" t="str">
        <f aca="false">IF($B684="","",K684*IFERROR(INDEX(고객사!$L$5:$L$104,MATCH($B684,고객사!$A$5:$A$104,0)),0))</f>
        <v/>
      </c>
      <c r="M684" s="23" t="str">
        <f aca="false">IF($B684="","",IF(AND(J684="N",G684&gt;0,K684=0,IFERROR(INDEX(고객사!$H$5:$H$104,MATCH($B684,고객사!$A$5:$A$104,0)),"")="자사 차량 운행"),"차량 미배정",""))</f>
        <v/>
      </c>
      <c r="N684" s="22" t="str">
        <f aca="false">IF($B684="","",IFERROR(INDEX(고객사!$J$5:$J$104,MATCH($B684,고객사!$A$5:$A$104,0)),0))</f>
        <v/>
      </c>
      <c r="O684" s="22" t="str">
        <f aca="false">IF($B684="","",G684*N684)</f>
        <v/>
      </c>
      <c r="P684" s="22" t="str">
        <f aca="false">IF($B684="","",IFERROR(INDEX(고객사!$K$5:$K$104,MATCH($B684,고객사!$A$5:$A$104,0)),0))</f>
        <v/>
      </c>
      <c r="Q684" s="22" t="str">
        <f aca="false">IF($B684="","",G684*P684)</f>
        <v/>
      </c>
      <c r="R684" s="22" t="str">
        <f aca="false">IF($B684="","",O684-Q684-L684)</f>
        <v/>
      </c>
      <c r="S684" s="21" t="str">
        <f aca="false">IF(OR($B684="",N(O684)=0),"",R684/O684)</f>
        <v/>
      </c>
      <c r="T684" s="14"/>
      <c r="U684" s="19" t="n">
        <f aca="false">IF(OR($B684="",$A684=""),0,IF(COUNTIFS($A$5:$A684,$A684,$B$5:$B684,$B684)=1,1,0))</f>
        <v>0</v>
      </c>
    </row>
    <row r="685" customFormat="false" ht="15" hidden="false" customHeight="false" outlineLevel="0" collapsed="false">
      <c r="A685" s="17"/>
      <c r="B685" s="13"/>
      <c r="C685" s="20" t="str">
        <f aca="false">IF($B685="","",IFERROR(INDEX(고객사!$B$5:$B$104,MATCH($B685,고객사!$A$5:$A$104,0)),"코드 확인"))</f>
        <v/>
      </c>
      <c r="D685" s="15"/>
      <c r="E685" s="15"/>
      <c r="F685" s="16"/>
      <c r="G685" s="16"/>
      <c r="H685" s="21" t="str">
        <f aca="false">IF(OR($B685="",F685=0),"",G685/F685)</f>
        <v/>
      </c>
      <c r="I685" s="22" t="str">
        <f aca="false">IF($B685="","",MAX(F685-G685,0))</f>
        <v/>
      </c>
      <c r="J685" s="23" t="str">
        <f aca="false">IF($B685="","",IFERROR(INDEX(고객사!$G$5:$G$104,MATCH($B685,고객사!$A$5:$A$104,0)),""))</f>
        <v/>
      </c>
      <c r="K685" s="16"/>
      <c r="L685" s="22" t="str">
        <f aca="false">IF($B685="","",K685*IFERROR(INDEX(고객사!$L$5:$L$104,MATCH($B685,고객사!$A$5:$A$104,0)),0))</f>
        <v/>
      </c>
      <c r="M685" s="23" t="str">
        <f aca="false">IF($B685="","",IF(AND(J685="N",G685&gt;0,K685=0,IFERROR(INDEX(고객사!$H$5:$H$104,MATCH($B685,고객사!$A$5:$A$104,0)),"")="자사 차량 운행"),"차량 미배정",""))</f>
        <v/>
      </c>
      <c r="N685" s="22" t="str">
        <f aca="false">IF($B685="","",IFERROR(INDEX(고객사!$J$5:$J$104,MATCH($B685,고객사!$A$5:$A$104,0)),0))</f>
        <v/>
      </c>
      <c r="O685" s="22" t="str">
        <f aca="false">IF($B685="","",G685*N685)</f>
        <v/>
      </c>
      <c r="P685" s="22" t="str">
        <f aca="false">IF($B685="","",IFERROR(INDEX(고객사!$K$5:$K$104,MATCH($B685,고객사!$A$5:$A$104,0)),0))</f>
        <v/>
      </c>
      <c r="Q685" s="22" t="str">
        <f aca="false">IF($B685="","",G685*P685)</f>
        <v/>
      </c>
      <c r="R685" s="22" t="str">
        <f aca="false">IF($B685="","",O685-Q685-L685)</f>
        <v/>
      </c>
      <c r="S685" s="21" t="str">
        <f aca="false">IF(OR($B685="",N(O685)=0),"",R685/O685)</f>
        <v/>
      </c>
      <c r="T685" s="14"/>
      <c r="U685" s="19" t="n">
        <f aca="false">IF(OR($B685="",$A685=""),0,IF(COUNTIFS($A$5:$A685,$A685,$B$5:$B685,$B685)=1,1,0))</f>
        <v>0</v>
      </c>
    </row>
    <row r="686" customFormat="false" ht="15" hidden="false" customHeight="false" outlineLevel="0" collapsed="false">
      <c r="A686" s="17"/>
      <c r="B686" s="13"/>
      <c r="C686" s="20" t="str">
        <f aca="false">IF($B686="","",IFERROR(INDEX(고객사!$B$5:$B$104,MATCH($B686,고객사!$A$5:$A$104,0)),"코드 확인"))</f>
        <v/>
      </c>
      <c r="D686" s="15"/>
      <c r="E686" s="15"/>
      <c r="F686" s="16"/>
      <c r="G686" s="16"/>
      <c r="H686" s="21" t="str">
        <f aca="false">IF(OR($B686="",F686=0),"",G686/F686)</f>
        <v/>
      </c>
      <c r="I686" s="22" t="str">
        <f aca="false">IF($B686="","",MAX(F686-G686,0))</f>
        <v/>
      </c>
      <c r="J686" s="23" t="str">
        <f aca="false">IF($B686="","",IFERROR(INDEX(고객사!$G$5:$G$104,MATCH($B686,고객사!$A$5:$A$104,0)),""))</f>
        <v/>
      </c>
      <c r="K686" s="16"/>
      <c r="L686" s="22" t="str">
        <f aca="false">IF($B686="","",K686*IFERROR(INDEX(고객사!$L$5:$L$104,MATCH($B686,고객사!$A$5:$A$104,0)),0))</f>
        <v/>
      </c>
      <c r="M686" s="23" t="str">
        <f aca="false">IF($B686="","",IF(AND(J686="N",G686&gt;0,K686=0,IFERROR(INDEX(고객사!$H$5:$H$104,MATCH($B686,고객사!$A$5:$A$104,0)),"")="자사 차량 운행"),"차량 미배정",""))</f>
        <v/>
      </c>
      <c r="N686" s="22" t="str">
        <f aca="false">IF($B686="","",IFERROR(INDEX(고객사!$J$5:$J$104,MATCH($B686,고객사!$A$5:$A$104,0)),0))</f>
        <v/>
      </c>
      <c r="O686" s="22" t="str">
        <f aca="false">IF($B686="","",G686*N686)</f>
        <v/>
      </c>
      <c r="P686" s="22" t="str">
        <f aca="false">IF($B686="","",IFERROR(INDEX(고객사!$K$5:$K$104,MATCH($B686,고객사!$A$5:$A$104,0)),0))</f>
        <v/>
      </c>
      <c r="Q686" s="22" t="str">
        <f aca="false">IF($B686="","",G686*P686)</f>
        <v/>
      </c>
      <c r="R686" s="22" t="str">
        <f aca="false">IF($B686="","",O686-Q686-L686)</f>
        <v/>
      </c>
      <c r="S686" s="21" t="str">
        <f aca="false">IF(OR($B686="",N(O686)=0),"",R686/O686)</f>
        <v/>
      </c>
      <c r="T686" s="14"/>
      <c r="U686" s="19" t="n">
        <f aca="false">IF(OR($B686="",$A686=""),0,IF(COUNTIFS($A$5:$A686,$A686,$B$5:$B686,$B686)=1,1,0))</f>
        <v>0</v>
      </c>
    </row>
    <row r="687" customFormat="false" ht="15" hidden="false" customHeight="false" outlineLevel="0" collapsed="false">
      <c r="A687" s="17"/>
      <c r="B687" s="13"/>
      <c r="C687" s="20" t="str">
        <f aca="false">IF($B687="","",IFERROR(INDEX(고객사!$B$5:$B$104,MATCH($B687,고객사!$A$5:$A$104,0)),"코드 확인"))</f>
        <v/>
      </c>
      <c r="D687" s="15"/>
      <c r="E687" s="15"/>
      <c r="F687" s="16"/>
      <c r="G687" s="16"/>
      <c r="H687" s="21" t="str">
        <f aca="false">IF(OR($B687="",F687=0),"",G687/F687)</f>
        <v/>
      </c>
      <c r="I687" s="22" t="str">
        <f aca="false">IF($B687="","",MAX(F687-G687,0))</f>
        <v/>
      </c>
      <c r="J687" s="23" t="str">
        <f aca="false">IF($B687="","",IFERROR(INDEX(고객사!$G$5:$G$104,MATCH($B687,고객사!$A$5:$A$104,0)),""))</f>
        <v/>
      </c>
      <c r="K687" s="16"/>
      <c r="L687" s="22" t="str">
        <f aca="false">IF($B687="","",K687*IFERROR(INDEX(고객사!$L$5:$L$104,MATCH($B687,고객사!$A$5:$A$104,0)),0))</f>
        <v/>
      </c>
      <c r="M687" s="23" t="str">
        <f aca="false">IF($B687="","",IF(AND(J687="N",G687&gt;0,K687=0,IFERROR(INDEX(고객사!$H$5:$H$104,MATCH($B687,고객사!$A$5:$A$104,0)),"")="자사 차량 운행"),"차량 미배정",""))</f>
        <v/>
      </c>
      <c r="N687" s="22" t="str">
        <f aca="false">IF($B687="","",IFERROR(INDEX(고객사!$J$5:$J$104,MATCH($B687,고객사!$A$5:$A$104,0)),0))</f>
        <v/>
      </c>
      <c r="O687" s="22" t="str">
        <f aca="false">IF($B687="","",G687*N687)</f>
        <v/>
      </c>
      <c r="P687" s="22" t="str">
        <f aca="false">IF($B687="","",IFERROR(INDEX(고객사!$K$5:$K$104,MATCH($B687,고객사!$A$5:$A$104,0)),0))</f>
        <v/>
      </c>
      <c r="Q687" s="22" t="str">
        <f aca="false">IF($B687="","",G687*P687)</f>
        <v/>
      </c>
      <c r="R687" s="22" t="str">
        <f aca="false">IF($B687="","",O687-Q687-L687)</f>
        <v/>
      </c>
      <c r="S687" s="21" t="str">
        <f aca="false">IF(OR($B687="",N(O687)=0),"",R687/O687)</f>
        <v/>
      </c>
      <c r="T687" s="14"/>
      <c r="U687" s="19" t="n">
        <f aca="false">IF(OR($B687="",$A687=""),0,IF(COUNTIFS($A$5:$A687,$A687,$B$5:$B687,$B687)=1,1,0))</f>
        <v>0</v>
      </c>
    </row>
    <row r="688" customFormat="false" ht="15" hidden="false" customHeight="false" outlineLevel="0" collapsed="false">
      <c r="A688" s="17"/>
      <c r="B688" s="13"/>
      <c r="C688" s="20" t="str">
        <f aca="false">IF($B688="","",IFERROR(INDEX(고객사!$B$5:$B$104,MATCH($B688,고객사!$A$5:$A$104,0)),"코드 확인"))</f>
        <v/>
      </c>
      <c r="D688" s="15"/>
      <c r="E688" s="15"/>
      <c r="F688" s="16"/>
      <c r="G688" s="16"/>
      <c r="H688" s="21" t="str">
        <f aca="false">IF(OR($B688="",F688=0),"",G688/F688)</f>
        <v/>
      </c>
      <c r="I688" s="22" t="str">
        <f aca="false">IF($B688="","",MAX(F688-G688,0))</f>
        <v/>
      </c>
      <c r="J688" s="23" t="str">
        <f aca="false">IF($B688="","",IFERROR(INDEX(고객사!$G$5:$G$104,MATCH($B688,고객사!$A$5:$A$104,0)),""))</f>
        <v/>
      </c>
      <c r="K688" s="16"/>
      <c r="L688" s="22" t="str">
        <f aca="false">IF($B688="","",K688*IFERROR(INDEX(고객사!$L$5:$L$104,MATCH($B688,고객사!$A$5:$A$104,0)),0))</f>
        <v/>
      </c>
      <c r="M688" s="23" t="str">
        <f aca="false">IF($B688="","",IF(AND(J688="N",G688&gt;0,K688=0,IFERROR(INDEX(고객사!$H$5:$H$104,MATCH($B688,고객사!$A$5:$A$104,0)),"")="자사 차량 운행"),"차량 미배정",""))</f>
        <v/>
      </c>
      <c r="N688" s="22" t="str">
        <f aca="false">IF($B688="","",IFERROR(INDEX(고객사!$J$5:$J$104,MATCH($B688,고객사!$A$5:$A$104,0)),0))</f>
        <v/>
      </c>
      <c r="O688" s="22" t="str">
        <f aca="false">IF($B688="","",G688*N688)</f>
        <v/>
      </c>
      <c r="P688" s="22" t="str">
        <f aca="false">IF($B688="","",IFERROR(INDEX(고객사!$K$5:$K$104,MATCH($B688,고객사!$A$5:$A$104,0)),0))</f>
        <v/>
      </c>
      <c r="Q688" s="22" t="str">
        <f aca="false">IF($B688="","",G688*P688)</f>
        <v/>
      </c>
      <c r="R688" s="22" t="str">
        <f aca="false">IF($B688="","",O688-Q688-L688)</f>
        <v/>
      </c>
      <c r="S688" s="21" t="str">
        <f aca="false">IF(OR($B688="",N(O688)=0),"",R688/O688)</f>
        <v/>
      </c>
      <c r="T688" s="14"/>
      <c r="U688" s="19" t="n">
        <f aca="false">IF(OR($B688="",$A688=""),0,IF(COUNTIFS($A$5:$A688,$A688,$B$5:$B688,$B688)=1,1,0))</f>
        <v>0</v>
      </c>
    </row>
    <row r="689" customFormat="false" ht="15" hidden="false" customHeight="false" outlineLevel="0" collapsed="false">
      <c r="A689" s="17"/>
      <c r="B689" s="13"/>
      <c r="C689" s="20" t="str">
        <f aca="false">IF($B689="","",IFERROR(INDEX(고객사!$B$5:$B$104,MATCH($B689,고객사!$A$5:$A$104,0)),"코드 확인"))</f>
        <v/>
      </c>
      <c r="D689" s="15"/>
      <c r="E689" s="15"/>
      <c r="F689" s="16"/>
      <c r="G689" s="16"/>
      <c r="H689" s="21" t="str">
        <f aca="false">IF(OR($B689="",F689=0),"",G689/F689)</f>
        <v/>
      </c>
      <c r="I689" s="22" t="str">
        <f aca="false">IF($B689="","",MAX(F689-G689,0))</f>
        <v/>
      </c>
      <c r="J689" s="23" t="str">
        <f aca="false">IF($B689="","",IFERROR(INDEX(고객사!$G$5:$G$104,MATCH($B689,고객사!$A$5:$A$104,0)),""))</f>
        <v/>
      </c>
      <c r="K689" s="16"/>
      <c r="L689" s="22" t="str">
        <f aca="false">IF($B689="","",K689*IFERROR(INDEX(고객사!$L$5:$L$104,MATCH($B689,고객사!$A$5:$A$104,0)),0))</f>
        <v/>
      </c>
      <c r="M689" s="23" t="str">
        <f aca="false">IF($B689="","",IF(AND(J689="N",G689&gt;0,K689=0,IFERROR(INDEX(고객사!$H$5:$H$104,MATCH($B689,고객사!$A$5:$A$104,0)),"")="자사 차량 운행"),"차량 미배정",""))</f>
        <v/>
      </c>
      <c r="N689" s="22" t="str">
        <f aca="false">IF($B689="","",IFERROR(INDEX(고객사!$J$5:$J$104,MATCH($B689,고객사!$A$5:$A$104,0)),0))</f>
        <v/>
      </c>
      <c r="O689" s="22" t="str">
        <f aca="false">IF($B689="","",G689*N689)</f>
        <v/>
      </c>
      <c r="P689" s="22" t="str">
        <f aca="false">IF($B689="","",IFERROR(INDEX(고객사!$K$5:$K$104,MATCH($B689,고객사!$A$5:$A$104,0)),0))</f>
        <v/>
      </c>
      <c r="Q689" s="22" t="str">
        <f aca="false">IF($B689="","",G689*P689)</f>
        <v/>
      </c>
      <c r="R689" s="22" t="str">
        <f aca="false">IF($B689="","",O689-Q689-L689)</f>
        <v/>
      </c>
      <c r="S689" s="21" t="str">
        <f aca="false">IF(OR($B689="",N(O689)=0),"",R689/O689)</f>
        <v/>
      </c>
      <c r="T689" s="14"/>
      <c r="U689" s="19" t="n">
        <f aca="false">IF(OR($B689="",$A689=""),0,IF(COUNTIFS($A$5:$A689,$A689,$B$5:$B689,$B689)=1,1,0))</f>
        <v>0</v>
      </c>
    </row>
    <row r="690" customFormat="false" ht="15" hidden="false" customHeight="false" outlineLevel="0" collapsed="false">
      <c r="A690" s="17"/>
      <c r="B690" s="13"/>
      <c r="C690" s="20" t="str">
        <f aca="false">IF($B690="","",IFERROR(INDEX(고객사!$B$5:$B$104,MATCH($B690,고객사!$A$5:$A$104,0)),"코드 확인"))</f>
        <v/>
      </c>
      <c r="D690" s="15"/>
      <c r="E690" s="15"/>
      <c r="F690" s="16"/>
      <c r="G690" s="16"/>
      <c r="H690" s="21" t="str">
        <f aca="false">IF(OR($B690="",F690=0),"",G690/F690)</f>
        <v/>
      </c>
      <c r="I690" s="22" t="str">
        <f aca="false">IF($B690="","",MAX(F690-G690,0))</f>
        <v/>
      </c>
      <c r="J690" s="23" t="str">
        <f aca="false">IF($B690="","",IFERROR(INDEX(고객사!$G$5:$G$104,MATCH($B690,고객사!$A$5:$A$104,0)),""))</f>
        <v/>
      </c>
      <c r="K690" s="16"/>
      <c r="L690" s="22" t="str">
        <f aca="false">IF($B690="","",K690*IFERROR(INDEX(고객사!$L$5:$L$104,MATCH($B690,고객사!$A$5:$A$104,0)),0))</f>
        <v/>
      </c>
      <c r="M690" s="23" t="str">
        <f aca="false">IF($B690="","",IF(AND(J690="N",G690&gt;0,K690=0,IFERROR(INDEX(고객사!$H$5:$H$104,MATCH($B690,고객사!$A$5:$A$104,0)),"")="자사 차량 운행"),"차량 미배정",""))</f>
        <v/>
      </c>
      <c r="N690" s="22" t="str">
        <f aca="false">IF($B690="","",IFERROR(INDEX(고객사!$J$5:$J$104,MATCH($B690,고객사!$A$5:$A$104,0)),0))</f>
        <v/>
      </c>
      <c r="O690" s="22" t="str">
        <f aca="false">IF($B690="","",G690*N690)</f>
        <v/>
      </c>
      <c r="P690" s="22" t="str">
        <f aca="false">IF($B690="","",IFERROR(INDEX(고객사!$K$5:$K$104,MATCH($B690,고객사!$A$5:$A$104,0)),0))</f>
        <v/>
      </c>
      <c r="Q690" s="22" t="str">
        <f aca="false">IF($B690="","",G690*P690)</f>
        <v/>
      </c>
      <c r="R690" s="22" t="str">
        <f aca="false">IF($B690="","",O690-Q690-L690)</f>
        <v/>
      </c>
      <c r="S690" s="21" t="str">
        <f aca="false">IF(OR($B690="",N(O690)=0),"",R690/O690)</f>
        <v/>
      </c>
      <c r="T690" s="14"/>
      <c r="U690" s="19" t="n">
        <f aca="false">IF(OR($B690="",$A690=""),0,IF(COUNTIFS($A$5:$A690,$A690,$B$5:$B690,$B690)=1,1,0))</f>
        <v>0</v>
      </c>
    </row>
    <row r="691" customFormat="false" ht="15" hidden="false" customHeight="false" outlineLevel="0" collapsed="false">
      <c r="A691" s="17"/>
      <c r="B691" s="13"/>
      <c r="C691" s="20" t="str">
        <f aca="false">IF($B691="","",IFERROR(INDEX(고객사!$B$5:$B$104,MATCH($B691,고객사!$A$5:$A$104,0)),"코드 확인"))</f>
        <v/>
      </c>
      <c r="D691" s="15"/>
      <c r="E691" s="15"/>
      <c r="F691" s="16"/>
      <c r="G691" s="16"/>
      <c r="H691" s="21" t="str">
        <f aca="false">IF(OR($B691="",F691=0),"",G691/F691)</f>
        <v/>
      </c>
      <c r="I691" s="22" t="str">
        <f aca="false">IF($B691="","",MAX(F691-G691,0))</f>
        <v/>
      </c>
      <c r="J691" s="23" t="str">
        <f aca="false">IF($B691="","",IFERROR(INDEX(고객사!$G$5:$G$104,MATCH($B691,고객사!$A$5:$A$104,0)),""))</f>
        <v/>
      </c>
      <c r="K691" s="16"/>
      <c r="L691" s="22" t="str">
        <f aca="false">IF($B691="","",K691*IFERROR(INDEX(고객사!$L$5:$L$104,MATCH($B691,고객사!$A$5:$A$104,0)),0))</f>
        <v/>
      </c>
      <c r="M691" s="23" t="str">
        <f aca="false">IF($B691="","",IF(AND(J691="N",G691&gt;0,K691=0,IFERROR(INDEX(고객사!$H$5:$H$104,MATCH($B691,고객사!$A$5:$A$104,0)),"")="자사 차량 운행"),"차량 미배정",""))</f>
        <v/>
      </c>
      <c r="N691" s="22" t="str">
        <f aca="false">IF($B691="","",IFERROR(INDEX(고객사!$J$5:$J$104,MATCH($B691,고객사!$A$5:$A$104,0)),0))</f>
        <v/>
      </c>
      <c r="O691" s="22" t="str">
        <f aca="false">IF($B691="","",G691*N691)</f>
        <v/>
      </c>
      <c r="P691" s="22" t="str">
        <f aca="false">IF($B691="","",IFERROR(INDEX(고객사!$K$5:$K$104,MATCH($B691,고객사!$A$5:$A$104,0)),0))</f>
        <v/>
      </c>
      <c r="Q691" s="22" t="str">
        <f aca="false">IF($B691="","",G691*P691)</f>
        <v/>
      </c>
      <c r="R691" s="22" t="str">
        <f aca="false">IF($B691="","",O691-Q691-L691)</f>
        <v/>
      </c>
      <c r="S691" s="21" t="str">
        <f aca="false">IF(OR($B691="",N(O691)=0),"",R691/O691)</f>
        <v/>
      </c>
      <c r="T691" s="14"/>
      <c r="U691" s="19" t="n">
        <f aca="false">IF(OR($B691="",$A691=""),0,IF(COUNTIFS($A$5:$A691,$A691,$B$5:$B691,$B691)=1,1,0))</f>
        <v>0</v>
      </c>
    </row>
    <row r="692" customFormat="false" ht="15" hidden="false" customHeight="false" outlineLevel="0" collapsed="false">
      <c r="A692" s="17"/>
      <c r="B692" s="13"/>
      <c r="C692" s="20" t="str">
        <f aca="false">IF($B692="","",IFERROR(INDEX(고객사!$B$5:$B$104,MATCH($B692,고객사!$A$5:$A$104,0)),"코드 확인"))</f>
        <v/>
      </c>
      <c r="D692" s="15"/>
      <c r="E692" s="15"/>
      <c r="F692" s="16"/>
      <c r="G692" s="16"/>
      <c r="H692" s="21" t="str">
        <f aca="false">IF(OR($B692="",F692=0),"",G692/F692)</f>
        <v/>
      </c>
      <c r="I692" s="22" t="str">
        <f aca="false">IF($B692="","",MAX(F692-G692,0))</f>
        <v/>
      </c>
      <c r="J692" s="23" t="str">
        <f aca="false">IF($B692="","",IFERROR(INDEX(고객사!$G$5:$G$104,MATCH($B692,고객사!$A$5:$A$104,0)),""))</f>
        <v/>
      </c>
      <c r="K692" s="16"/>
      <c r="L692" s="22" t="str">
        <f aca="false">IF($B692="","",K692*IFERROR(INDEX(고객사!$L$5:$L$104,MATCH($B692,고객사!$A$5:$A$104,0)),0))</f>
        <v/>
      </c>
      <c r="M692" s="23" t="str">
        <f aca="false">IF($B692="","",IF(AND(J692="N",G692&gt;0,K692=0,IFERROR(INDEX(고객사!$H$5:$H$104,MATCH($B692,고객사!$A$5:$A$104,0)),"")="자사 차량 운행"),"차량 미배정",""))</f>
        <v/>
      </c>
      <c r="N692" s="22" t="str">
        <f aca="false">IF($B692="","",IFERROR(INDEX(고객사!$J$5:$J$104,MATCH($B692,고객사!$A$5:$A$104,0)),0))</f>
        <v/>
      </c>
      <c r="O692" s="22" t="str">
        <f aca="false">IF($B692="","",G692*N692)</f>
        <v/>
      </c>
      <c r="P692" s="22" t="str">
        <f aca="false">IF($B692="","",IFERROR(INDEX(고객사!$K$5:$K$104,MATCH($B692,고객사!$A$5:$A$104,0)),0))</f>
        <v/>
      </c>
      <c r="Q692" s="22" t="str">
        <f aca="false">IF($B692="","",G692*P692)</f>
        <v/>
      </c>
      <c r="R692" s="22" t="str">
        <f aca="false">IF($B692="","",O692-Q692-L692)</f>
        <v/>
      </c>
      <c r="S692" s="21" t="str">
        <f aca="false">IF(OR($B692="",N(O692)=0),"",R692/O692)</f>
        <v/>
      </c>
      <c r="T692" s="14"/>
      <c r="U692" s="19" t="n">
        <f aca="false">IF(OR($B692="",$A692=""),0,IF(COUNTIFS($A$5:$A692,$A692,$B$5:$B692,$B692)=1,1,0))</f>
        <v>0</v>
      </c>
    </row>
    <row r="693" customFormat="false" ht="15" hidden="false" customHeight="false" outlineLevel="0" collapsed="false">
      <c r="A693" s="17"/>
      <c r="B693" s="13"/>
      <c r="C693" s="20" t="str">
        <f aca="false">IF($B693="","",IFERROR(INDEX(고객사!$B$5:$B$104,MATCH($B693,고객사!$A$5:$A$104,0)),"코드 확인"))</f>
        <v/>
      </c>
      <c r="D693" s="15"/>
      <c r="E693" s="15"/>
      <c r="F693" s="16"/>
      <c r="G693" s="16"/>
      <c r="H693" s="21" t="str">
        <f aca="false">IF(OR($B693="",F693=0),"",G693/F693)</f>
        <v/>
      </c>
      <c r="I693" s="22" t="str">
        <f aca="false">IF($B693="","",MAX(F693-G693,0))</f>
        <v/>
      </c>
      <c r="J693" s="23" t="str">
        <f aca="false">IF($B693="","",IFERROR(INDEX(고객사!$G$5:$G$104,MATCH($B693,고객사!$A$5:$A$104,0)),""))</f>
        <v/>
      </c>
      <c r="K693" s="16"/>
      <c r="L693" s="22" t="str">
        <f aca="false">IF($B693="","",K693*IFERROR(INDEX(고객사!$L$5:$L$104,MATCH($B693,고객사!$A$5:$A$104,0)),0))</f>
        <v/>
      </c>
      <c r="M693" s="23" t="str">
        <f aca="false">IF($B693="","",IF(AND(J693="N",G693&gt;0,K693=0,IFERROR(INDEX(고객사!$H$5:$H$104,MATCH($B693,고객사!$A$5:$A$104,0)),"")="자사 차량 운행"),"차량 미배정",""))</f>
        <v/>
      </c>
      <c r="N693" s="22" t="str">
        <f aca="false">IF($B693="","",IFERROR(INDEX(고객사!$J$5:$J$104,MATCH($B693,고객사!$A$5:$A$104,0)),0))</f>
        <v/>
      </c>
      <c r="O693" s="22" t="str">
        <f aca="false">IF($B693="","",G693*N693)</f>
        <v/>
      </c>
      <c r="P693" s="22" t="str">
        <f aca="false">IF($B693="","",IFERROR(INDEX(고객사!$K$5:$K$104,MATCH($B693,고객사!$A$5:$A$104,0)),0))</f>
        <v/>
      </c>
      <c r="Q693" s="22" t="str">
        <f aca="false">IF($B693="","",G693*P693)</f>
        <v/>
      </c>
      <c r="R693" s="22" t="str">
        <f aca="false">IF($B693="","",O693-Q693-L693)</f>
        <v/>
      </c>
      <c r="S693" s="21" t="str">
        <f aca="false">IF(OR($B693="",N(O693)=0),"",R693/O693)</f>
        <v/>
      </c>
      <c r="T693" s="14"/>
      <c r="U693" s="19" t="n">
        <f aca="false">IF(OR($B693="",$A693=""),0,IF(COUNTIFS($A$5:$A693,$A693,$B$5:$B693,$B693)=1,1,0))</f>
        <v>0</v>
      </c>
    </row>
    <row r="694" customFormat="false" ht="15" hidden="false" customHeight="false" outlineLevel="0" collapsed="false">
      <c r="A694" s="17"/>
      <c r="B694" s="13"/>
      <c r="C694" s="20" t="str">
        <f aca="false">IF($B694="","",IFERROR(INDEX(고객사!$B$5:$B$104,MATCH($B694,고객사!$A$5:$A$104,0)),"코드 확인"))</f>
        <v/>
      </c>
      <c r="D694" s="15"/>
      <c r="E694" s="15"/>
      <c r="F694" s="16"/>
      <c r="G694" s="16"/>
      <c r="H694" s="21" t="str">
        <f aca="false">IF(OR($B694="",F694=0),"",G694/F694)</f>
        <v/>
      </c>
      <c r="I694" s="22" t="str">
        <f aca="false">IF($B694="","",MAX(F694-G694,0))</f>
        <v/>
      </c>
      <c r="J694" s="23" t="str">
        <f aca="false">IF($B694="","",IFERROR(INDEX(고객사!$G$5:$G$104,MATCH($B694,고객사!$A$5:$A$104,0)),""))</f>
        <v/>
      </c>
      <c r="K694" s="16"/>
      <c r="L694" s="22" t="str">
        <f aca="false">IF($B694="","",K694*IFERROR(INDEX(고객사!$L$5:$L$104,MATCH($B694,고객사!$A$5:$A$104,0)),0))</f>
        <v/>
      </c>
      <c r="M694" s="23" t="str">
        <f aca="false">IF($B694="","",IF(AND(J694="N",G694&gt;0,K694=0,IFERROR(INDEX(고객사!$H$5:$H$104,MATCH($B694,고객사!$A$5:$A$104,0)),"")="자사 차량 운행"),"차량 미배정",""))</f>
        <v/>
      </c>
      <c r="N694" s="22" t="str">
        <f aca="false">IF($B694="","",IFERROR(INDEX(고객사!$J$5:$J$104,MATCH($B694,고객사!$A$5:$A$104,0)),0))</f>
        <v/>
      </c>
      <c r="O694" s="22" t="str">
        <f aca="false">IF($B694="","",G694*N694)</f>
        <v/>
      </c>
      <c r="P694" s="22" t="str">
        <f aca="false">IF($B694="","",IFERROR(INDEX(고객사!$K$5:$K$104,MATCH($B694,고객사!$A$5:$A$104,0)),0))</f>
        <v/>
      </c>
      <c r="Q694" s="22" t="str">
        <f aca="false">IF($B694="","",G694*P694)</f>
        <v/>
      </c>
      <c r="R694" s="22" t="str">
        <f aca="false">IF($B694="","",O694-Q694-L694)</f>
        <v/>
      </c>
      <c r="S694" s="21" t="str">
        <f aca="false">IF(OR($B694="",N(O694)=0),"",R694/O694)</f>
        <v/>
      </c>
      <c r="T694" s="14"/>
      <c r="U694" s="19" t="n">
        <f aca="false">IF(OR($B694="",$A694=""),0,IF(COUNTIFS($A$5:$A694,$A694,$B$5:$B694,$B694)=1,1,0))</f>
        <v>0</v>
      </c>
    </row>
    <row r="695" customFormat="false" ht="15" hidden="false" customHeight="false" outlineLevel="0" collapsed="false">
      <c r="A695" s="17"/>
      <c r="B695" s="13"/>
      <c r="C695" s="20" t="str">
        <f aca="false">IF($B695="","",IFERROR(INDEX(고객사!$B$5:$B$104,MATCH($B695,고객사!$A$5:$A$104,0)),"코드 확인"))</f>
        <v/>
      </c>
      <c r="D695" s="15"/>
      <c r="E695" s="15"/>
      <c r="F695" s="16"/>
      <c r="G695" s="16"/>
      <c r="H695" s="21" t="str">
        <f aca="false">IF(OR($B695="",F695=0),"",G695/F695)</f>
        <v/>
      </c>
      <c r="I695" s="22" t="str">
        <f aca="false">IF($B695="","",MAX(F695-G695,0))</f>
        <v/>
      </c>
      <c r="J695" s="23" t="str">
        <f aca="false">IF($B695="","",IFERROR(INDEX(고객사!$G$5:$G$104,MATCH($B695,고객사!$A$5:$A$104,0)),""))</f>
        <v/>
      </c>
      <c r="K695" s="16"/>
      <c r="L695" s="22" t="str">
        <f aca="false">IF($B695="","",K695*IFERROR(INDEX(고객사!$L$5:$L$104,MATCH($B695,고객사!$A$5:$A$104,0)),0))</f>
        <v/>
      </c>
      <c r="M695" s="23" t="str">
        <f aca="false">IF($B695="","",IF(AND(J695="N",G695&gt;0,K695=0,IFERROR(INDEX(고객사!$H$5:$H$104,MATCH($B695,고객사!$A$5:$A$104,0)),"")="자사 차량 운행"),"차량 미배정",""))</f>
        <v/>
      </c>
      <c r="N695" s="22" t="str">
        <f aca="false">IF($B695="","",IFERROR(INDEX(고객사!$J$5:$J$104,MATCH($B695,고객사!$A$5:$A$104,0)),0))</f>
        <v/>
      </c>
      <c r="O695" s="22" t="str">
        <f aca="false">IF($B695="","",G695*N695)</f>
        <v/>
      </c>
      <c r="P695" s="22" t="str">
        <f aca="false">IF($B695="","",IFERROR(INDEX(고객사!$K$5:$K$104,MATCH($B695,고객사!$A$5:$A$104,0)),0))</f>
        <v/>
      </c>
      <c r="Q695" s="22" t="str">
        <f aca="false">IF($B695="","",G695*P695)</f>
        <v/>
      </c>
      <c r="R695" s="22" t="str">
        <f aca="false">IF($B695="","",O695-Q695-L695)</f>
        <v/>
      </c>
      <c r="S695" s="21" t="str">
        <f aca="false">IF(OR($B695="",N(O695)=0),"",R695/O695)</f>
        <v/>
      </c>
      <c r="T695" s="14"/>
      <c r="U695" s="19" t="n">
        <f aca="false">IF(OR($B695="",$A695=""),0,IF(COUNTIFS($A$5:$A695,$A695,$B$5:$B695,$B695)=1,1,0))</f>
        <v>0</v>
      </c>
    </row>
    <row r="696" customFormat="false" ht="15" hidden="false" customHeight="false" outlineLevel="0" collapsed="false">
      <c r="A696" s="17"/>
      <c r="B696" s="13"/>
      <c r="C696" s="20" t="str">
        <f aca="false">IF($B696="","",IFERROR(INDEX(고객사!$B$5:$B$104,MATCH($B696,고객사!$A$5:$A$104,0)),"코드 확인"))</f>
        <v/>
      </c>
      <c r="D696" s="15"/>
      <c r="E696" s="15"/>
      <c r="F696" s="16"/>
      <c r="G696" s="16"/>
      <c r="H696" s="21" t="str">
        <f aca="false">IF(OR($B696="",F696=0),"",G696/F696)</f>
        <v/>
      </c>
      <c r="I696" s="22" t="str">
        <f aca="false">IF($B696="","",MAX(F696-G696,0))</f>
        <v/>
      </c>
      <c r="J696" s="23" t="str">
        <f aca="false">IF($B696="","",IFERROR(INDEX(고객사!$G$5:$G$104,MATCH($B696,고객사!$A$5:$A$104,0)),""))</f>
        <v/>
      </c>
      <c r="K696" s="16"/>
      <c r="L696" s="22" t="str">
        <f aca="false">IF($B696="","",K696*IFERROR(INDEX(고객사!$L$5:$L$104,MATCH($B696,고객사!$A$5:$A$104,0)),0))</f>
        <v/>
      </c>
      <c r="M696" s="23" t="str">
        <f aca="false">IF($B696="","",IF(AND(J696="N",G696&gt;0,K696=0,IFERROR(INDEX(고객사!$H$5:$H$104,MATCH($B696,고객사!$A$5:$A$104,0)),"")="자사 차량 운행"),"차량 미배정",""))</f>
        <v/>
      </c>
      <c r="N696" s="22" t="str">
        <f aca="false">IF($B696="","",IFERROR(INDEX(고객사!$J$5:$J$104,MATCH($B696,고객사!$A$5:$A$104,0)),0))</f>
        <v/>
      </c>
      <c r="O696" s="22" t="str">
        <f aca="false">IF($B696="","",G696*N696)</f>
        <v/>
      </c>
      <c r="P696" s="22" t="str">
        <f aca="false">IF($B696="","",IFERROR(INDEX(고객사!$K$5:$K$104,MATCH($B696,고객사!$A$5:$A$104,0)),0))</f>
        <v/>
      </c>
      <c r="Q696" s="22" t="str">
        <f aca="false">IF($B696="","",G696*P696)</f>
        <v/>
      </c>
      <c r="R696" s="22" t="str">
        <f aca="false">IF($B696="","",O696-Q696-L696)</f>
        <v/>
      </c>
      <c r="S696" s="21" t="str">
        <f aca="false">IF(OR($B696="",N(O696)=0),"",R696/O696)</f>
        <v/>
      </c>
      <c r="T696" s="14"/>
      <c r="U696" s="19" t="n">
        <f aca="false">IF(OR($B696="",$A696=""),0,IF(COUNTIFS($A$5:$A696,$A696,$B$5:$B696,$B696)=1,1,0))</f>
        <v>0</v>
      </c>
    </row>
    <row r="697" customFormat="false" ht="15" hidden="false" customHeight="false" outlineLevel="0" collapsed="false">
      <c r="A697" s="17"/>
      <c r="B697" s="13"/>
      <c r="C697" s="20" t="str">
        <f aca="false">IF($B697="","",IFERROR(INDEX(고객사!$B$5:$B$104,MATCH($B697,고객사!$A$5:$A$104,0)),"코드 확인"))</f>
        <v/>
      </c>
      <c r="D697" s="15"/>
      <c r="E697" s="15"/>
      <c r="F697" s="16"/>
      <c r="G697" s="16"/>
      <c r="H697" s="21" t="str">
        <f aca="false">IF(OR($B697="",F697=0),"",G697/F697)</f>
        <v/>
      </c>
      <c r="I697" s="22" t="str">
        <f aca="false">IF($B697="","",MAX(F697-G697,0))</f>
        <v/>
      </c>
      <c r="J697" s="23" t="str">
        <f aca="false">IF($B697="","",IFERROR(INDEX(고객사!$G$5:$G$104,MATCH($B697,고객사!$A$5:$A$104,0)),""))</f>
        <v/>
      </c>
      <c r="K697" s="16"/>
      <c r="L697" s="22" t="str">
        <f aca="false">IF($B697="","",K697*IFERROR(INDEX(고객사!$L$5:$L$104,MATCH($B697,고객사!$A$5:$A$104,0)),0))</f>
        <v/>
      </c>
      <c r="M697" s="23" t="str">
        <f aca="false">IF($B697="","",IF(AND(J697="N",G697&gt;0,K697=0,IFERROR(INDEX(고객사!$H$5:$H$104,MATCH($B697,고객사!$A$5:$A$104,0)),"")="자사 차량 운행"),"차량 미배정",""))</f>
        <v/>
      </c>
      <c r="N697" s="22" t="str">
        <f aca="false">IF($B697="","",IFERROR(INDEX(고객사!$J$5:$J$104,MATCH($B697,고객사!$A$5:$A$104,0)),0))</f>
        <v/>
      </c>
      <c r="O697" s="22" t="str">
        <f aca="false">IF($B697="","",G697*N697)</f>
        <v/>
      </c>
      <c r="P697" s="22" t="str">
        <f aca="false">IF($B697="","",IFERROR(INDEX(고객사!$K$5:$K$104,MATCH($B697,고객사!$A$5:$A$104,0)),0))</f>
        <v/>
      </c>
      <c r="Q697" s="22" t="str">
        <f aca="false">IF($B697="","",G697*P697)</f>
        <v/>
      </c>
      <c r="R697" s="22" t="str">
        <f aca="false">IF($B697="","",O697-Q697-L697)</f>
        <v/>
      </c>
      <c r="S697" s="21" t="str">
        <f aca="false">IF(OR($B697="",N(O697)=0),"",R697/O697)</f>
        <v/>
      </c>
      <c r="T697" s="14"/>
      <c r="U697" s="19" t="n">
        <f aca="false">IF(OR($B697="",$A697=""),0,IF(COUNTIFS($A$5:$A697,$A697,$B$5:$B697,$B697)=1,1,0))</f>
        <v>0</v>
      </c>
    </row>
    <row r="698" customFormat="false" ht="15" hidden="false" customHeight="false" outlineLevel="0" collapsed="false">
      <c r="A698" s="17"/>
      <c r="B698" s="13"/>
      <c r="C698" s="20" t="str">
        <f aca="false">IF($B698="","",IFERROR(INDEX(고객사!$B$5:$B$104,MATCH($B698,고객사!$A$5:$A$104,0)),"코드 확인"))</f>
        <v/>
      </c>
      <c r="D698" s="15"/>
      <c r="E698" s="15"/>
      <c r="F698" s="16"/>
      <c r="G698" s="16"/>
      <c r="H698" s="21" t="str">
        <f aca="false">IF(OR($B698="",F698=0),"",G698/F698)</f>
        <v/>
      </c>
      <c r="I698" s="22" t="str">
        <f aca="false">IF($B698="","",MAX(F698-G698,0))</f>
        <v/>
      </c>
      <c r="J698" s="23" t="str">
        <f aca="false">IF($B698="","",IFERROR(INDEX(고객사!$G$5:$G$104,MATCH($B698,고객사!$A$5:$A$104,0)),""))</f>
        <v/>
      </c>
      <c r="K698" s="16"/>
      <c r="L698" s="22" t="str">
        <f aca="false">IF($B698="","",K698*IFERROR(INDEX(고객사!$L$5:$L$104,MATCH($B698,고객사!$A$5:$A$104,0)),0))</f>
        <v/>
      </c>
      <c r="M698" s="23" t="str">
        <f aca="false">IF($B698="","",IF(AND(J698="N",G698&gt;0,K698=0,IFERROR(INDEX(고객사!$H$5:$H$104,MATCH($B698,고객사!$A$5:$A$104,0)),"")="자사 차량 운행"),"차량 미배정",""))</f>
        <v/>
      </c>
      <c r="N698" s="22" t="str">
        <f aca="false">IF($B698="","",IFERROR(INDEX(고객사!$J$5:$J$104,MATCH($B698,고객사!$A$5:$A$104,0)),0))</f>
        <v/>
      </c>
      <c r="O698" s="22" t="str">
        <f aca="false">IF($B698="","",G698*N698)</f>
        <v/>
      </c>
      <c r="P698" s="22" t="str">
        <f aca="false">IF($B698="","",IFERROR(INDEX(고객사!$K$5:$K$104,MATCH($B698,고객사!$A$5:$A$104,0)),0))</f>
        <v/>
      </c>
      <c r="Q698" s="22" t="str">
        <f aca="false">IF($B698="","",G698*P698)</f>
        <v/>
      </c>
      <c r="R698" s="22" t="str">
        <f aca="false">IF($B698="","",O698-Q698-L698)</f>
        <v/>
      </c>
      <c r="S698" s="21" t="str">
        <f aca="false">IF(OR($B698="",N(O698)=0),"",R698/O698)</f>
        <v/>
      </c>
      <c r="T698" s="14"/>
      <c r="U698" s="19" t="n">
        <f aca="false">IF(OR($B698="",$A698=""),0,IF(COUNTIFS($A$5:$A698,$A698,$B$5:$B698,$B698)=1,1,0))</f>
        <v>0</v>
      </c>
    </row>
    <row r="699" customFormat="false" ht="15" hidden="false" customHeight="false" outlineLevel="0" collapsed="false">
      <c r="A699" s="17"/>
      <c r="B699" s="13"/>
      <c r="C699" s="20" t="str">
        <f aca="false">IF($B699="","",IFERROR(INDEX(고객사!$B$5:$B$104,MATCH($B699,고객사!$A$5:$A$104,0)),"코드 확인"))</f>
        <v/>
      </c>
      <c r="D699" s="15"/>
      <c r="E699" s="15"/>
      <c r="F699" s="16"/>
      <c r="G699" s="16"/>
      <c r="H699" s="21" t="str">
        <f aca="false">IF(OR($B699="",F699=0),"",G699/F699)</f>
        <v/>
      </c>
      <c r="I699" s="22" t="str">
        <f aca="false">IF($B699="","",MAX(F699-G699,0))</f>
        <v/>
      </c>
      <c r="J699" s="23" t="str">
        <f aca="false">IF($B699="","",IFERROR(INDEX(고객사!$G$5:$G$104,MATCH($B699,고객사!$A$5:$A$104,0)),""))</f>
        <v/>
      </c>
      <c r="K699" s="16"/>
      <c r="L699" s="22" t="str">
        <f aca="false">IF($B699="","",K699*IFERROR(INDEX(고객사!$L$5:$L$104,MATCH($B699,고객사!$A$5:$A$104,0)),0))</f>
        <v/>
      </c>
      <c r="M699" s="23" t="str">
        <f aca="false">IF($B699="","",IF(AND(J699="N",G699&gt;0,K699=0,IFERROR(INDEX(고객사!$H$5:$H$104,MATCH($B699,고객사!$A$5:$A$104,0)),"")="자사 차량 운행"),"차량 미배정",""))</f>
        <v/>
      </c>
      <c r="N699" s="22" t="str">
        <f aca="false">IF($B699="","",IFERROR(INDEX(고객사!$J$5:$J$104,MATCH($B699,고객사!$A$5:$A$104,0)),0))</f>
        <v/>
      </c>
      <c r="O699" s="22" t="str">
        <f aca="false">IF($B699="","",G699*N699)</f>
        <v/>
      </c>
      <c r="P699" s="22" t="str">
        <f aca="false">IF($B699="","",IFERROR(INDEX(고객사!$K$5:$K$104,MATCH($B699,고객사!$A$5:$A$104,0)),0))</f>
        <v/>
      </c>
      <c r="Q699" s="22" t="str">
        <f aca="false">IF($B699="","",G699*P699)</f>
        <v/>
      </c>
      <c r="R699" s="22" t="str">
        <f aca="false">IF($B699="","",O699-Q699-L699)</f>
        <v/>
      </c>
      <c r="S699" s="21" t="str">
        <f aca="false">IF(OR($B699="",N(O699)=0),"",R699/O699)</f>
        <v/>
      </c>
      <c r="T699" s="14"/>
      <c r="U699" s="19" t="n">
        <f aca="false">IF(OR($B699="",$A699=""),0,IF(COUNTIFS($A$5:$A699,$A699,$B$5:$B699,$B699)=1,1,0))</f>
        <v>0</v>
      </c>
    </row>
    <row r="700" customFormat="false" ht="15" hidden="false" customHeight="false" outlineLevel="0" collapsed="false">
      <c r="A700" s="17"/>
      <c r="B700" s="13"/>
      <c r="C700" s="20" t="str">
        <f aca="false">IF($B700="","",IFERROR(INDEX(고객사!$B$5:$B$104,MATCH($B700,고객사!$A$5:$A$104,0)),"코드 확인"))</f>
        <v/>
      </c>
      <c r="D700" s="15"/>
      <c r="E700" s="15"/>
      <c r="F700" s="16"/>
      <c r="G700" s="16"/>
      <c r="H700" s="21" t="str">
        <f aca="false">IF(OR($B700="",F700=0),"",G700/F700)</f>
        <v/>
      </c>
      <c r="I700" s="22" t="str">
        <f aca="false">IF($B700="","",MAX(F700-G700,0))</f>
        <v/>
      </c>
      <c r="J700" s="23" t="str">
        <f aca="false">IF($B700="","",IFERROR(INDEX(고객사!$G$5:$G$104,MATCH($B700,고객사!$A$5:$A$104,0)),""))</f>
        <v/>
      </c>
      <c r="K700" s="16"/>
      <c r="L700" s="22" t="str">
        <f aca="false">IF($B700="","",K700*IFERROR(INDEX(고객사!$L$5:$L$104,MATCH($B700,고객사!$A$5:$A$104,0)),0))</f>
        <v/>
      </c>
      <c r="M700" s="23" t="str">
        <f aca="false">IF($B700="","",IF(AND(J700="N",G700&gt;0,K700=0,IFERROR(INDEX(고객사!$H$5:$H$104,MATCH($B700,고객사!$A$5:$A$104,0)),"")="자사 차량 운행"),"차량 미배정",""))</f>
        <v/>
      </c>
      <c r="N700" s="22" t="str">
        <f aca="false">IF($B700="","",IFERROR(INDEX(고객사!$J$5:$J$104,MATCH($B700,고객사!$A$5:$A$104,0)),0))</f>
        <v/>
      </c>
      <c r="O700" s="22" t="str">
        <f aca="false">IF($B700="","",G700*N700)</f>
        <v/>
      </c>
      <c r="P700" s="22" t="str">
        <f aca="false">IF($B700="","",IFERROR(INDEX(고객사!$K$5:$K$104,MATCH($B700,고객사!$A$5:$A$104,0)),0))</f>
        <v/>
      </c>
      <c r="Q700" s="22" t="str">
        <f aca="false">IF($B700="","",G700*P700)</f>
        <v/>
      </c>
      <c r="R700" s="22" t="str">
        <f aca="false">IF($B700="","",O700-Q700-L700)</f>
        <v/>
      </c>
      <c r="S700" s="21" t="str">
        <f aca="false">IF(OR($B700="",N(O700)=0),"",R700/O700)</f>
        <v/>
      </c>
      <c r="T700" s="14"/>
      <c r="U700" s="19" t="n">
        <f aca="false">IF(OR($B700="",$A700=""),0,IF(COUNTIFS($A$5:$A700,$A700,$B$5:$B700,$B700)=1,1,0))</f>
        <v>0</v>
      </c>
    </row>
    <row r="701" customFormat="false" ht="15" hidden="false" customHeight="false" outlineLevel="0" collapsed="false">
      <c r="A701" s="17"/>
      <c r="B701" s="13"/>
      <c r="C701" s="20" t="str">
        <f aca="false">IF($B701="","",IFERROR(INDEX(고객사!$B$5:$B$104,MATCH($B701,고객사!$A$5:$A$104,0)),"코드 확인"))</f>
        <v/>
      </c>
      <c r="D701" s="15"/>
      <c r="E701" s="15"/>
      <c r="F701" s="16"/>
      <c r="G701" s="16"/>
      <c r="H701" s="21" t="str">
        <f aca="false">IF(OR($B701="",F701=0),"",G701/F701)</f>
        <v/>
      </c>
      <c r="I701" s="22" t="str">
        <f aca="false">IF($B701="","",MAX(F701-G701,0))</f>
        <v/>
      </c>
      <c r="J701" s="23" t="str">
        <f aca="false">IF($B701="","",IFERROR(INDEX(고객사!$G$5:$G$104,MATCH($B701,고객사!$A$5:$A$104,0)),""))</f>
        <v/>
      </c>
      <c r="K701" s="16"/>
      <c r="L701" s="22" t="str">
        <f aca="false">IF($B701="","",K701*IFERROR(INDEX(고객사!$L$5:$L$104,MATCH($B701,고객사!$A$5:$A$104,0)),0))</f>
        <v/>
      </c>
      <c r="M701" s="23" t="str">
        <f aca="false">IF($B701="","",IF(AND(J701="N",G701&gt;0,K701=0,IFERROR(INDEX(고객사!$H$5:$H$104,MATCH($B701,고객사!$A$5:$A$104,0)),"")="자사 차량 운행"),"차량 미배정",""))</f>
        <v/>
      </c>
      <c r="N701" s="22" t="str">
        <f aca="false">IF($B701="","",IFERROR(INDEX(고객사!$J$5:$J$104,MATCH($B701,고객사!$A$5:$A$104,0)),0))</f>
        <v/>
      </c>
      <c r="O701" s="22" t="str">
        <f aca="false">IF($B701="","",G701*N701)</f>
        <v/>
      </c>
      <c r="P701" s="22" t="str">
        <f aca="false">IF($B701="","",IFERROR(INDEX(고객사!$K$5:$K$104,MATCH($B701,고객사!$A$5:$A$104,0)),0))</f>
        <v/>
      </c>
      <c r="Q701" s="22" t="str">
        <f aca="false">IF($B701="","",G701*P701)</f>
        <v/>
      </c>
      <c r="R701" s="22" t="str">
        <f aca="false">IF($B701="","",O701-Q701-L701)</f>
        <v/>
      </c>
      <c r="S701" s="21" t="str">
        <f aca="false">IF(OR($B701="",N(O701)=0),"",R701/O701)</f>
        <v/>
      </c>
      <c r="T701" s="14"/>
      <c r="U701" s="19" t="n">
        <f aca="false">IF(OR($B701="",$A701=""),0,IF(COUNTIFS($A$5:$A701,$A701,$B$5:$B701,$B701)=1,1,0))</f>
        <v>0</v>
      </c>
    </row>
    <row r="702" customFormat="false" ht="15" hidden="false" customHeight="false" outlineLevel="0" collapsed="false">
      <c r="A702" s="17"/>
      <c r="B702" s="13"/>
      <c r="C702" s="20" t="str">
        <f aca="false">IF($B702="","",IFERROR(INDEX(고객사!$B$5:$B$104,MATCH($B702,고객사!$A$5:$A$104,0)),"코드 확인"))</f>
        <v/>
      </c>
      <c r="D702" s="15"/>
      <c r="E702" s="15"/>
      <c r="F702" s="16"/>
      <c r="G702" s="16"/>
      <c r="H702" s="21" t="str">
        <f aca="false">IF(OR($B702="",F702=0),"",G702/F702)</f>
        <v/>
      </c>
      <c r="I702" s="22" t="str">
        <f aca="false">IF($B702="","",MAX(F702-G702,0))</f>
        <v/>
      </c>
      <c r="J702" s="23" t="str">
        <f aca="false">IF($B702="","",IFERROR(INDEX(고객사!$G$5:$G$104,MATCH($B702,고객사!$A$5:$A$104,0)),""))</f>
        <v/>
      </c>
      <c r="K702" s="16"/>
      <c r="L702" s="22" t="str">
        <f aca="false">IF($B702="","",K702*IFERROR(INDEX(고객사!$L$5:$L$104,MATCH($B702,고객사!$A$5:$A$104,0)),0))</f>
        <v/>
      </c>
      <c r="M702" s="23" t="str">
        <f aca="false">IF($B702="","",IF(AND(J702="N",G702&gt;0,K702=0,IFERROR(INDEX(고객사!$H$5:$H$104,MATCH($B702,고객사!$A$5:$A$104,0)),"")="자사 차량 운행"),"차량 미배정",""))</f>
        <v/>
      </c>
      <c r="N702" s="22" t="str">
        <f aca="false">IF($B702="","",IFERROR(INDEX(고객사!$J$5:$J$104,MATCH($B702,고객사!$A$5:$A$104,0)),0))</f>
        <v/>
      </c>
      <c r="O702" s="22" t="str">
        <f aca="false">IF($B702="","",G702*N702)</f>
        <v/>
      </c>
      <c r="P702" s="22" t="str">
        <f aca="false">IF($B702="","",IFERROR(INDEX(고객사!$K$5:$K$104,MATCH($B702,고객사!$A$5:$A$104,0)),0))</f>
        <v/>
      </c>
      <c r="Q702" s="22" t="str">
        <f aca="false">IF($B702="","",G702*P702)</f>
        <v/>
      </c>
      <c r="R702" s="22" t="str">
        <f aca="false">IF($B702="","",O702-Q702-L702)</f>
        <v/>
      </c>
      <c r="S702" s="21" t="str">
        <f aca="false">IF(OR($B702="",N(O702)=0),"",R702/O702)</f>
        <v/>
      </c>
      <c r="T702" s="14"/>
      <c r="U702" s="19" t="n">
        <f aca="false">IF(OR($B702="",$A702=""),0,IF(COUNTIFS($A$5:$A702,$A702,$B$5:$B702,$B702)=1,1,0))</f>
        <v>0</v>
      </c>
    </row>
    <row r="703" customFormat="false" ht="15" hidden="false" customHeight="false" outlineLevel="0" collapsed="false">
      <c r="A703" s="17"/>
      <c r="B703" s="13"/>
      <c r="C703" s="20" t="str">
        <f aca="false">IF($B703="","",IFERROR(INDEX(고객사!$B$5:$B$104,MATCH($B703,고객사!$A$5:$A$104,0)),"코드 확인"))</f>
        <v/>
      </c>
      <c r="D703" s="15"/>
      <c r="E703" s="15"/>
      <c r="F703" s="16"/>
      <c r="G703" s="16"/>
      <c r="H703" s="21" t="str">
        <f aca="false">IF(OR($B703="",F703=0),"",G703/F703)</f>
        <v/>
      </c>
      <c r="I703" s="22" t="str">
        <f aca="false">IF($B703="","",MAX(F703-G703,0))</f>
        <v/>
      </c>
      <c r="J703" s="23" t="str">
        <f aca="false">IF($B703="","",IFERROR(INDEX(고객사!$G$5:$G$104,MATCH($B703,고객사!$A$5:$A$104,0)),""))</f>
        <v/>
      </c>
      <c r="K703" s="16"/>
      <c r="L703" s="22" t="str">
        <f aca="false">IF($B703="","",K703*IFERROR(INDEX(고객사!$L$5:$L$104,MATCH($B703,고객사!$A$5:$A$104,0)),0))</f>
        <v/>
      </c>
      <c r="M703" s="23" t="str">
        <f aca="false">IF($B703="","",IF(AND(J703="N",G703&gt;0,K703=0,IFERROR(INDEX(고객사!$H$5:$H$104,MATCH($B703,고객사!$A$5:$A$104,0)),"")="자사 차량 운행"),"차량 미배정",""))</f>
        <v/>
      </c>
      <c r="N703" s="22" t="str">
        <f aca="false">IF($B703="","",IFERROR(INDEX(고객사!$J$5:$J$104,MATCH($B703,고객사!$A$5:$A$104,0)),0))</f>
        <v/>
      </c>
      <c r="O703" s="22" t="str">
        <f aca="false">IF($B703="","",G703*N703)</f>
        <v/>
      </c>
      <c r="P703" s="22" t="str">
        <f aca="false">IF($B703="","",IFERROR(INDEX(고객사!$K$5:$K$104,MATCH($B703,고객사!$A$5:$A$104,0)),0))</f>
        <v/>
      </c>
      <c r="Q703" s="22" t="str">
        <f aca="false">IF($B703="","",G703*P703)</f>
        <v/>
      </c>
      <c r="R703" s="22" t="str">
        <f aca="false">IF($B703="","",O703-Q703-L703)</f>
        <v/>
      </c>
      <c r="S703" s="21" t="str">
        <f aca="false">IF(OR($B703="",N(O703)=0),"",R703/O703)</f>
        <v/>
      </c>
      <c r="T703" s="14"/>
      <c r="U703" s="19" t="n">
        <f aca="false">IF(OR($B703="",$A703=""),0,IF(COUNTIFS($A$5:$A703,$A703,$B$5:$B703,$B703)=1,1,0))</f>
        <v>0</v>
      </c>
    </row>
    <row r="704" customFormat="false" ht="15" hidden="false" customHeight="false" outlineLevel="0" collapsed="false">
      <c r="A704" s="17"/>
      <c r="B704" s="13"/>
      <c r="C704" s="20" t="str">
        <f aca="false">IF($B704="","",IFERROR(INDEX(고객사!$B$5:$B$104,MATCH($B704,고객사!$A$5:$A$104,0)),"코드 확인"))</f>
        <v/>
      </c>
      <c r="D704" s="15"/>
      <c r="E704" s="15"/>
      <c r="F704" s="16"/>
      <c r="G704" s="16"/>
      <c r="H704" s="21" t="str">
        <f aca="false">IF(OR($B704="",F704=0),"",G704/F704)</f>
        <v/>
      </c>
      <c r="I704" s="22" t="str">
        <f aca="false">IF($B704="","",MAX(F704-G704,0))</f>
        <v/>
      </c>
      <c r="J704" s="23" t="str">
        <f aca="false">IF($B704="","",IFERROR(INDEX(고객사!$G$5:$G$104,MATCH($B704,고객사!$A$5:$A$104,0)),""))</f>
        <v/>
      </c>
      <c r="K704" s="16"/>
      <c r="L704" s="22" t="str">
        <f aca="false">IF($B704="","",K704*IFERROR(INDEX(고객사!$L$5:$L$104,MATCH($B704,고객사!$A$5:$A$104,0)),0))</f>
        <v/>
      </c>
      <c r="M704" s="23" t="str">
        <f aca="false">IF($B704="","",IF(AND(J704="N",G704&gt;0,K704=0,IFERROR(INDEX(고객사!$H$5:$H$104,MATCH($B704,고객사!$A$5:$A$104,0)),"")="자사 차량 운행"),"차량 미배정",""))</f>
        <v/>
      </c>
      <c r="N704" s="22" t="str">
        <f aca="false">IF($B704="","",IFERROR(INDEX(고객사!$J$5:$J$104,MATCH($B704,고객사!$A$5:$A$104,0)),0))</f>
        <v/>
      </c>
      <c r="O704" s="22" t="str">
        <f aca="false">IF($B704="","",G704*N704)</f>
        <v/>
      </c>
      <c r="P704" s="22" t="str">
        <f aca="false">IF($B704="","",IFERROR(INDEX(고객사!$K$5:$K$104,MATCH($B704,고객사!$A$5:$A$104,0)),0))</f>
        <v/>
      </c>
      <c r="Q704" s="22" t="str">
        <f aca="false">IF($B704="","",G704*P704)</f>
        <v/>
      </c>
      <c r="R704" s="22" t="str">
        <f aca="false">IF($B704="","",O704-Q704-L704)</f>
        <v/>
      </c>
      <c r="S704" s="21" t="str">
        <f aca="false">IF(OR($B704="",N(O704)=0),"",R704/O704)</f>
        <v/>
      </c>
      <c r="T704" s="14"/>
      <c r="U704" s="19" t="n">
        <f aca="false">IF(OR($B704="",$A704=""),0,IF(COUNTIFS($A$5:$A704,$A704,$B$5:$B704,$B704)=1,1,0))</f>
        <v>0</v>
      </c>
    </row>
    <row r="705" customFormat="false" ht="15" hidden="false" customHeight="false" outlineLevel="0" collapsed="false">
      <c r="A705" s="17"/>
      <c r="B705" s="13"/>
      <c r="C705" s="20" t="str">
        <f aca="false">IF($B705="","",IFERROR(INDEX(고객사!$B$5:$B$104,MATCH($B705,고객사!$A$5:$A$104,0)),"코드 확인"))</f>
        <v/>
      </c>
      <c r="D705" s="15"/>
      <c r="E705" s="15"/>
      <c r="F705" s="16"/>
      <c r="G705" s="16"/>
      <c r="H705" s="21" t="str">
        <f aca="false">IF(OR($B705="",F705=0),"",G705/F705)</f>
        <v/>
      </c>
      <c r="I705" s="22" t="str">
        <f aca="false">IF($B705="","",MAX(F705-G705,0))</f>
        <v/>
      </c>
      <c r="J705" s="23" t="str">
        <f aca="false">IF($B705="","",IFERROR(INDEX(고객사!$G$5:$G$104,MATCH($B705,고객사!$A$5:$A$104,0)),""))</f>
        <v/>
      </c>
      <c r="K705" s="16"/>
      <c r="L705" s="22" t="str">
        <f aca="false">IF($B705="","",K705*IFERROR(INDEX(고객사!$L$5:$L$104,MATCH($B705,고객사!$A$5:$A$104,0)),0))</f>
        <v/>
      </c>
      <c r="M705" s="23" t="str">
        <f aca="false">IF($B705="","",IF(AND(J705="N",G705&gt;0,K705=0,IFERROR(INDEX(고객사!$H$5:$H$104,MATCH($B705,고객사!$A$5:$A$104,0)),"")="자사 차량 운행"),"차량 미배정",""))</f>
        <v/>
      </c>
      <c r="N705" s="22" t="str">
        <f aca="false">IF($B705="","",IFERROR(INDEX(고객사!$J$5:$J$104,MATCH($B705,고객사!$A$5:$A$104,0)),0))</f>
        <v/>
      </c>
      <c r="O705" s="22" t="str">
        <f aca="false">IF($B705="","",G705*N705)</f>
        <v/>
      </c>
      <c r="P705" s="22" t="str">
        <f aca="false">IF($B705="","",IFERROR(INDEX(고객사!$K$5:$K$104,MATCH($B705,고객사!$A$5:$A$104,0)),0))</f>
        <v/>
      </c>
      <c r="Q705" s="22" t="str">
        <f aca="false">IF($B705="","",G705*P705)</f>
        <v/>
      </c>
      <c r="R705" s="22" t="str">
        <f aca="false">IF($B705="","",O705-Q705-L705)</f>
        <v/>
      </c>
      <c r="S705" s="21" t="str">
        <f aca="false">IF(OR($B705="",N(O705)=0),"",R705/O705)</f>
        <v/>
      </c>
      <c r="T705" s="14"/>
      <c r="U705" s="19" t="n">
        <f aca="false">IF(OR($B705="",$A705=""),0,IF(COUNTIFS($A$5:$A705,$A705,$B$5:$B705,$B705)=1,1,0))</f>
        <v>0</v>
      </c>
    </row>
    <row r="706" customFormat="false" ht="15" hidden="false" customHeight="false" outlineLevel="0" collapsed="false">
      <c r="A706" s="17"/>
      <c r="B706" s="13"/>
      <c r="C706" s="20" t="str">
        <f aca="false">IF($B706="","",IFERROR(INDEX(고객사!$B$5:$B$104,MATCH($B706,고객사!$A$5:$A$104,0)),"코드 확인"))</f>
        <v/>
      </c>
      <c r="D706" s="15"/>
      <c r="E706" s="15"/>
      <c r="F706" s="16"/>
      <c r="G706" s="16"/>
      <c r="H706" s="21" t="str">
        <f aca="false">IF(OR($B706="",F706=0),"",G706/F706)</f>
        <v/>
      </c>
      <c r="I706" s="22" t="str">
        <f aca="false">IF($B706="","",MAX(F706-G706,0))</f>
        <v/>
      </c>
      <c r="J706" s="23" t="str">
        <f aca="false">IF($B706="","",IFERROR(INDEX(고객사!$G$5:$G$104,MATCH($B706,고객사!$A$5:$A$104,0)),""))</f>
        <v/>
      </c>
      <c r="K706" s="16"/>
      <c r="L706" s="22" t="str">
        <f aca="false">IF($B706="","",K706*IFERROR(INDEX(고객사!$L$5:$L$104,MATCH($B706,고객사!$A$5:$A$104,0)),0))</f>
        <v/>
      </c>
      <c r="M706" s="23" t="str">
        <f aca="false">IF($B706="","",IF(AND(J706="N",G706&gt;0,K706=0,IFERROR(INDEX(고객사!$H$5:$H$104,MATCH($B706,고객사!$A$5:$A$104,0)),"")="자사 차량 운행"),"차량 미배정",""))</f>
        <v/>
      </c>
      <c r="N706" s="22" t="str">
        <f aca="false">IF($B706="","",IFERROR(INDEX(고객사!$J$5:$J$104,MATCH($B706,고객사!$A$5:$A$104,0)),0))</f>
        <v/>
      </c>
      <c r="O706" s="22" t="str">
        <f aca="false">IF($B706="","",G706*N706)</f>
        <v/>
      </c>
      <c r="P706" s="22" t="str">
        <f aca="false">IF($B706="","",IFERROR(INDEX(고객사!$K$5:$K$104,MATCH($B706,고객사!$A$5:$A$104,0)),0))</f>
        <v/>
      </c>
      <c r="Q706" s="22" t="str">
        <f aca="false">IF($B706="","",G706*P706)</f>
        <v/>
      </c>
      <c r="R706" s="22" t="str">
        <f aca="false">IF($B706="","",O706-Q706-L706)</f>
        <v/>
      </c>
      <c r="S706" s="21" t="str">
        <f aca="false">IF(OR($B706="",N(O706)=0),"",R706/O706)</f>
        <v/>
      </c>
      <c r="T706" s="14"/>
      <c r="U706" s="19" t="n">
        <f aca="false">IF(OR($B706="",$A706=""),0,IF(COUNTIFS($A$5:$A706,$A706,$B$5:$B706,$B706)=1,1,0))</f>
        <v>0</v>
      </c>
    </row>
    <row r="707" customFormat="false" ht="15" hidden="false" customHeight="false" outlineLevel="0" collapsed="false">
      <c r="A707" s="17"/>
      <c r="B707" s="13"/>
      <c r="C707" s="20" t="str">
        <f aca="false">IF($B707="","",IFERROR(INDEX(고객사!$B$5:$B$104,MATCH($B707,고객사!$A$5:$A$104,0)),"코드 확인"))</f>
        <v/>
      </c>
      <c r="D707" s="15"/>
      <c r="E707" s="15"/>
      <c r="F707" s="16"/>
      <c r="G707" s="16"/>
      <c r="H707" s="21" t="str">
        <f aca="false">IF(OR($B707="",F707=0),"",G707/F707)</f>
        <v/>
      </c>
      <c r="I707" s="22" t="str">
        <f aca="false">IF($B707="","",MAX(F707-G707,0))</f>
        <v/>
      </c>
      <c r="J707" s="23" t="str">
        <f aca="false">IF($B707="","",IFERROR(INDEX(고객사!$G$5:$G$104,MATCH($B707,고객사!$A$5:$A$104,0)),""))</f>
        <v/>
      </c>
      <c r="K707" s="16"/>
      <c r="L707" s="22" t="str">
        <f aca="false">IF($B707="","",K707*IFERROR(INDEX(고객사!$L$5:$L$104,MATCH($B707,고객사!$A$5:$A$104,0)),0))</f>
        <v/>
      </c>
      <c r="M707" s="23" t="str">
        <f aca="false">IF($B707="","",IF(AND(J707="N",G707&gt;0,K707=0,IFERROR(INDEX(고객사!$H$5:$H$104,MATCH($B707,고객사!$A$5:$A$104,0)),"")="자사 차량 운행"),"차량 미배정",""))</f>
        <v/>
      </c>
      <c r="N707" s="22" t="str">
        <f aca="false">IF($B707="","",IFERROR(INDEX(고객사!$J$5:$J$104,MATCH($B707,고객사!$A$5:$A$104,0)),0))</f>
        <v/>
      </c>
      <c r="O707" s="22" t="str">
        <f aca="false">IF($B707="","",G707*N707)</f>
        <v/>
      </c>
      <c r="P707" s="22" t="str">
        <f aca="false">IF($B707="","",IFERROR(INDEX(고객사!$K$5:$K$104,MATCH($B707,고객사!$A$5:$A$104,0)),0))</f>
        <v/>
      </c>
      <c r="Q707" s="22" t="str">
        <f aca="false">IF($B707="","",G707*P707)</f>
        <v/>
      </c>
      <c r="R707" s="22" t="str">
        <f aca="false">IF($B707="","",O707-Q707-L707)</f>
        <v/>
      </c>
      <c r="S707" s="21" t="str">
        <f aca="false">IF(OR($B707="",N(O707)=0),"",R707/O707)</f>
        <v/>
      </c>
      <c r="T707" s="14"/>
      <c r="U707" s="19" t="n">
        <f aca="false">IF(OR($B707="",$A707=""),0,IF(COUNTIFS($A$5:$A707,$A707,$B$5:$B707,$B707)=1,1,0))</f>
        <v>0</v>
      </c>
    </row>
    <row r="708" customFormat="false" ht="15" hidden="false" customHeight="false" outlineLevel="0" collapsed="false">
      <c r="A708" s="17"/>
      <c r="B708" s="13"/>
      <c r="C708" s="20" t="str">
        <f aca="false">IF($B708="","",IFERROR(INDEX(고객사!$B$5:$B$104,MATCH($B708,고객사!$A$5:$A$104,0)),"코드 확인"))</f>
        <v/>
      </c>
      <c r="D708" s="15"/>
      <c r="E708" s="15"/>
      <c r="F708" s="16"/>
      <c r="G708" s="16"/>
      <c r="H708" s="21" t="str">
        <f aca="false">IF(OR($B708="",F708=0),"",G708/F708)</f>
        <v/>
      </c>
      <c r="I708" s="22" t="str">
        <f aca="false">IF($B708="","",MAX(F708-G708,0))</f>
        <v/>
      </c>
      <c r="J708" s="23" t="str">
        <f aca="false">IF($B708="","",IFERROR(INDEX(고객사!$G$5:$G$104,MATCH($B708,고객사!$A$5:$A$104,0)),""))</f>
        <v/>
      </c>
      <c r="K708" s="16"/>
      <c r="L708" s="22" t="str">
        <f aca="false">IF($B708="","",K708*IFERROR(INDEX(고객사!$L$5:$L$104,MATCH($B708,고객사!$A$5:$A$104,0)),0))</f>
        <v/>
      </c>
      <c r="M708" s="23" t="str">
        <f aca="false">IF($B708="","",IF(AND(J708="N",G708&gt;0,K708=0,IFERROR(INDEX(고객사!$H$5:$H$104,MATCH($B708,고객사!$A$5:$A$104,0)),"")="자사 차량 운행"),"차량 미배정",""))</f>
        <v/>
      </c>
      <c r="N708" s="22" t="str">
        <f aca="false">IF($B708="","",IFERROR(INDEX(고객사!$J$5:$J$104,MATCH($B708,고객사!$A$5:$A$104,0)),0))</f>
        <v/>
      </c>
      <c r="O708" s="22" t="str">
        <f aca="false">IF($B708="","",G708*N708)</f>
        <v/>
      </c>
      <c r="P708" s="22" t="str">
        <f aca="false">IF($B708="","",IFERROR(INDEX(고객사!$K$5:$K$104,MATCH($B708,고객사!$A$5:$A$104,0)),0))</f>
        <v/>
      </c>
      <c r="Q708" s="22" t="str">
        <f aca="false">IF($B708="","",G708*P708)</f>
        <v/>
      </c>
      <c r="R708" s="22" t="str">
        <f aca="false">IF($B708="","",O708-Q708-L708)</f>
        <v/>
      </c>
      <c r="S708" s="21" t="str">
        <f aca="false">IF(OR($B708="",N(O708)=0),"",R708/O708)</f>
        <v/>
      </c>
      <c r="T708" s="14"/>
      <c r="U708" s="19" t="n">
        <f aca="false">IF(OR($B708="",$A708=""),0,IF(COUNTIFS($A$5:$A708,$A708,$B$5:$B708,$B708)=1,1,0))</f>
        <v>0</v>
      </c>
    </row>
    <row r="709" customFormat="false" ht="15" hidden="false" customHeight="false" outlineLevel="0" collapsed="false">
      <c r="A709" s="17"/>
      <c r="B709" s="13"/>
      <c r="C709" s="20" t="str">
        <f aca="false">IF($B709="","",IFERROR(INDEX(고객사!$B$5:$B$104,MATCH($B709,고객사!$A$5:$A$104,0)),"코드 확인"))</f>
        <v/>
      </c>
      <c r="D709" s="15"/>
      <c r="E709" s="15"/>
      <c r="F709" s="16"/>
      <c r="G709" s="16"/>
      <c r="H709" s="21" t="str">
        <f aca="false">IF(OR($B709="",F709=0),"",G709/F709)</f>
        <v/>
      </c>
      <c r="I709" s="22" t="str">
        <f aca="false">IF($B709="","",MAX(F709-G709,0))</f>
        <v/>
      </c>
      <c r="J709" s="23" t="str">
        <f aca="false">IF($B709="","",IFERROR(INDEX(고객사!$G$5:$G$104,MATCH($B709,고객사!$A$5:$A$104,0)),""))</f>
        <v/>
      </c>
      <c r="K709" s="16"/>
      <c r="L709" s="22" t="str">
        <f aca="false">IF($B709="","",K709*IFERROR(INDEX(고객사!$L$5:$L$104,MATCH($B709,고객사!$A$5:$A$104,0)),0))</f>
        <v/>
      </c>
      <c r="M709" s="23" t="str">
        <f aca="false">IF($B709="","",IF(AND(J709="N",G709&gt;0,K709=0,IFERROR(INDEX(고객사!$H$5:$H$104,MATCH($B709,고객사!$A$5:$A$104,0)),"")="자사 차량 운행"),"차량 미배정",""))</f>
        <v/>
      </c>
      <c r="N709" s="22" t="str">
        <f aca="false">IF($B709="","",IFERROR(INDEX(고객사!$J$5:$J$104,MATCH($B709,고객사!$A$5:$A$104,0)),0))</f>
        <v/>
      </c>
      <c r="O709" s="22" t="str">
        <f aca="false">IF($B709="","",G709*N709)</f>
        <v/>
      </c>
      <c r="P709" s="22" t="str">
        <f aca="false">IF($B709="","",IFERROR(INDEX(고객사!$K$5:$K$104,MATCH($B709,고객사!$A$5:$A$104,0)),0))</f>
        <v/>
      </c>
      <c r="Q709" s="22" t="str">
        <f aca="false">IF($B709="","",G709*P709)</f>
        <v/>
      </c>
      <c r="R709" s="22" t="str">
        <f aca="false">IF($B709="","",O709-Q709-L709)</f>
        <v/>
      </c>
      <c r="S709" s="21" t="str">
        <f aca="false">IF(OR($B709="",N(O709)=0),"",R709/O709)</f>
        <v/>
      </c>
      <c r="T709" s="14"/>
      <c r="U709" s="19" t="n">
        <f aca="false">IF(OR($B709="",$A709=""),0,IF(COUNTIFS($A$5:$A709,$A709,$B$5:$B709,$B709)=1,1,0))</f>
        <v>0</v>
      </c>
    </row>
    <row r="710" customFormat="false" ht="15" hidden="false" customHeight="false" outlineLevel="0" collapsed="false">
      <c r="A710" s="17"/>
      <c r="B710" s="13"/>
      <c r="C710" s="20" t="str">
        <f aca="false">IF($B710="","",IFERROR(INDEX(고객사!$B$5:$B$104,MATCH($B710,고객사!$A$5:$A$104,0)),"코드 확인"))</f>
        <v/>
      </c>
      <c r="D710" s="15"/>
      <c r="E710" s="15"/>
      <c r="F710" s="16"/>
      <c r="G710" s="16"/>
      <c r="H710" s="21" t="str">
        <f aca="false">IF(OR($B710="",F710=0),"",G710/F710)</f>
        <v/>
      </c>
      <c r="I710" s="22" t="str">
        <f aca="false">IF($B710="","",MAX(F710-G710,0))</f>
        <v/>
      </c>
      <c r="J710" s="23" t="str">
        <f aca="false">IF($B710="","",IFERROR(INDEX(고객사!$G$5:$G$104,MATCH($B710,고객사!$A$5:$A$104,0)),""))</f>
        <v/>
      </c>
      <c r="K710" s="16"/>
      <c r="L710" s="22" t="str">
        <f aca="false">IF($B710="","",K710*IFERROR(INDEX(고객사!$L$5:$L$104,MATCH($B710,고객사!$A$5:$A$104,0)),0))</f>
        <v/>
      </c>
      <c r="M710" s="23" t="str">
        <f aca="false">IF($B710="","",IF(AND(J710="N",G710&gt;0,K710=0,IFERROR(INDEX(고객사!$H$5:$H$104,MATCH($B710,고객사!$A$5:$A$104,0)),"")="자사 차량 운행"),"차량 미배정",""))</f>
        <v/>
      </c>
      <c r="N710" s="22" t="str">
        <f aca="false">IF($B710="","",IFERROR(INDEX(고객사!$J$5:$J$104,MATCH($B710,고객사!$A$5:$A$104,0)),0))</f>
        <v/>
      </c>
      <c r="O710" s="22" t="str">
        <f aca="false">IF($B710="","",G710*N710)</f>
        <v/>
      </c>
      <c r="P710" s="22" t="str">
        <f aca="false">IF($B710="","",IFERROR(INDEX(고객사!$K$5:$K$104,MATCH($B710,고객사!$A$5:$A$104,0)),0))</f>
        <v/>
      </c>
      <c r="Q710" s="22" t="str">
        <f aca="false">IF($B710="","",G710*P710)</f>
        <v/>
      </c>
      <c r="R710" s="22" t="str">
        <f aca="false">IF($B710="","",O710-Q710-L710)</f>
        <v/>
      </c>
      <c r="S710" s="21" t="str">
        <f aca="false">IF(OR($B710="",N(O710)=0),"",R710/O710)</f>
        <v/>
      </c>
      <c r="T710" s="14"/>
      <c r="U710" s="19" t="n">
        <f aca="false">IF(OR($B710="",$A710=""),0,IF(COUNTIFS($A$5:$A710,$A710,$B$5:$B710,$B710)=1,1,0))</f>
        <v>0</v>
      </c>
    </row>
    <row r="711" customFormat="false" ht="15" hidden="false" customHeight="false" outlineLevel="0" collapsed="false">
      <c r="A711" s="17"/>
      <c r="B711" s="13"/>
      <c r="C711" s="20" t="str">
        <f aca="false">IF($B711="","",IFERROR(INDEX(고객사!$B$5:$B$104,MATCH($B711,고객사!$A$5:$A$104,0)),"코드 확인"))</f>
        <v/>
      </c>
      <c r="D711" s="15"/>
      <c r="E711" s="15"/>
      <c r="F711" s="16"/>
      <c r="G711" s="16"/>
      <c r="H711" s="21" t="str">
        <f aca="false">IF(OR($B711="",F711=0),"",G711/F711)</f>
        <v/>
      </c>
      <c r="I711" s="22" t="str">
        <f aca="false">IF($B711="","",MAX(F711-G711,0))</f>
        <v/>
      </c>
      <c r="J711" s="23" t="str">
        <f aca="false">IF($B711="","",IFERROR(INDEX(고객사!$G$5:$G$104,MATCH($B711,고객사!$A$5:$A$104,0)),""))</f>
        <v/>
      </c>
      <c r="K711" s="16"/>
      <c r="L711" s="22" t="str">
        <f aca="false">IF($B711="","",K711*IFERROR(INDEX(고객사!$L$5:$L$104,MATCH($B711,고객사!$A$5:$A$104,0)),0))</f>
        <v/>
      </c>
      <c r="M711" s="23" t="str">
        <f aca="false">IF($B711="","",IF(AND(J711="N",G711&gt;0,K711=0,IFERROR(INDEX(고객사!$H$5:$H$104,MATCH($B711,고객사!$A$5:$A$104,0)),"")="자사 차량 운행"),"차량 미배정",""))</f>
        <v/>
      </c>
      <c r="N711" s="22" t="str">
        <f aca="false">IF($B711="","",IFERROR(INDEX(고객사!$J$5:$J$104,MATCH($B711,고객사!$A$5:$A$104,0)),0))</f>
        <v/>
      </c>
      <c r="O711" s="22" t="str">
        <f aca="false">IF($B711="","",G711*N711)</f>
        <v/>
      </c>
      <c r="P711" s="22" t="str">
        <f aca="false">IF($B711="","",IFERROR(INDEX(고객사!$K$5:$K$104,MATCH($B711,고객사!$A$5:$A$104,0)),0))</f>
        <v/>
      </c>
      <c r="Q711" s="22" t="str">
        <f aca="false">IF($B711="","",G711*P711)</f>
        <v/>
      </c>
      <c r="R711" s="22" t="str">
        <f aca="false">IF($B711="","",O711-Q711-L711)</f>
        <v/>
      </c>
      <c r="S711" s="21" t="str">
        <f aca="false">IF(OR($B711="",N(O711)=0),"",R711/O711)</f>
        <v/>
      </c>
      <c r="T711" s="14"/>
      <c r="U711" s="19" t="n">
        <f aca="false">IF(OR($B711="",$A711=""),0,IF(COUNTIFS($A$5:$A711,$A711,$B$5:$B711,$B711)=1,1,0))</f>
        <v>0</v>
      </c>
    </row>
    <row r="712" customFormat="false" ht="15" hidden="false" customHeight="false" outlineLevel="0" collapsed="false">
      <c r="A712" s="17"/>
      <c r="B712" s="13"/>
      <c r="C712" s="20" t="str">
        <f aca="false">IF($B712="","",IFERROR(INDEX(고객사!$B$5:$B$104,MATCH($B712,고객사!$A$5:$A$104,0)),"코드 확인"))</f>
        <v/>
      </c>
      <c r="D712" s="15"/>
      <c r="E712" s="15"/>
      <c r="F712" s="16"/>
      <c r="G712" s="16"/>
      <c r="H712" s="21" t="str">
        <f aca="false">IF(OR($B712="",F712=0),"",G712/F712)</f>
        <v/>
      </c>
      <c r="I712" s="22" t="str">
        <f aca="false">IF($B712="","",MAX(F712-G712,0))</f>
        <v/>
      </c>
      <c r="J712" s="23" t="str">
        <f aca="false">IF($B712="","",IFERROR(INDEX(고객사!$G$5:$G$104,MATCH($B712,고객사!$A$5:$A$104,0)),""))</f>
        <v/>
      </c>
      <c r="K712" s="16"/>
      <c r="L712" s="22" t="str">
        <f aca="false">IF($B712="","",K712*IFERROR(INDEX(고객사!$L$5:$L$104,MATCH($B712,고객사!$A$5:$A$104,0)),0))</f>
        <v/>
      </c>
      <c r="M712" s="23" t="str">
        <f aca="false">IF($B712="","",IF(AND(J712="N",G712&gt;0,K712=0,IFERROR(INDEX(고객사!$H$5:$H$104,MATCH($B712,고객사!$A$5:$A$104,0)),"")="자사 차량 운행"),"차량 미배정",""))</f>
        <v/>
      </c>
      <c r="N712" s="22" t="str">
        <f aca="false">IF($B712="","",IFERROR(INDEX(고객사!$J$5:$J$104,MATCH($B712,고객사!$A$5:$A$104,0)),0))</f>
        <v/>
      </c>
      <c r="O712" s="22" t="str">
        <f aca="false">IF($B712="","",G712*N712)</f>
        <v/>
      </c>
      <c r="P712" s="22" t="str">
        <f aca="false">IF($B712="","",IFERROR(INDEX(고객사!$K$5:$K$104,MATCH($B712,고객사!$A$5:$A$104,0)),0))</f>
        <v/>
      </c>
      <c r="Q712" s="22" t="str">
        <f aca="false">IF($B712="","",G712*P712)</f>
        <v/>
      </c>
      <c r="R712" s="22" t="str">
        <f aca="false">IF($B712="","",O712-Q712-L712)</f>
        <v/>
      </c>
      <c r="S712" s="21" t="str">
        <f aca="false">IF(OR($B712="",N(O712)=0),"",R712/O712)</f>
        <v/>
      </c>
      <c r="T712" s="14"/>
      <c r="U712" s="19" t="n">
        <f aca="false">IF(OR($B712="",$A712=""),0,IF(COUNTIFS($A$5:$A712,$A712,$B$5:$B712,$B712)=1,1,0))</f>
        <v>0</v>
      </c>
    </row>
    <row r="713" customFormat="false" ht="15" hidden="false" customHeight="false" outlineLevel="0" collapsed="false">
      <c r="A713" s="17"/>
      <c r="B713" s="13"/>
      <c r="C713" s="20" t="str">
        <f aca="false">IF($B713="","",IFERROR(INDEX(고객사!$B$5:$B$104,MATCH($B713,고객사!$A$5:$A$104,0)),"코드 확인"))</f>
        <v/>
      </c>
      <c r="D713" s="15"/>
      <c r="E713" s="15"/>
      <c r="F713" s="16"/>
      <c r="G713" s="16"/>
      <c r="H713" s="21" t="str">
        <f aca="false">IF(OR($B713="",F713=0),"",G713/F713)</f>
        <v/>
      </c>
      <c r="I713" s="22" t="str">
        <f aca="false">IF($B713="","",MAX(F713-G713,0))</f>
        <v/>
      </c>
      <c r="J713" s="23" t="str">
        <f aca="false">IF($B713="","",IFERROR(INDEX(고객사!$G$5:$G$104,MATCH($B713,고객사!$A$5:$A$104,0)),""))</f>
        <v/>
      </c>
      <c r="K713" s="16"/>
      <c r="L713" s="22" t="str">
        <f aca="false">IF($B713="","",K713*IFERROR(INDEX(고객사!$L$5:$L$104,MATCH($B713,고객사!$A$5:$A$104,0)),0))</f>
        <v/>
      </c>
      <c r="M713" s="23" t="str">
        <f aca="false">IF($B713="","",IF(AND(J713="N",G713&gt;0,K713=0,IFERROR(INDEX(고객사!$H$5:$H$104,MATCH($B713,고객사!$A$5:$A$104,0)),"")="자사 차량 운행"),"차량 미배정",""))</f>
        <v/>
      </c>
      <c r="N713" s="22" t="str">
        <f aca="false">IF($B713="","",IFERROR(INDEX(고객사!$J$5:$J$104,MATCH($B713,고객사!$A$5:$A$104,0)),0))</f>
        <v/>
      </c>
      <c r="O713" s="22" t="str">
        <f aca="false">IF($B713="","",G713*N713)</f>
        <v/>
      </c>
      <c r="P713" s="22" t="str">
        <f aca="false">IF($B713="","",IFERROR(INDEX(고객사!$K$5:$K$104,MATCH($B713,고객사!$A$5:$A$104,0)),0))</f>
        <v/>
      </c>
      <c r="Q713" s="22" t="str">
        <f aca="false">IF($B713="","",G713*P713)</f>
        <v/>
      </c>
      <c r="R713" s="22" t="str">
        <f aca="false">IF($B713="","",O713-Q713-L713)</f>
        <v/>
      </c>
      <c r="S713" s="21" t="str">
        <f aca="false">IF(OR($B713="",N(O713)=0),"",R713/O713)</f>
        <v/>
      </c>
      <c r="T713" s="14"/>
      <c r="U713" s="19" t="n">
        <f aca="false">IF(OR($B713="",$A713=""),0,IF(COUNTIFS($A$5:$A713,$A713,$B$5:$B713,$B713)=1,1,0))</f>
        <v>0</v>
      </c>
    </row>
    <row r="714" customFormat="false" ht="15" hidden="false" customHeight="false" outlineLevel="0" collapsed="false">
      <c r="A714" s="17"/>
      <c r="B714" s="13"/>
      <c r="C714" s="20" t="str">
        <f aca="false">IF($B714="","",IFERROR(INDEX(고객사!$B$5:$B$104,MATCH($B714,고객사!$A$5:$A$104,0)),"코드 확인"))</f>
        <v/>
      </c>
      <c r="D714" s="15"/>
      <c r="E714" s="15"/>
      <c r="F714" s="16"/>
      <c r="G714" s="16"/>
      <c r="H714" s="21" t="str">
        <f aca="false">IF(OR($B714="",F714=0),"",G714/F714)</f>
        <v/>
      </c>
      <c r="I714" s="22" t="str">
        <f aca="false">IF($B714="","",MAX(F714-G714,0))</f>
        <v/>
      </c>
      <c r="J714" s="23" t="str">
        <f aca="false">IF($B714="","",IFERROR(INDEX(고객사!$G$5:$G$104,MATCH($B714,고객사!$A$5:$A$104,0)),""))</f>
        <v/>
      </c>
      <c r="K714" s="16"/>
      <c r="L714" s="22" t="str">
        <f aca="false">IF($B714="","",K714*IFERROR(INDEX(고객사!$L$5:$L$104,MATCH($B714,고객사!$A$5:$A$104,0)),0))</f>
        <v/>
      </c>
      <c r="M714" s="23" t="str">
        <f aca="false">IF($B714="","",IF(AND(J714="N",G714&gt;0,K714=0,IFERROR(INDEX(고객사!$H$5:$H$104,MATCH($B714,고객사!$A$5:$A$104,0)),"")="자사 차량 운행"),"차량 미배정",""))</f>
        <v/>
      </c>
      <c r="N714" s="22" t="str">
        <f aca="false">IF($B714="","",IFERROR(INDEX(고객사!$J$5:$J$104,MATCH($B714,고객사!$A$5:$A$104,0)),0))</f>
        <v/>
      </c>
      <c r="O714" s="22" t="str">
        <f aca="false">IF($B714="","",G714*N714)</f>
        <v/>
      </c>
      <c r="P714" s="22" t="str">
        <f aca="false">IF($B714="","",IFERROR(INDEX(고객사!$K$5:$K$104,MATCH($B714,고객사!$A$5:$A$104,0)),0))</f>
        <v/>
      </c>
      <c r="Q714" s="22" t="str">
        <f aca="false">IF($B714="","",G714*P714)</f>
        <v/>
      </c>
      <c r="R714" s="22" t="str">
        <f aca="false">IF($B714="","",O714-Q714-L714)</f>
        <v/>
      </c>
      <c r="S714" s="21" t="str">
        <f aca="false">IF(OR($B714="",N(O714)=0),"",R714/O714)</f>
        <v/>
      </c>
      <c r="T714" s="14"/>
      <c r="U714" s="19" t="n">
        <f aca="false">IF(OR($B714="",$A714=""),0,IF(COUNTIFS($A$5:$A714,$A714,$B$5:$B714,$B714)=1,1,0))</f>
        <v>0</v>
      </c>
    </row>
    <row r="715" customFormat="false" ht="15" hidden="false" customHeight="false" outlineLevel="0" collapsed="false">
      <c r="A715" s="17"/>
      <c r="B715" s="13"/>
      <c r="C715" s="20" t="str">
        <f aca="false">IF($B715="","",IFERROR(INDEX(고객사!$B$5:$B$104,MATCH($B715,고객사!$A$5:$A$104,0)),"코드 확인"))</f>
        <v/>
      </c>
      <c r="D715" s="15"/>
      <c r="E715" s="15"/>
      <c r="F715" s="16"/>
      <c r="G715" s="16"/>
      <c r="H715" s="21" t="str">
        <f aca="false">IF(OR($B715="",F715=0),"",G715/F715)</f>
        <v/>
      </c>
      <c r="I715" s="22" t="str">
        <f aca="false">IF($B715="","",MAX(F715-G715,0))</f>
        <v/>
      </c>
      <c r="J715" s="23" t="str">
        <f aca="false">IF($B715="","",IFERROR(INDEX(고객사!$G$5:$G$104,MATCH($B715,고객사!$A$5:$A$104,0)),""))</f>
        <v/>
      </c>
      <c r="K715" s="16"/>
      <c r="L715" s="22" t="str">
        <f aca="false">IF($B715="","",K715*IFERROR(INDEX(고객사!$L$5:$L$104,MATCH($B715,고객사!$A$5:$A$104,0)),0))</f>
        <v/>
      </c>
      <c r="M715" s="23" t="str">
        <f aca="false">IF($B715="","",IF(AND(J715="N",G715&gt;0,K715=0,IFERROR(INDEX(고객사!$H$5:$H$104,MATCH($B715,고객사!$A$5:$A$104,0)),"")="자사 차량 운행"),"차량 미배정",""))</f>
        <v/>
      </c>
      <c r="N715" s="22" t="str">
        <f aca="false">IF($B715="","",IFERROR(INDEX(고객사!$J$5:$J$104,MATCH($B715,고객사!$A$5:$A$104,0)),0))</f>
        <v/>
      </c>
      <c r="O715" s="22" t="str">
        <f aca="false">IF($B715="","",G715*N715)</f>
        <v/>
      </c>
      <c r="P715" s="22" t="str">
        <f aca="false">IF($B715="","",IFERROR(INDEX(고객사!$K$5:$K$104,MATCH($B715,고객사!$A$5:$A$104,0)),0))</f>
        <v/>
      </c>
      <c r="Q715" s="22" t="str">
        <f aca="false">IF($B715="","",G715*P715)</f>
        <v/>
      </c>
      <c r="R715" s="22" t="str">
        <f aca="false">IF($B715="","",O715-Q715-L715)</f>
        <v/>
      </c>
      <c r="S715" s="21" t="str">
        <f aca="false">IF(OR($B715="",N(O715)=0),"",R715/O715)</f>
        <v/>
      </c>
      <c r="T715" s="14"/>
      <c r="U715" s="19" t="n">
        <f aca="false">IF(OR($B715="",$A715=""),0,IF(COUNTIFS($A$5:$A715,$A715,$B$5:$B715,$B715)=1,1,0))</f>
        <v>0</v>
      </c>
    </row>
    <row r="716" customFormat="false" ht="15" hidden="false" customHeight="false" outlineLevel="0" collapsed="false">
      <c r="A716" s="17"/>
      <c r="B716" s="13"/>
      <c r="C716" s="20" t="str">
        <f aca="false">IF($B716="","",IFERROR(INDEX(고객사!$B$5:$B$104,MATCH($B716,고객사!$A$5:$A$104,0)),"코드 확인"))</f>
        <v/>
      </c>
      <c r="D716" s="15"/>
      <c r="E716" s="15"/>
      <c r="F716" s="16"/>
      <c r="G716" s="16"/>
      <c r="H716" s="21" t="str">
        <f aca="false">IF(OR($B716="",F716=0),"",G716/F716)</f>
        <v/>
      </c>
      <c r="I716" s="22" t="str">
        <f aca="false">IF($B716="","",MAX(F716-G716,0))</f>
        <v/>
      </c>
      <c r="J716" s="23" t="str">
        <f aca="false">IF($B716="","",IFERROR(INDEX(고객사!$G$5:$G$104,MATCH($B716,고객사!$A$5:$A$104,0)),""))</f>
        <v/>
      </c>
      <c r="K716" s="16"/>
      <c r="L716" s="22" t="str">
        <f aca="false">IF($B716="","",K716*IFERROR(INDEX(고객사!$L$5:$L$104,MATCH($B716,고객사!$A$5:$A$104,0)),0))</f>
        <v/>
      </c>
      <c r="M716" s="23" t="str">
        <f aca="false">IF($B716="","",IF(AND(J716="N",G716&gt;0,K716=0,IFERROR(INDEX(고객사!$H$5:$H$104,MATCH($B716,고객사!$A$5:$A$104,0)),"")="자사 차량 운행"),"차량 미배정",""))</f>
        <v/>
      </c>
      <c r="N716" s="22" t="str">
        <f aca="false">IF($B716="","",IFERROR(INDEX(고객사!$J$5:$J$104,MATCH($B716,고객사!$A$5:$A$104,0)),0))</f>
        <v/>
      </c>
      <c r="O716" s="22" t="str">
        <f aca="false">IF($B716="","",G716*N716)</f>
        <v/>
      </c>
      <c r="P716" s="22" t="str">
        <f aca="false">IF($B716="","",IFERROR(INDEX(고객사!$K$5:$K$104,MATCH($B716,고객사!$A$5:$A$104,0)),0))</f>
        <v/>
      </c>
      <c r="Q716" s="22" t="str">
        <f aca="false">IF($B716="","",G716*P716)</f>
        <v/>
      </c>
      <c r="R716" s="22" t="str">
        <f aca="false">IF($B716="","",O716-Q716-L716)</f>
        <v/>
      </c>
      <c r="S716" s="21" t="str">
        <f aca="false">IF(OR($B716="",N(O716)=0),"",R716/O716)</f>
        <v/>
      </c>
      <c r="T716" s="14"/>
      <c r="U716" s="19" t="n">
        <f aca="false">IF(OR($B716="",$A716=""),0,IF(COUNTIFS($A$5:$A716,$A716,$B$5:$B716,$B716)=1,1,0))</f>
        <v>0</v>
      </c>
    </row>
    <row r="717" customFormat="false" ht="15" hidden="false" customHeight="false" outlineLevel="0" collapsed="false">
      <c r="A717" s="17"/>
      <c r="B717" s="13"/>
      <c r="C717" s="20" t="str">
        <f aca="false">IF($B717="","",IFERROR(INDEX(고객사!$B$5:$B$104,MATCH($B717,고객사!$A$5:$A$104,0)),"코드 확인"))</f>
        <v/>
      </c>
      <c r="D717" s="15"/>
      <c r="E717" s="15"/>
      <c r="F717" s="16"/>
      <c r="G717" s="16"/>
      <c r="H717" s="21" t="str">
        <f aca="false">IF(OR($B717="",F717=0),"",G717/F717)</f>
        <v/>
      </c>
      <c r="I717" s="22" t="str">
        <f aca="false">IF($B717="","",MAX(F717-G717,0))</f>
        <v/>
      </c>
      <c r="J717" s="23" t="str">
        <f aca="false">IF($B717="","",IFERROR(INDEX(고객사!$G$5:$G$104,MATCH($B717,고객사!$A$5:$A$104,0)),""))</f>
        <v/>
      </c>
      <c r="K717" s="16"/>
      <c r="L717" s="22" t="str">
        <f aca="false">IF($B717="","",K717*IFERROR(INDEX(고객사!$L$5:$L$104,MATCH($B717,고객사!$A$5:$A$104,0)),0))</f>
        <v/>
      </c>
      <c r="M717" s="23" t="str">
        <f aca="false">IF($B717="","",IF(AND(J717="N",G717&gt;0,K717=0,IFERROR(INDEX(고객사!$H$5:$H$104,MATCH($B717,고객사!$A$5:$A$104,0)),"")="자사 차량 운행"),"차량 미배정",""))</f>
        <v/>
      </c>
      <c r="N717" s="22" t="str">
        <f aca="false">IF($B717="","",IFERROR(INDEX(고객사!$J$5:$J$104,MATCH($B717,고객사!$A$5:$A$104,0)),0))</f>
        <v/>
      </c>
      <c r="O717" s="22" t="str">
        <f aca="false">IF($B717="","",G717*N717)</f>
        <v/>
      </c>
      <c r="P717" s="22" t="str">
        <f aca="false">IF($B717="","",IFERROR(INDEX(고객사!$K$5:$K$104,MATCH($B717,고객사!$A$5:$A$104,0)),0))</f>
        <v/>
      </c>
      <c r="Q717" s="22" t="str">
        <f aca="false">IF($B717="","",G717*P717)</f>
        <v/>
      </c>
      <c r="R717" s="22" t="str">
        <f aca="false">IF($B717="","",O717-Q717-L717)</f>
        <v/>
      </c>
      <c r="S717" s="21" t="str">
        <f aca="false">IF(OR($B717="",N(O717)=0),"",R717/O717)</f>
        <v/>
      </c>
      <c r="T717" s="14"/>
      <c r="U717" s="19" t="n">
        <f aca="false">IF(OR($B717="",$A717=""),0,IF(COUNTIFS($A$5:$A717,$A717,$B$5:$B717,$B717)=1,1,0))</f>
        <v>0</v>
      </c>
    </row>
    <row r="718" customFormat="false" ht="15" hidden="false" customHeight="false" outlineLevel="0" collapsed="false">
      <c r="A718" s="17"/>
      <c r="B718" s="13"/>
      <c r="C718" s="20" t="str">
        <f aca="false">IF($B718="","",IFERROR(INDEX(고객사!$B$5:$B$104,MATCH($B718,고객사!$A$5:$A$104,0)),"코드 확인"))</f>
        <v/>
      </c>
      <c r="D718" s="15"/>
      <c r="E718" s="15"/>
      <c r="F718" s="16"/>
      <c r="G718" s="16"/>
      <c r="H718" s="21" t="str">
        <f aca="false">IF(OR($B718="",F718=0),"",G718/F718)</f>
        <v/>
      </c>
      <c r="I718" s="22" t="str">
        <f aca="false">IF($B718="","",MAX(F718-G718,0))</f>
        <v/>
      </c>
      <c r="J718" s="23" t="str">
        <f aca="false">IF($B718="","",IFERROR(INDEX(고객사!$G$5:$G$104,MATCH($B718,고객사!$A$5:$A$104,0)),""))</f>
        <v/>
      </c>
      <c r="K718" s="16"/>
      <c r="L718" s="22" t="str">
        <f aca="false">IF($B718="","",K718*IFERROR(INDEX(고객사!$L$5:$L$104,MATCH($B718,고객사!$A$5:$A$104,0)),0))</f>
        <v/>
      </c>
      <c r="M718" s="23" t="str">
        <f aca="false">IF($B718="","",IF(AND(J718="N",G718&gt;0,K718=0,IFERROR(INDEX(고객사!$H$5:$H$104,MATCH($B718,고객사!$A$5:$A$104,0)),"")="자사 차량 운행"),"차량 미배정",""))</f>
        <v/>
      </c>
      <c r="N718" s="22" t="str">
        <f aca="false">IF($B718="","",IFERROR(INDEX(고객사!$J$5:$J$104,MATCH($B718,고객사!$A$5:$A$104,0)),0))</f>
        <v/>
      </c>
      <c r="O718" s="22" t="str">
        <f aca="false">IF($B718="","",G718*N718)</f>
        <v/>
      </c>
      <c r="P718" s="22" t="str">
        <f aca="false">IF($B718="","",IFERROR(INDEX(고객사!$K$5:$K$104,MATCH($B718,고객사!$A$5:$A$104,0)),0))</f>
        <v/>
      </c>
      <c r="Q718" s="22" t="str">
        <f aca="false">IF($B718="","",G718*P718)</f>
        <v/>
      </c>
      <c r="R718" s="22" t="str">
        <f aca="false">IF($B718="","",O718-Q718-L718)</f>
        <v/>
      </c>
      <c r="S718" s="21" t="str">
        <f aca="false">IF(OR($B718="",N(O718)=0),"",R718/O718)</f>
        <v/>
      </c>
      <c r="T718" s="14"/>
      <c r="U718" s="19" t="n">
        <f aca="false">IF(OR($B718="",$A718=""),0,IF(COUNTIFS($A$5:$A718,$A718,$B$5:$B718,$B718)=1,1,0))</f>
        <v>0</v>
      </c>
    </row>
    <row r="719" customFormat="false" ht="15" hidden="false" customHeight="false" outlineLevel="0" collapsed="false">
      <c r="A719" s="17"/>
      <c r="B719" s="13"/>
      <c r="C719" s="20" t="str">
        <f aca="false">IF($B719="","",IFERROR(INDEX(고객사!$B$5:$B$104,MATCH($B719,고객사!$A$5:$A$104,0)),"코드 확인"))</f>
        <v/>
      </c>
      <c r="D719" s="15"/>
      <c r="E719" s="15"/>
      <c r="F719" s="16"/>
      <c r="G719" s="16"/>
      <c r="H719" s="21" t="str">
        <f aca="false">IF(OR($B719="",F719=0),"",G719/F719)</f>
        <v/>
      </c>
      <c r="I719" s="22" t="str">
        <f aca="false">IF($B719="","",MAX(F719-G719,0))</f>
        <v/>
      </c>
      <c r="J719" s="23" t="str">
        <f aca="false">IF($B719="","",IFERROR(INDEX(고객사!$G$5:$G$104,MATCH($B719,고객사!$A$5:$A$104,0)),""))</f>
        <v/>
      </c>
      <c r="K719" s="16"/>
      <c r="L719" s="22" t="str">
        <f aca="false">IF($B719="","",K719*IFERROR(INDEX(고객사!$L$5:$L$104,MATCH($B719,고객사!$A$5:$A$104,0)),0))</f>
        <v/>
      </c>
      <c r="M719" s="23" t="str">
        <f aca="false">IF($B719="","",IF(AND(J719="N",G719&gt;0,K719=0,IFERROR(INDEX(고객사!$H$5:$H$104,MATCH($B719,고객사!$A$5:$A$104,0)),"")="자사 차량 운행"),"차량 미배정",""))</f>
        <v/>
      </c>
      <c r="N719" s="22" t="str">
        <f aca="false">IF($B719="","",IFERROR(INDEX(고객사!$J$5:$J$104,MATCH($B719,고객사!$A$5:$A$104,0)),0))</f>
        <v/>
      </c>
      <c r="O719" s="22" t="str">
        <f aca="false">IF($B719="","",G719*N719)</f>
        <v/>
      </c>
      <c r="P719" s="22" t="str">
        <f aca="false">IF($B719="","",IFERROR(INDEX(고객사!$K$5:$K$104,MATCH($B719,고객사!$A$5:$A$104,0)),0))</f>
        <v/>
      </c>
      <c r="Q719" s="22" t="str">
        <f aca="false">IF($B719="","",G719*P719)</f>
        <v/>
      </c>
      <c r="R719" s="22" t="str">
        <f aca="false">IF($B719="","",O719-Q719-L719)</f>
        <v/>
      </c>
      <c r="S719" s="21" t="str">
        <f aca="false">IF(OR($B719="",N(O719)=0),"",R719/O719)</f>
        <v/>
      </c>
      <c r="T719" s="14"/>
      <c r="U719" s="19" t="n">
        <f aca="false">IF(OR($B719="",$A719=""),0,IF(COUNTIFS($A$5:$A719,$A719,$B$5:$B719,$B719)=1,1,0))</f>
        <v>0</v>
      </c>
    </row>
    <row r="720" customFormat="false" ht="15" hidden="false" customHeight="false" outlineLevel="0" collapsed="false">
      <c r="A720" s="17"/>
      <c r="B720" s="13"/>
      <c r="C720" s="20" t="str">
        <f aca="false">IF($B720="","",IFERROR(INDEX(고객사!$B$5:$B$104,MATCH($B720,고객사!$A$5:$A$104,0)),"코드 확인"))</f>
        <v/>
      </c>
      <c r="D720" s="15"/>
      <c r="E720" s="15"/>
      <c r="F720" s="16"/>
      <c r="G720" s="16"/>
      <c r="H720" s="21" t="str">
        <f aca="false">IF(OR($B720="",F720=0),"",G720/F720)</f>
        <v/>
      </c>
      <c r="I720" s="22" t="str">
        <f aca="false">IF($B720="","",MAX(F720-G720,0))</f>
        <v/>
      </c>
      <c r="J720" s="23" t="str">
        <f aca="false">IF($B720="","",IFERROR(INDEX(고객사!$G$5:$G$104,MATCH($B720,고객사!$A$5:$A$104,0)),""))</f>
        <v/>
      </c>
      <c r="K720" s="16"/>
      <c r="L720" s="22" t="str">
        <f aca="false">IF($B720="","",K720*IFERROR(INDEX(고객사!$L$5:$L$104,MATCH($B720,고객사!$A$5:$A$104,0)),0))</f>
        <v/>
      </c>
      <c r="M720" s="23" t="str">
        <f aca="false">IF($B720="","",IF(AND(J720="N",G720&gt;0,K720=0,IFERROR(INDEX(고객사!$H$5:$H$104,MATCH($B720,고객사!$A$5:$A$104,0)),"")="자사 차량 운행"),"차량 미배정",""))</f>
        <v/>
      </c>
      <c r="N720" s="22" t="str">
        <f aca="false">IF($B720="","",IFERROR(INDEX(고객사!$J$5:$J$104,MATCH($B720,고객사!$A$5:$A$104,0)),0))</f>
        <v/>
      </c>
      <c r="O720" s="22" t="str">
        <f aca="false">IF($B720="","",G720*N720)</f>
        <v/>
      </c>
      <c r="P720" s="22" t="str">
        <f aca="false">IF($B720="","",IFERROR(INDEX(고객사!$K$5:$K$104,MATCH($B720,고객사!$A$5:$A$104,0)),0))</f>
        <v/>
      </c>
      <c r="Q720" s="22" t="str">
        <f aca="false">IF($B720="","",G720*P720)</f>
        <v/>
      </c>
      <c r="R720" s="22" t="str">
        <f aca="false">IF($B720="","",O720-Q720-L720)</f>
        <v/>
      </c>
      <c r="S720" s="21" t="str">
        <f aca="false">IF(OR($B720="",N(O720)=0),"",R720/O720)</f>
        <v/>
      </c>
      <c r="T720" s="14"/>
      <c r="U720" s="19" t="n">
        <f aca="false">IF(OR($B720="",$A720=""),0,IF(COUNTIFS($A$5:$A720,$A720,$B$5:$B720,$B720)=1,1,0))</f>
        <v>0</v>
      </c>
    </row>
    <row r="721" customFormat="false" ht="15" hidden="false" customHeight="false" outlineLevel="0" collapsed="false">
      <c r="A721" s="17"/>
      <c r="B721" s="13"/>
      <c r="C721" s="20" t="str">
        <f aca="false">IF($B721="","",IFERROR(INDEX(고객사!$B$5:$B$104,MATCH($B721,고객사!$A$5:$A$104,0)),"코드 확인"))</f>
        <v/>
      </c>
      <c r="D721" s="15"/>
      <c r="E721" s="15"/>
      <c r="F721" s="16"/>
      <c r="G721" s="16"/>
      <c r="H721" s="21" t="str">
        <f aca="false">IF(OR($B721="",F721=0),"",G721/F721)</f>
        <v/>
      </c>
      <c r="I721" s="22" t="str">
        <f aca="false">IF($B721="","",MAX(F721-G721,0))</f>
        <v/>
      </c>
      <c r="J721" s="23" t="str">
        <f aca="false">IF($B721="","",IFERROR(INDEX(고객사!$G$5:$G$104,MATCH($B721,고객사!$A$5:$A$104,0)),""))</f>
        <v/>
      </c>
      <c r="K721" s="16"/>
      <c r="L721" s="22" t="str">
        <f aca="false">IF($B721="","",K721*IFERROR(INDEX(고객사!$L$5:$L$104,MATCH($B721,고객사!$A$5:$A$104,0)),0))</f>
        <v/>
      </c>
      <c r="M721" s="23" t="str">
        <f aca="false">IF($B721="","",IF(AND(J721="N",G721&gt;0,K721=0,IFERROR(INDEX(고객사!$H$5:$H$104,MATCH($B721,고객사!$A$5:$A$104,0)),"")="자사 차량 운행"),"차량 미배정",""))</f>
        <v/>
      </c>
      <c r="N721" s="22" t="str">
        <f aca="false">IF($B721="","",IFERROR(INDEX(고객사!$J$5:$J$104,MATCH($B721,고객사!$A$5:$A$104,0)),0))</f>
        <v/>
      </c>
      <c r="O721" s="22" t="str">
        <f aca="false">IF($B721="","",G721*N721)</f>
        <v/>
      </c>
      <c r="P721" s="22" t="str">
        <f aca="false">IF($B721="","",IFERROR(INDEX(고객사!$K$5:$K$104,MATCH($B721,고객사!$A$5:$A$104,0)),0))</f>
        <v/>
      </c>
      <c r="Q721" s="22" t="str">
        <f aca="false">IF($B721="","",G721*P721)</f>
        <v/>
      </c>
      <c r="R721" s="22" t="str">
        <f aca="false">IF($B721="","",O721-Q721-L721)</f>
        <v/>
      </c>
      <c r="S721" s="21" t="str">
        <f aca="false">IF(OR($B721="",N(O721)=0),"",R721/O721)</f>
        <v/>
      </c>
      <c r="T721" s="14"/>
      <c r="U721" s="19" t="n">
        <f aca="false">IF(OR($B721="",$A721=""),0,IF(COUNTIFS($A$5:$A721,$A721,$B$5:$B721,$B721)=1,1,0))</f>
        <v>0</v>
      </c>
    </row>
    <row r="722" customFormat="false" ht="15" hidden="false" customHeight="false" outlineLevel="0" collapsed="false">
      <c r="A722" s="17"/>
      <c r="B722" s="13"/>
      <c r="C722" s="20" t="str">
        <f aca="false">IF($B722="","",IFERROR(INDEX(고객사!$B$5:$B$104,MATCH($B722,고객사!$A$5:$A$104,0)),"코드 확인"))</f>
        <v/>
      </c>
      <c r="D722" s="15"/>
      <c r="E722" s="15"/>
      <c r="F722" s="16"/>
      <c r="G722" s="16"/>
      <c r="H722" s="21" t="str">
        <f aca="false">IF(OR($B722="",F722=0),"",G722/F722)</f>
        <v/>
      </c>
      <c r="I722" s="22" t="str">
        <f aca="false">IF($B722="","",MAX(F722-G722,0))</f>
        <v/>
      </c>
      <c r="J722" s="23" t="str">
        <f aca="false">IF($B722="","",IFERROR(INDEX(고객사!$G$5:$G$104,MATCH($B722,고객사!$A$5:$A$104,0)),""))</f>
        <v/>
      </c>
      <c r="K722" s="16"/>
      <c r="L722" s="22" t="str">
        <f aca="false">IF($B722="","",K722*IFERROR(INDEX(고객사!$L$5:$L$104,MATCH($B722,고객사!$A$5:$A$104,0)),0))</f>
        <v/>
      </c>
      <c r="M722" s="23" t="str">
        <f aca="false">IF($B722="","",IF(AND(J722="N",G722&gt;0,K722=0,IFERROR(INDEX(고객사!$H$5:$H$104,MATCH($B722,고객사!$A$5:$A$104,0)),"")="자사 차량 운행"),"차량 미배정",""))</f>
        <v/>
      </c>
      <c r="N722" s="22" t="str">
        <f aca="false">IF($B722="","",IFERROR(INDEX(고객사!$J$5:$J$104,MATCH($B722,고객사!$A$5:$A$104,0)),0))</f>
        <v/>
      </c>
      <c r="O722" s="22" t="str">
        <f aca="false">IF($B722="","",G722*N722)</f>
        <v/>
      </c>
      <c r="P722" s="22" t="str">
        <f aca="false">IF($B722="","",IFERROR(INDEX(고객사!$K$5:$K$104,MATCH($B722,고객사!$A$5:$A$104,0)),0))</f>
        <v/>
      </c>
      <c r="Q722" s="22" t="str">
        <f aca="false">IF($B722="","",G722*P722)</f>
        <v/>
      </c>
      <c r="R722" s="22" t="str">
        <f aca="false">IF($B722="","",O722-Q722-L722)</f>
        <v/>
      </c>
      <c r="S722" s="21" t="str">
        <f aca="false">IF(OR($B722="",N(O722)=0),"",R722/O722)</f>
        <v/>
      </c>
      <c r="T722" s="14"/>
      <c r="U722" s="19" t="n">
        <f aca="false">IF(OR($B722="",$A722=""),0,IF(COUNTIFS($A$5:$A722,$A722,$B$5:$B722,$B722)=1,1,0))</f>
        <v>0</v>
      </c>
    </row>
    <row r="723" customFormat="false" ht="15" hidden="false" customHeight="false" outlineLevel="0" collapsed="false">
      <c r="A723" s="17"/>
      <c r="B723" s="13"/>
      <c r="C723" s="20" t="str">
        <f aca="false">IF($B723="","",IFERROR(INDEX(고객사!$B$5:$B$104,MATCH($B723,고객사!$A$5:$A$104,0)),"코드 확인"))</f>
        <v/>
      </c>
      <c r="D723" s="15"/>
      <c r="E723" s="15"/>
      <c r="F723" s="16"/>
      <c r="G723" s="16"/>
      <c r="H723" s="21" t="str">
        <f aca="false">IF(OR($B723="",F723=0),"",G723/F723)</f>
        <v/>
      </c>
      <c r="I723" s="22" t="str">
        <f aca="false">IF($B723="","",MAX(F723-G723,0))</f>
        <v/>
      </c>
      <c r="J723" s="23" t="str">
        <f aca="false">IF($B723="","",IFERROR(INDEX(고객사!$G$5:$G$104,MATCH($B723,고객사!$A$5:$A$104,0)),""))</f>
        <v/>
      </c>
      <c r="K723" s="16"/>
      <c r="L723" s="22" t="str">
        <f aca="false">IF($B723="","",K723*IFERROR(INDEX(고객사!$L$5:$L$104,MATCH($B723,고객사!$A$5:$A$104,0)),0))</f>
        <v/>
      </c>
      <c r="M723" s="23" t="str">
        <f aca="false">IF($B723="","",IF(AND(J723="N",G723&gt;0,K723=0,IFERROR(INDEX(고객사!$H$5:$H$104,MATCH($B723,고객사!$A$5:$A$104,0)),"")="자사 차량 운행"),"차량 미배정",""))</f>
        <v/>
      </c>
      <c r="N723" s="22" t="str">
        <f aca="false">IF($B723="","",IFERROR(INDEX(고객사!$J$5:$J$104,MATCH($B723,고객사!$A$5:$A$104,0)),0))</f>
        <v/>
      </c>
      <c r="O723" s="22" t="str">
        <f aca="false">IF($B723="","",G723*N723)</f>
        <v/>
      </c>
      <c r="P723" s="22" t="str">
        <f aca="false">IF($B723="","",IFERROR(INDEX(고객사!$K$5:$K$104,MATCH($B723,고객사!$A$5:$A$104,0)),0))</f>
        <v/>
      </c>
      <c r="Q723" s="22" t="str">
        <f aca="false">IF($B723="","",G723*P723)</f>
        <v/>
      </c>
      <c r="R723" s="22" t="str">
        <f aca="false">IF($B723="","",O723-Q723-L723)</f>
        <v/>
      </c>
      <c r="S723" s="21" t="str">
        <f aca="false">IF(OR($B723="",N(O723)=0),"",R723/O723)</f>
        <v/>
      </c>
      <c r="T723" s="14"/>
      <c r="U723" s="19" t="n">
        <f aca="false">IF(OR($B723="",$A723=""),0,IF(COUNTIFS($A$5:$A723,$A723,$B$5:$B723,$B723)=1,1,0))</f>
        <v>0</v>
      </c>
    </row>
    <row r="724" customFormat="false" ht="15" hidden="false" customHeight="false" outlineLevel="0" collapsed="false">
      <c r="A724" s="17"/>
      <c r="B724" s="13"/>
      <c r="C724" s="20" t="str">
        <f aca="false">IF($B724="","",IFERROR(INDEX(고객사!$B$5:$B$104,MATCH($B724,고객사!$A$5:$A$104,0)),"코드 확인"))</f>
        <v/>
      </c>
      <c r="D724" s="15"/>
      <c r="E724" s="15"/>
      <c r="F724" s="16"/>
      <c r="G724" s="16"/>
      <c r="H724" s="21" t="str">
        <f aca="false">IF(OR($B724="",F724=0),"",G724/F724)</f>
        <v/>
      </c>
      <c r="I724" s="22" t="str">
        <f aca="false">IF($B724="","",MAX(F724-G724,0))</f>
        <v/>
      </c>
      <c r="J724" s="23" t="str">
        <f aca="false">IF($B724="","",IFERROR(INDEX(고객사!$G$5:$G$104,MATCH($B724,고객사!$A$5:$A$104,0)),""))</f>
        <v/>
      </c>
      <c r="K724" s="16"/>
      <c r="L724" s="22" t="str">
        <f aca="false">IF($B724="","",K724*IFERROR(INDEX(고객사!$L$5:$L$104,MATCH($B724,고객사!$A$5:$A$104,0)),0))</f>
        <v/>
      </c>
      <c r="M724" s="23" t="str">
        <f aca="false">IF($B724="","",IF(AND(J724="N",G724&gt;0,K724=0,IFERROR(INDEX(고객사!$H$5:$H$104,MATCH($B724,고객사!$A$5:$A$104,0)),"")="자사 차량 운행"),"차량 미배정",""))</f>
        <v/>
      </c>
      <c r="N724" s="22" t="str">
        <f aca="false">IF($B724="","",IFERROR(INDEX(고객사!$J$5:$J$104,MATCH($B724,고객사!$A$5:$A$104,0)),0))</f>
        <v/>
      </c>
      <c r="O724" s="22" t="str">
        <f aca="false">IF($B724="","",G724*N724)</f>
        <v/>
      </c>
      <c r="P724" s="22" t="str">
        <f aca="false">IF($B724="","",IFERROR(INDEX(고객사!$K$5:$K$104,MATCH($B724,고객사!$A$5:$A$104,0)),0))</f>
        <v/>
      </c>
      <c r="Q724" s="22" t="str">
        <f aca="false">IF($B724="","",G724*P724)</f>
        <v/>
      </c>
      <c r="R724" s="22" t="str">
        <f aca="false">IF($B724="","",O724-Q724-L724)</f>
        <v/>
      </c>
      <c r="S724" s="21" t="str">
        <f aca="false">IF(OR($B724="",N(O724)=0),"",R724/O724)</f>
        <v/>
      </c>
      <c r="T724" s="14"/>
      <c r="U724" s="19" t="n">
        <f aca="false">IF(OR($B724="",$A724=""),0,IF(COUNTIFS($A$5:$A724,$A724,$B$5:$B724,$B724)=1,1,0))</f>
        <v>0</v>
      </c>
    </row>
    <row r="725" customFormat="false" ht="15" hidden="false" customHeight="false" outlineLevel="0" collapsed="false">
      <c r="A725" s="17"/>
      <c r="B725" s="13"/>
      <c r="C725" s="20" t="str">
        <f aca="false">IF($B725="","",IFERROR(INDEX(고객사!$B$5:$B$104,MATCH($B725,고객사!$A$5:$A$104,0)),"코드 확인"))</f>
        <v/>
      </c>
      <c r="D725" s="15"/>
      <c r="E725" s="15"/>
      <c r="F725" s="16"/>
      <c r="G725" s="16"/>
      <c r="H725" s="21" t="str">
        <f aca="false">IF(OR($B725="",F725=0),"",G725/F725)</f>
        <v/>
      </c>
      <c r="I725" s="22" t="str">
        <f aca="false">IF($B725="","",MAX(F725-G725,0))</f>
        <v/>
      </c>
      <c r="J725" s="23" t="str">
        <f aca="false">IF($B725="","",IFERROR(INDEX(고객사!$G$5:$G$104,MATCH($B725,고객사!$A$5:$A$104,0)),""))</f>
        <v/>
      </c>
      <c r="K725" s="16"/>
      <c r="L725" s="22" t="str">
        <f aca="false">IF($B725="","",K725*IFERROR(INDEX(고객사!$L$5:$L$104,MATCH($B725,고객사!$A$5:$A$104,0)),0))</f>
        <v/>
      </c>
      <c r="M725" s="23" t="str">
        <f aca="false">IF($B725="","",IF(AND(J725="N",G725&gt;0,K725=0,IFERROR(INDEX(고객사!$H$5:$H$104,MATCH($B725,고객사!$A$5:$A$104,0)),"")="자사 차량 운행"),"차량 미배정",""))</f>
        <v/>
      </c>
      <c r="N725" s="22" t="str">
        <f aca="false">IF($B725="","",IFERROR(INDEX(고객사!$J$5:$J$104,MATCH($B725,고객사!$A$5:$A$104,0)),0))</f>
        <v/>
      </c>
      <c r="O725" s="22" t="str">
        <f aca="false">IF($B725="","",G725*N725)</f>
        <v/>
      </c>
      <c r="P725" s="22" t="str">
        <f aca="false">IF($B725="","",IFERROR(INDEX(고객사!$K$5:$K$104,MATCH($B725,고객사!$A$5:$A$104,0)),0))</f>
        <v/>
      </c>
      <c r="Q725" s="22" t="str">
        <f aca="false">IF($B725="","",G725*P725)</f>
        <v/>
      </c>
      <c r="R725" s="22" t="str">
        <f aca="false">IF($B725="","",O725-Q725-L725)</f>
        <v/>
      </c>
      <c r="S725" s="21" t="str">
        <f aca="false">IF(OR($B725="",N(O725)=0),"",R725/O725)</f>
        <v/>
      </c>
      <c r="T725" s="14"/>
      <c r="U725" s="19" t="n">
        <f aca="false">IF(OR($B725="",$A725=""),0,IF(COUNTIFS($A$5:$A725,$A725,$B$5:$B725,$B725)=1,1,0))</f>
        <v>0</v>
      </c>
    </row>
    <row r="726" customFormat="false" ht="15" hidden="false" customHeight="false" outlineLevel="0" collapsed="false">
      <c r="A726" s="17"/>
      <c r="B726" s="13"/>
      <c r="C726" s="20" t="str">
        <f aca="false">IF($B726="","",IFERROR(INDEX(고객사!$B$5:$B$104,MATCH($B726,고객사!$A$5:$A$104,0)),"코드 확인"))</f>
        <v/>
      </c>
      <c r="D726" s="15"/>
      <c r="E726" s="15"/>
      <c r="F726" s="16"/>
      <c r="G726" s="16"/>
      <c r="H726" s="21" t="str">
        <f aca="false">IF(OR($B726="",F726=0),"",G726/F726)</f>
        <v/>
      </c>
      <c r="I726" s="22" t="str">
        <f aca="false">IF($B726="","",MAX(F726-G726,0))</f>
        <v/>
      </c>
      <c r="J726" s="23" t="str">
        <f aca="false">IF($B726="","",IFERROR(INDEX(고객사!$G$5:$G$104,MATCH($B726,고객사!$A$5:$A$104,0)),""))</f>
        <v/>
      </c>
      <c r="K726" s="16"/>
      <c r="L726" s="22" t="str">
        <f aca="false">IF($B726="","",K726*IFERROR(INDEX(고객사!$L$5:$L$104,MATCH($B726,고객사!$A$5:$A$104,0)),0))</f>
        <v/>
      </c>
      <c r="M726" s="23" t="str">
        <f aca="false">IF($B726="","",IF(AND(J726="N",G726&gt;0,K726=0,IFERROR(INDEX(고객사!$H$5:$H$104,MATCH($B726,고객사!$A$5:$A$104,0)),"")="자사 차량 운행"),"차량 미배정",""))</f>
        <v/>
      </c>
      <c r="N726" s="22" t="str">
        <f aca="false">IF($B726="","",IFERROR(INDEX(고객사!$J$5:$J$104,MATCH($B726,고객사!$A$5:$A$104,0)),0))</f>
        <v/>
      </c>
      <c r="O726" s="22" t="str">
        <f aca="false">IF($B726="","",G726*N726)</f>
        <v/>
      </c>
      <c r="P726" s="22" t="str">
        <f aca="false">IF($B726="","",IFERROR(INDEX(고객사!$K$5:$K$104,MATCH($B726,고객사!$A$5:$A$104,0)),0))</f>
        <v/>
      </c>
      <c r="Q726" s="22" t="str">
        <f aca="false">IF($B726="","",G726*P726)</f>
        <v/>
      </c>
      <c r="R726" s="22" t="str">
        <f aca="false">IF($B726="","",O726-Q726-L726)</f>
        <v/>
      </c>
      <c r="S726" s="21" t="str">
        <f aca="false">IF(OR($B726="",N(O726)=0),"",R726/O726)</f>
        <v/>
      </c>
      <c r="T726" s="14"/>
      <c r="U726" s="19" t="n">
        <f aca="false">IF(OR($B726="",$A726=""),0,IF(COUNTIFS($A$5:$A726,$A726,$B$5:$B726,$B726)=1,1,0))</f>
        <v>0</v>
      </c>
    </row>
    <row r="727" customFormat="false" ht="15" hidden="false" customHeight="false" outlineLevel="0" collapsed="false">
      <c r="A727" s="17"/>
      <c r="B727" s="13"/>
      <c r="C727" s="20" t="str">
        <f aca="false">IF($B727="","",IFERROR(INDEX(고객사!$B$5:$B$104,MATCH($B727,고객사!$A$5:$A$104,0)),"코드 확인"))</f>
        <v/>
      </c>
      <c r="D727" s="15"/>
      <c r="E727" s="15"/>
      <c r="F727" s="16"/>
      <c r="G727" s="16"/>
      <c r="H727" s="21" t="str">
        <f aca="false">IF(OR($B727="",F727=0),"",G727/F727)</f>
        <v/>
      </c>
      <c r="I727" s="22" t="str">
        <f aca="false">IF($B727="","",MAX(F727-G727,0))</f>
        <v/>
      </c>
      <c r="J727" s="23" t="str">
        <f aca="false">IF($B727="","",IFERROR(INDEX(고객사!$G$5:$G$104,MATCH($B727,고객사!$A$5:$A$104,0)),""))</f>
        <v/>
      </c>
      <c r="K727" s="16"/>
      <c r="L727" s="22" t="str">
        <f aca="false">IF($B727="","",K727*IFERROR(INDEX(고객사!$L$5:$L$104,MATCH($B727,고객사!$A$5:$A$104,0)),0))</f>
        <v/>
      </c>
      <c r="M727" s="23" t="str">
        <f aca="false">IF($B727="","",IF(AND(J727="N",G727&gt;0,K727=0,IFERROR(INDEX(고객사!$H$5:$H$104,MATCH($B727,고객사!$A$5:$A$104,0)),"")="자사 차량 운행"),"차량 미배정",""))</f>
        <v/>
      </c>
      <c r="N727" s="22" t="str">
        <f aca="false">IF($B727="","",IFERROR(INDEX(고객사!$J$5:$J$104,MATCH($B727,고객사!$A$5:$A$104,0)),0))</f>
        <v/>
      </c>
      <c r="O727" s="22" t="str">
        <f aca="false">IF($B727="","",G727*N727)</f>
        <v/>
      </c>
      <c r="P727" s="22" t="str">
        <f aca="false">IF($B727="","",IFERROR(INDEX(고객사!$K$5:$K$104,MATCH($B727,고객사!$A$5:$A$104,0)),0))</f>
        <v/>
      </c>
      <c r="Q727" s="22" t="str">
        <f aca="false">IF($B727="","",G727*P727)</f>
        <v/>
      </c>
      <c r="R727" s="22" t="str">
        <f aca="false">IF($B727="","",O727-Q727-L727)</f>
        <v/>
      </c>
      <c r="S727" s="21" t="str">
        <f aca="false">IF(OR($B727="",N(O727)=0),"",R727/O727)</f>
        <v/>
      </c>
      <c r="T727" s="14"/>
      <c r="U727" s="19" t="n">
        <f aca="false">IF(OR($B727="",$A727=""),0,IF(COUNTIFS($A$5:$A727,$A727,$B$5:$B727,$B727)=1,1,0))</f>
        <v>0</v>
      </c>
    </row>
    <row r="728" customFormat="false" ht="15" hidden="false" customHeight="false" outlineLevel="0" collapsed="false">
      <c r="A728" s="17"/>
      <c r="B728" s="13"/>
      <c r="C728" s="20" t="str">
        <f aca="false">IF($B728="","",IFERROR(INDEX(고객사!$B$5:$B$104,MATCH($B728,고객사!$A$5:$A$104,0)),"코드 확인"))</f>
        <v/>
      </c>
      <c r="D728" s="15"/>
      <c r="E728" s="15"/>
      <c r="F728" s="16"/>
      <c r="G728" s="16"/>
      <c r="H728" s="21" t="str">
        <f aca="false">IF(OR($B728="",F728=0),"",G728/F728)</f>
        <v/>
      </c>
      <c r="I728" s="22" t="str">
        <f aca="false">IF($B728="","",MAX(F728-G728,0))</f>
        <v/>
      </c>
      <c r="J728" s="23" t="str">
        <f aca="false">IF($B728="","",IFERROR(INDEX(고객사!$G$5:$G$104,MATCH($B728,고객사!$A$5:$A$104,0)),""))</f>
        <v/>
      </c>
      <c r="K728" s="16"/>
      <c r="L728" s="22" t="str">
        <f aca="false">IF($B728="","",K728*IFERROR(INDEX(고객사!$L$5:$L$104,MATCH($B728,고객사!$A$5:$A$104,0)),0))</f>
        <v/>
      </c>
      <c r="M728" s="23" t="str">
        <f aca="false">IF($B728="","",IF(AND(J728="N",G728&gt;0,K728=0,IFERROR(INDEX(고객사!$H$5:$H$104,MATCH($B728,고객사!$A$5:$A$104,0)),"")="자사 차량 운행"),"차량 미배정",""))</f>
        <v/>
      </c>
      <c r="N728" s="22" t="str">
        <f aca="false">IF($B728="","",IFERROR(INDEX(고객사!$J$5:$J$104,MATCH($B728,고객사!$A$5:$A$104,0)),0))</f>
        <v/>
      </c>
      <c r="O728" s="22" t="str">
        <f aca="false">IF($B728="","",G728*N728)</f>
        <v/>
      </c>
      <c r="P728" s="22" t="str">
        <f aca="false">IF($B728="","",IFERROR(INDEX(고객사!$K$5:$K$104,MATCH($B728,고객사!$A$5:$A$104,0)),0))</f>
        <v/>
      </c>
      <c r="Q728" s="22" t="str">
        <f aca="false">IF($B728="","",G728*P728)</f>
        <v/>
      </c>
      <c r="R728" s="22" t="str">
        <f aca="false">IF($B728="","",O728-Q728-L728)</f>
        <v/>
      </c>
      <c r="S728" s="21" t="str">
        <f aca="false">IF(OR($B728="",N(O728)=0),"",R728/O728)</f>
        <v/>
      </c>
      <c r="T728" s="14"/>
      <c r="U728" s="19" t="n">
        <f aca="false">IF(OR($B728="",$A728=""),0,IF(COUNTIFS($A$5:$A728,$A728,$B$5:$B728,$B728)=1,1,0))</f>
        <v>0</v>
      </c>
    </row>
    <row r="729" customFormat="false" ht="15" hidden="false" customHeight="false" outlineLevel="0" collapsed="false">
      <c r="A729" s="17"/>
      <c r="B729" s="13"/>
      <c r="C729" s="20" t="str">
        <f aca="false">IF($B729="","",IFERROR(INDEX(고객사!$B$5:$B$104,MATCH($B729,고객사!$A$5:$A$104,0)),"코드 확인"))</f>
        <v/>
      </c>
      <c r="D729" s="15"/>
      <c r="E729" s="15"/>
      <c r="F729" s="16"/>
      <c r="G729" s="16"/>
      <c r="H729" s="21" t="str">
        <f aca="false">IF(OR($B729="",F729=0),"",G729/F729)</f>
        <v/>
      </c>
      <c r="I729" s="22" t="str">
        <f aca="false">IF($B729="","",MAX(F729-G729,0))</f>
        <v/>
      </c>
      <c r="J729" s="23" t="str">
        <f aca="false">IF($B729="","",IFERROR(INDEX(고객사!$G$5:$G$104,MATCH($B729,고객사!$A$5:$A$104,0)),""))</f>
        <v/>
      </c>
      <c r="K729" s="16"/>
      <c r="L729" s="22" t="str">
        <f aca="false">IF($B729="","",K729*IFERROR(INDEX(고객사!$L$5:$L$104,MATCH($B729,고객사!$A$5:$A$104,0)),0))</f>
        <v/>
      </c>
      <c r="M729" s="23" t="str">
        <f aca="false">IF($B729="","",IF(AND(J729="N",G729&gt;0,K729=0,IFERROR(INDEX(고객사!$H$5:$H$104,MATCH($B729,고객사!$A$5:$A$104,0)),"")="자사 차량 운행"),"차량 미배정",""))</f>
        <v/>
      </c>
      <c r="N729" s="22" t="str">
        <f aca="false">IF($B729="","",IFERROR(INDEX(고객사!$J$5:$J$104,MATCH($B729,고객사!$A$5:$A$104,0)),0))</f>
        <v/>
      </c>
      <c r="O729" s="22" t="str">
        <f aca="false">IF($B729="","",G729*N729)</f>
        <v/>
      </c>
      <c r="P729" s="22" t="str">
        <f aca="false">IF($B729="","",IFERROR(INDEX(고객사!$K$5:$K$104,MATCH($B729,고객사!$A$5:$A$104,0)),0))</f>
        <v/>
      </c>
      <c r="Q729" s="22" t="str">
        <f aca="false">IF($B729="","",G729*P729)</f>
        <v/>
      </c>
      <c r="R729" s="22" t="str">
        <f aca="false">IF($B729="","",O729-Q729-L729)</f>
        <v/>
      </c>
      <c r="S729" s="21" t="str">
        <f aca="false">IF(OR($B729="",N(O729)=0),"",R729/O729)</f>
        <v/>
      </c>
      <c r="T729" s="14"/>
      <c r="U729" s="19" t="n">
        <f aca="false">IF(OR($B729="",$A729=""),0,IF(COUNTIFS($A$5:$A729,$A729,$B$5:$B729,$B729)=1,1,0))</f>
        <v>0</v>
      </c>
    </row>
    <row r="730" customFormat="false" ht="15" hidden="false" customHeight="false" outlineLevel="0" collapsed="false">
      <c r="A730" s="17"/>
      <c r="B730" s="13"/>
      <c r="C730" s="20" t="str">
        <f aca="false">IF($B730="","",IFERROR(INDEX(고객사!$B$5:$B$104,MATCH($B730,고객사!$A$5:$A$104,0)),"코드 확인"))</f>
        <v/>
      </c>
      <c r="D730" s="15"/>
      <c r="E730" s="15"/>
      <c r="F730" s="16"/>
      <c r="G730" s="16"/>
      <c r="H730" s="21" t="str">
        <f aca="false">IF(OR($B730="",F730=0),"",G730/F730)</f>
        <v/>
      </c>
      <c r="I730" s="22" t="str">
        <f aca="false">IF($B730="","",MAX(F730-G730,0))</f>
        <v/>
      </c>
      <c r="J730" s="23" t="str">
        <f aca="false">IF($B730="","",IFERROR(INDEX(고객사!$G$5:$G$104,MATCH($B730,고객사!$A$5:$A$104,0)),""))</f>
        <v/>
      </c>
      <c r="K730" s="16"/>
      <c r="L730" s="22" t="str">
        <f aca="false">IF($B730="","",K730*IFERROR(INDEX(고객사!$L$5:$L$104,MATCH($B730,고객사!$A$5:$A$104,0)),0))</f>
        <v/>
      </c>
      <c r="M730" s="23" t="str">
        <f aca="false">IF($B730="","",IF(AND(J730="N",G730&gt;0,K730=0,IFERROR(INDEX(고객사!$H$5:$H$104,MATCH($B730,고객사!$A$5:$A$104,0)),"")="자사 차량 운행"),"차량 미배정",""))</f>
        <v/>
      </c>
      <c r="N730" s="22" t="str">
        <f aca="false">IF($B730="","",IFERROR(INDEX(고객사!$J$5:$J$104,MATCH($B730,고객사!$A$5:$A$104,0)),0))</f>
        <v/>
      </c>
      <c r="O730" s="22" t="str">
        <f aca="false">IF($B730="","",G730*N730)</f>
        <v/>
      </c>
      <c r="P730" s="22" t="str">
        <f aca="false">IF($B730="","",IFERROR(INDEX(고객사!$K$5:$K$104,MATCH($B730,고객사!$A$5:$A$104,0)),0))</f>
        <v/>
      </c>
      <c r="Q730" s="22" t="str">
        <f aca="false">IF($B730="","",G730*P730)</f>
        <v/>
      </c>
      <c r="R730" s="22" t="str">
        <f aca="false">IF($B730="","",O730-Q730-L730)</f>
        <v/>
      </c>
      <c r="S730" s="21" t="str">
        <f aca="false">IF(OR($B730="",N(O730)=0),"",R730/O730)</f>
        <v/>
      </c>
      <c r="T730" s="14"/>
      <c r="U730" s="19" t="n">
        <f aca="false">IF(OR($B730="",$A730=""),0,IF(COUNTIFS($A$5:$A730,$A730,$B$5:$B730,$B730)=1,1,0))</f>
        <v>0</v>
      </c>
    </row>
    <row r="731" customFormat="false" ht="15" hidden="false" customHeight="false" outlineLevel="0" collapsed="false">
      <c r="A731" s="17"/>
      <c r="B731" s="13"/>
      <c r="C731" s="20" t="str">
        <f aca="false">IF($B731="","",IFERROR(INDEX(고객사!$B$5:$B$104,MATCH($B731,고객사!$A$5:$A$104,0)),"코드 확인"))</f>
        <v/>
      </c>
      <c r="D731" s="15"/>
      <c r="E731" s="15"/>
      <c r="F731" s="16"/>
      <c r="G731" s="16"/>
      <c r="H731" s="21" t="str">
        <f aca="false">IF(OR($B731="",F731=0),"",G731/F731)</f>
        <v/>
      </c>
      <c r="I731" s="22" t="str">
        <f aca="false">IF($B731="","",MAX(F731-G731,0))</f>
        <v/>
      </c>
      <c r="J731" s="23" t="str">
        <f aca="false">IF($B731="","",IFERROR(INDEX(고객사!$G$5:$G$104,MATCH($B731,고객사!$A$5:$A$104,0)),""))</f>
        <v/>
      </c>
      <c r="K731" s="16"/>
      <c r="L731" s="22" t="str">
        <f aca="false">IF($B731="","",K731*IFERROR(INDEX(고객사!$L$5:$L$104,MATCH($B731,고객사!$A$5:$A$104,0)),0))</f>
        <v/>
      </c>
      <c r="M731" s="23" t="str">
        <f aca="false">IF($B731="","",IF(AND(J731="N",G731&gt;0,K731=0,IFERROR(INDEX(고객사!$H$5:$H$104,MATCH($B731,고객사!$A$5:$A$104,0)),"")="자사 차량 운행"),"차량 미배정",""))</f>
        <v/>
      </c>
      <c r="N731" s="22" t="str">
        <f aca="false">IF($B731="","",IFERROR(INDEX(고객사!$J$5:$J$104,MATCH($B731,고객사!$A$5:$A$104,0)),0))</f>
        <v/>
      </c>
      <c r="O731" s="22" t="str">
        <f aca="false">IF($B731="","",G731*N731)</f>
        <v/>
      </c>
      <c r="P731" s="22" t="str">
        <f aca="false">IF($B731="","",IFERROR(INDEX(고객사!$K$5:$K$104,MATCH($B731,고객사!$A$5:$A$104,0)),0))</f>
        <v/>
      </c>
      <c r="Q731" s="22" t="str">
        <f aca="false">IF($B731="","",G731*P731)</f>
        <v/>
      </c>
      <c r="R731" s="22" t="str">
        <f aca="false">IF($B731="","",O731-Q731-L731)</f>
        <v/>
      </c>
      <c r="S731" s="21" t="str">
        <f aca="false">IF(OR($B731="",N(O731)=0),"",R731/O731)</f>
        <v/>
      </c>
      <c r="T731" s="14"/>
      <c r="U731" s="19" t="n">
        <f aca="false">IF(OR($B731="",$A731=""),0,IF(COUNTIFS($A$5:$A731,$A731,$B$5:$B731,$B731)=1,1,0))</f>
        <v>0</v>
      </c>
    </row>
    <row r="732" customFormat="false" ht="15" hidden="false" customHeight="false" outlineLevel="0" collapsed="false">
      <c r="A732" s="17"/>
      <c r="B732" s="13"/>
      <c r="C732" s="20" t="str">
        <f aca="false">IF($B732="","",IFERROR(INDEX(고객사!$B$5:$B$104,MATCH($B732,고객사!$A$5:$A$104,0)),"코드 확인"))</f>
        <v/>
      </c>
      <c r="D732" s="15"/>
      <c r="E732" s="15"/>
      <c r="F732" s="16"/>
      <c r="G732" s="16"/>
      <c r="H732" s="21" t="str">
        <f aca="false">IF(OR($B732="",F732=0),"",G732/F732)</f>
        <v/>
      </c>
      <c r="I732" s="22" t="str">
        <f aca="false">IF($B732="","",MAX(F732-G732,0))</f>
        <v/>
      </c>
      <c r="J732" s="23" t="str">
        <f aca="false">IF($B732="","",IFERROR(INDEX(고객사!$G$5:$G$104,MATCH($B732,고객사!$A$5:$A$104,0)),""))</f>
        <v/>
      </c>
      <c r="K732" s="16"/>
      <c r="L732" s="22" t="str">
        <f aca="false">IF($B732="","",K732*IFERROR(INDEX(고객사!$L$5:$L$104,MATCH($B732,고객사!$A$5:$A$104,0)),0))</f>
        <v/>
      </c>
      <c r="M732" s="23" t="str">
        <f aca="false">IF($B732="","",IF(AND(J732="N",G732&gt;0,K732=0,IFERROR(INDEX(고객사!$H$5:$H$104,MATCH($B732,고객사!$A$5:$A$104,0)),"")="자사 차량 운행"),"차량 미배정",""))</f>
        <v/>
      </c>
      <c r="N732" s="22" t="str">
        <f aca="false">IF($B732="","",IFERROR(INDEX(고객사!$J$5:$J$104,MATCH($B732,고객사!$A$5:$A$104,0)),0))</f>
        <v/>
      </c>
      <c r="O732" s="22" t="str">
        <f aca="false">IF($B732="","",G732*N732)</f>
        <v/>
      </c>
      <c r="P732" s="22" t="str">
        <f aca="false">IF($B732="","",IFERROR(INDEX(고객사!$K$5:$K$104,MATCH($B732,고객사!$A$5:$A$104,0)),0))</f>
        <v/>
      </c>
      <c r="Q732" s="22" t="str">
        <f aca="false">IF($B732="","",G732*P732)</f>
        <v/>
      </c>
      <c r="R732" s="22" t="str">
        <f aca="false">IF($B732="","",O732-Q732-L732)</f>
        <v/>
      </c>
      <c r="S732" s="21" t="str">
        <f aca="false">IF(OR($B732="",N(O732)=0),"",R732/O732)</f>
        <v/>
      </c>
      <c r="T732" s="14"/>
      <c r="U732" s="19" t="n">
        <f aca="false">IF(OR($B732="",$A732=""),0,IF(COUNTIFS($A$5:$A732,$A732,$B$5:$B732,$B732)=1,1,0))</f>
        <v>0</v>
      </c>
    </row>
    <row r="733" customFormat="false" ht="15" hidden="false" customHeight="false" outlineLevel="0" collapsed="false">
      <c r="A733" s="17"/>
      <c r="B733" s="13"/>
      <c r="C733" s="20" t="str">
        <f aca="false">IF($B733="","",IFERROR(INDEX(고객사!$B$5:$B$104,MATCH($B733,고객사!$A$5:$A$104,0)),"코드 확인"))</f>
        <v/>
      </c>
      <c r="D733" s="15"/>
      <c r="E733" s="15"/>
      <c r="F733" s="16"/>
      <c r="G733" s="16"/>
      <c r="H733" s="21" t="str">
        <f aca="false">IF(OR($B733="",F733=0),"",G733/F733)</f>
        <v/>
      </c>
      <c r="I733" s="22" t="str">
        <f aca="false">IF($B733="","",MAX(F733-G733,0))</f>
        <v/>
      </c>
      <c r="J733" s="23" t="str">
        <f aca="false">IF($B733="","",IFERROR(INDEX(고객사!$G$5:$G$104,MATCH($B733,고객사!$A$5:$A$104,0)),""))</f>
        <v/>
      </c>
      <c r="K733" s="16"/>
      <c r="L733" s="22" t="str">
        <f aca="false">IF($B733="","",K733*IFERROR(INDEX(고객사!$L$5:$L$104,MATCH($B733,고객사!$A$5:$A$104,0)),0))</f>
        <v/>
      </c>
      <c r="M733" s="23" t="str">
        <f aca="false">IF($B733="","",IF(AND(J733="N",G733&gt;0,K733=0,IFERROR(INDEX(고객사!$H$5:$H$104,MATCH($B733,고객사!$A$5:$A$104,0)),"")="자사 차량 운행"),"차량 미배정",""))</f>
        <v/>
      </c>
      <c r="N733" s="22" t="str">
        <f aca="false">IF($B733="","",IFERROR(INDEX(고객사!$J$5:$J$104,MATCH($B733,고객사!$A$5:$A$104,0)),0))</f>
        <v/>
      </c>
      <c r="O733" s="22" t="str">
        <f aca="false">IF($B733="","",G733*N733)</f>
        <v/>
      </c>
      <c r="P733" s="22" t="str">
        <f aca="false">IF($B733="","",IFERROR(INDEX(고객사!$K$5:$K$104,MATCH($B733,고객사!$A$5:$A$104,0)),0))</f>
        <v/>
      </c>
      <c r="Q733" s="22" t="str">
        <f aca="false">IF($B733="","",G733*P733)</f>
        <v/>
      </c>
      <c r="R733" s="22" t="str">
        <f aca="false">IF($B733="","",O733-Q733-L733)</f>
        <v/>
      </c>
      <c r="S733" s="21" t="str">
        <f aca="false">IF(OR($B733="",N(O733)=0),"",R733/O733)</f>
        <v/>
      </c>
      <c r="T733" s="14"/>
      <c r="U733" s="19" t="n">
        <f aca="false">IF(OR($B733="",$A733=""),0,IF(COUNTIFS($A$5:$A733,$A733,$B$5:$B733,$B733)=1,1,0))</f>
        <v>0</v>
      </c>
    </row>
    <row r="734" customFormat="false" ht="15" hidden="false" customHeight="false" outlineLevel="0" collapsed="false">
      <c r="A734" s="17"/>
      <c r="B734" s="13"/>
      <c r="C734" s="20" t="str">
        <f aca="false">IF($B734="","",IFERROR(INDEX(고객사!$B$5:$B$104,MATCH($B734,고객사!$A$5:$A$104,0)),"코드 확인"))</f>
        <v/>
      </c>
      <c r="D734" s="15"/>
      <c r="E734" s="15"/>
      <c r="F734" s="16"/>
      <c r="G734" s="16"/>
      <c r="H734" s="21" t="str">
        <f aca="false">IF(OR($B734="",F734=0),"",G734/F734)</f>
        <v/>
      </c>
      <c r="I734" s="22" t="str">
        <f aca="false">IF($B734="","",MAX(F734-G734,0))</f>
        <v/>
      </c>
      <c r="J734" s="23" t="str">
        <f aca="false">IF($B734="","",IFERROR(INDEX(고객사!$G$5:$G$104,MATCH($B734,고객사!$A$5:$A$104,0)),""))</f>
        <v/>
      </c>
      <c r="K734" s="16"/>
      <c r="L734" s="22" t="str">
        <f aca="false">IF($B734="","",K734*IFERROR(INDEX(고객사!$L$5:$L$104,MATCH($B734,고객사!$A$5:$A$104,0)),0))</f>
        <v/>
      </c>
      <c r="M734" s="23" t="str">
        <f aca="false">IF($B734="","",IF(AND(J734="N",G734&gt;0,K734=0,IFERROR(INDEX(고객사!$H$5:$H$104,MATCH($B734,고객사!$A$5:$A$104,0)),"")="자사 차량 운행"),"차량 미배정",""))</f>
        <v/>
      </c>
      <c r="N734" s="22" t="str">
        <f aca="false">IF($B734="","",IFERROR(INDEX(고객사!$J$5:$J$104,MATCH($B734,고객사!$A$5:$A$104,0)),0))</f>
        <v/>
      </c>
      <c r="O734" s="22" t="str">
        <f aca="false">IF($B734="","",G734*N734)</f>
        <v/>
      </c>
      <c r="P734" s="22" t="str">
        <f aca="false">IF($B734="","",IFERROR(INDEX(고객사!$K$5:$K$104,MATCH($B734,고객사!$A$5:$A$104,0)),0))</f>
        <v/>
      </c>
      <c r="Q734" s="22" t="str">
        <f aca="false">IF($B734="","",G734*P734)</f>
        <v/>
      </c>
      <c r="R734" s="22" t="str">
        <f aca="false">IF($B734="","",O734-Q734-L734)</f>
        <v/>
      </c>
      <c r="S734" s="21" t="str">
        <f aca="false">IF(OR($B734="",N(O734)=0),"",R734/O734)</f>
        <v/>
      </c>
      <c r="T734" s="14"/>
      <c r="U734" s="19" t="n">
        <f aca="false">IF(OR($B734="",$A734=""),0,IF(COUNTIFS($A$5:$A734,$A734,$B$5:$B734,$B734)=1,1,0))</f>
        <v>0</v>
      </c>
    </row>
    <row r="735" customFormat="false" ht="15" hidden="false" customHeight="false" outlineLevel="0" collapsed="false">
      <c r="A735" s="17"/>
      <c r="B735" s="13"/>
      <c r="C735" s="20" t="str">
        <f aca="false">IF($B735="","",IFERROR(INDEX(고객사!$B$5:$B$104,MATCH($B735,고객사!$A$5:$A$104,0)),"코드 확인"))</f>
        <v/>
      </c>
      <c r="D735" s="15"/>
      <c r="E735" s="15"/>
      <c r="F735" s="16"/>
      <c r="G735" s="16"/>
      <c r="H735" s="21" t="str">
        <f aca="false">IF(OR($B735="",F735=0),"",G735/F735)</f>
        <v/>
      </c>
      <c r="I735" s="22" t="str">
        <f aca="false">IF($B735="","",MAX(F735-G735,0))</f>
        <v/>
      </c>
      <c r="J735" s="23" t="str">
        <f aca="false">IF($B735="","",IFERROR(INDEX(고객사!$G$5:$G$104,MATCH($B735,고객사!$A$5:$A$104,0)),""))</f>
        <v/>
      </c>
      <c r="K735" s="16"/>
      <c r="L735" s="22" t="str">
        <f aca="false">IF($B735="","",K735*IFERROR(INDEX(고객사!$L$5:$L$104,MATCH($B735,고객사!$A$5:$A$104,0)),0))</f>
        <v/>
      </c>
      <c r="M735" s="23" t="str">
        <f aca="false">IF($B735="","",IF(AND(J735="N",G735&gt;0,K735=0,IFERROR(INDEX(고객사!$H$5:$H$104,MATCH($B735,고객사!$A$5:$A$104,0)),"")="자사 차량 운행"),"차량 미배정",""))</f>
        <v/>
      </c>
      <c r="N735" s="22" t="str">
        <f aca="false">IF($B735="","",IFERROR(INDEX(고객사!$J$5:$J$104,MATCH($B735,고객사!$A$5:$A$104,0)),0))</f>
        <v/>
      </c>
      <c r="O735" s="22" t="str">
        <f aca="false">IF($B735="","",G735*N735)</f>
        <v/>
      </c>
      <c r="P735" s="22" t="str">
        <f aca="false">IF($B735="","",IFERROR(INDEX(고객사!$K$5:$K$104,MATCH($B735,고객사!$A$5:$A$104,0)),0))</f>
        <v/>
      </c>
      <c r="Q735" s="22" t="str">
        <f aca="false">IF($B735="","",G735*P735)</f>
        <v/>
      </c>
      <c r="R735" s="22" t="str">
        <f aca="false">IF($B735="","",O735-Q735-L735)</f>
        <v/>
      </c>
      <c r="S735" s="21" t="str">
        <f aca="false">IF(OR($B735="",N(O735)=0),"",R735/O735)</f>
        <v/>
      </c>
      <c r="T735" s="14"/>
      <c r="U735" s="19" t="n">
        <f aca="false">IF(OR($B735="",$A735=""),0,IF(COUNTIFS($A$5:$A735,$A735,$B$5:$B735,$B735)=1,1,0))</f>
        <v>0</v>
      </c>
    </row>
    <row r="736" customFormat="false" ht="15" hidden="false" customHeight="false" outlineLevel="0" collapsed="false">
      <c r="A736" s="17"/>
      <c r="B736" s="13"/>
      <c r="C736" s="20" t="str">
        <f aca="false">IF($B736="","",IFERROR(INDEX(고객사!$B$5:$B$104,MATCH($B736,고객사!$A$5:$A$104,0)),"코드 확인"))</f>
        <v/>
      </c>
      <c r="D736" s="15"/>
      <c r="E736" s="15"/>
      <c r="F736" s="16"/>
      <c r="G736" s="16"/>
      <c r="H736" s="21" t="str">
        <f aca="false">IF(OR($B736="",F736=0),"",G736/F736)</f>
        <v/>
      </c>
      <c r="I736" s="22" t="str">
        <f aca="false">IF($B736="","",MAX(F736-G736,0))</f>
        <v/>
      </c>
      <c r="J736" s="23" t="str">
        <f aca="false">IF($B736="","",IFERROR(INDEX(고객사!$G$5:$G$104,MATCH($B736,고객사!$A$5:$A$104,0)),""))</f>
        <v/>
      </c>
      <c r="K736" s="16"/>
      <c r="L736" s="22" t="str">
        <f aca="false">IF($B736="","",K736*IFERROR(INDEX(고객사!$L$5:$L$104,MATCH($B736,고객사!$A$5:$A$104,0)),0))</f>
        <v/>
      </c>
      <c r="M736" s="23" t="str">
        <f aca="false">IF($B736="","",IF(AND(J736="N",G736&gt;0,K736=0,IFERROR(INDEX(고객사!$H$5:$H$104,MATCH($B736,고객사!$A$5:$A$104,0)),"")="자사 차량 운행"),"차량 미배정",""))</f>
        <v/>
      </c>
      <c r="N736" s="22" t="str">
        <f aca="false">IF($B736="","",IFERROR(INDEX(고객사!$J$5:$J$104,MATCH($B736,고객사!$A$5:$A$104,0)),0))</f>
        <v/>
      </c>
      <c r="O736" s="22" t="str">
        <f aca="false">IF($B736="","",G736*N736)</f>
        <v/>
      </c>
      <c r="P736" s="22" t="str">
        <f aca="false">IF($B736="","",IFERROR(INDEX(고객사!$K$5:$K$104,MATCH($B736,고객사!$A$5:$A$104,0)),0))</f>
        <v/>
      </c>
      <c r="Q736" s="22" t="str">
        <f aca="false">IF($B736="","",G736*P736)</f>
        <v/>
      </c>
      <c r="R736" s="22" t="str">
        <f aca="false">IF($B736="","",O736-Q736-L736)</f>
        <v/>
      </c>
      <c r="S736" s="21" t="str">
        <f aca="false">IF(OR($B736="",N(O736)=0),"",R736/O736)</f>
        <v/>
      </c>
      <c r="T736" s="14"/>
      <c r="U736" s="19" t="n">
        <f aca="false">IF(OR($B736="",$A736=""),0,IF(COUNTIFS($A$5:$A736,$A736,$B$5:$B736,$B736)=1,1,0))</f>
        <v>0</v>
      </c>
    </row>
    <row r="737" customFormat="false" ht="15" hidden="false" customHeight="false" outlineLevel="0" collapsed="false">
      <c r="A737" s="17"/>
      <c r="B737" s="13"/>
      <c r="C737" s="20" t="str">
        <f aca="false">IF($B737="","",IFERROR(INDEX(고객사!$B$5:$B$104,MATCH($B737,고객사!$A$5:$A$104,0)),"코드 확인"))</f>
        <v/>
      </c>
      <c r="D737" s="15"/>
      <c r="E737" s="15"/>
      <c r="F737" s="16"/>
      <c r="G737" s="16"/>
      <c r="H737" s="21" t="str">
        <f aca="false">IF(OR($B737="",F737=0),"",G737/F737)</f>
        <v/>
      </c>
      <c r="I737" s="22" t="str">
        <f aca="false">IF($B737="","",MAX(F737-G737,0))</f>
        <v/>
      </c>
      <c r="J737" s="23" t="str">
        <f aca="false">IF($B737="","",IFERROR(INDEX(고객사!$G$5:$G$104,MATCH($B737,고객사!$A$5:$A$104,0)),""))</f>
        <v/>
      </c>
      <c r="K737" s="16"/>
      <c r="L737" s="22" t="str">
        <f aca="false">IF($B737="","",K737*IFERROR(INDEX(고객사!$L$5:$L$104,MATCH($B737,고객사!$A$5:$A$104,0)),0))</f>
        <v/>
      </c>
      <c r="M737" s="23" t="str">
        <f aca="false">IF($B737="","",IF(AND(J737="N",G737&gt;0,K737=0,IFERROR(INDEX(고객사!$H$5:$H$104,MATCH($B737,고객사!$A$5:$A$104,0)),"")="자사 차량 운행"),"차량 미배정",""))</f>
        <v/>
      </c>
      <c r="N737" s="22" t="str">
        <f aca="false">IF($B737="","",IFERROR(INDEX(고객사!$J$5:$J$104,MATCH($B737,고객사!$A$5:$A$104,0)),0))</f>
        <v/>
      </c>
      <c r="O737" s="22" t="str">
        <f aca="false">IF($B737="","",G737*N737)</f>
        <v/>
      </c>
      <c r="P737" s="22" t="str">
        <f aca="false">IF($B737="","",IFERROR(INDEX(고객사!$K$5:$K$104,MATCH($B737,고객사!$A$5:$A$104,0)),0))</f>
        <v/>
      </c>
      <c r="Q737" s="22" t="str">
        <f aca="false">IF($B737="","",G737*P737)</f>
        <v/>
      </c>
      <c r="R737" s="22" t="str">
        <f aca="false">IF($B737="","",O737-Q737-L737)</f>
        <v/>
      </c>
      <c r="S737" s="21" t="str">
        <f aca="false">IF(OR($B737="",N(O737)=0),"",R737/O737)</f>
        <v/>
      </c>
      <c r="T737" s="14"/>
      <c r="U737" s="19" t="n">
        <f aca="false">IF(OR($B737="",$A737=""),0,IF(COUNTIFS($A$5:$A737,$A737,$B$5:$B737,$B737)=1,1,0))</f>
        <v>0</v>
      </c>
    </row>
    <row r="738" customFormat="false" ht="15" hidden="false" customHeight="false" outlineLevel="0" collapsed="false">
      <c r="A738" s="17"/>
      <c r="B738" s="13"/>
      <c r="C738" s="20" t="str">
        <f aca="false">IF($B738="","",IFERROR(INDEX(고객사!$B$5:$B$104,MATCH($B738,고객사!$A$5:$A$104,0)),"코드 확인"))</f>
        <v/>
      </c>
      <c r="D738" s="15"/>
      <c r="E738" s="15"/>
      <c r="F738" s="16"/>
      <c r="G738" s="16"/>
      <c r="H738" s="21" t="str">
        <f aca="false">IF(OR($B738="",F738=0),"",G738/F738)</f>
        <v/>
      </c>
      <c r="I738" s="22" t="str">
        <f aca="false">IF($B738="","",MAX(F738-G738,0))</f>
        <v/>
      </c>
      <c r="J738" s="23" t="str">
        <f aca="false">IF($B738="","",IFERROR(INDEX(고객사!$G$5:$G$104,MATCH($B738,고객사!$A$5:$A$104,0)),""))</f>
        <v/>
      </c>
      <c r="K738" s="16"/>
      <c r="L738" s="22" t="str">
        <f aca="false">IF($B738="","",K738*IFERROR(INDEX(고객사!$L$5:$L$104,MATCH($B738,고객사!$A$5:$A$104,0)),0))</f>
        <v/>
      </c>
      <c r="M738" s="23" t="str">
        <f aca="false">IF($B738="","",IF(AND(J738="N",G738&gt;0,K738=0,IFERROR(INDEX(고객사!$H$5:$H$104,MATCH($B738,고객사!$A$5:$A$104,0)),"")="자사 차량 운행"),"차량 미배정",""))</f>
        <v/>
      </c>
      <c r="N738" s="22" t="str">
        <f aca="false">IF($B738="","",IFERROR(INDEX(고객사!$J$5:$J$104,MATCH($B738,고객사!$A$5:$A$104,0)),0))</f>
        <v/>
      </c>
      <c r="O738" s="22" t="str">
        <f aca="false">IF($B738="","",G738*N738)</f>
        <v/>
      </c>
      <c r="P738" s="22" t="str">
        <f aca="false">IF($B738="","",IFERROR(INDEX(고객사!$K$5:$K$104,MATCH($B738,고객사!$A$5:$A$104,0)),0))</f>
        <v/>
      </c>
      <c r="Q738" s="22" t="str">
        <f aca="false">IF($B738="","",G738*P738)</f>
        <v/>
      </c>
      <c r="R738" s="22" t="str">
        <f aca="false">IF($B738="","",O738-Q738-L738)</f>
        <v/>
      </c>
      <c r="S738" s="21" t="str">
        <f aca="false">IF(OR($B738="",N(O738)=0),"",R738/O738)</f>
        <v/>
      </c>
      <c r="T738" s="14"/>
      <c r="U738" s="19" t="n">
        <f aca="false">IF(OR($B738="",$A738=""),0,IF(COUNTIFS($A$5:$A738,$A738,$B$5:$B738,$B738)=1,1,0))</f>
        <v>0</v>
      </c>
    </row>
    <row r="739" customFormat="false" ht="15" hidden="false" customHeight="false" outlineLevel="0" collapsed="false">
      <c r="A739" s="17"/>
      <c r="B739" s="13"/>
      <c r="C739" s="20" t="str">
        <f aca="false">IF($B739="","",IFERROR(INDEX(고객사!$B$5:$B$104,MATCH($B739,고객사!$A$5:$A$104,0)),"코드 확인"))</f>
        <v/>
      </c>
      <c r="D739" s="15"/>
      <c r="E739" s="15"/>
      <c r="F739" s="16"/>
      <c r="G739" s="16"/>
      <c r="H739" s="21" t="str">
        <f aca="false">IF(OR($B739="",F739=0),"",G739/F739)</f>
        <v/>
      </c>
      <c r="I739" s="22" t="str">
        <f aca="false">IF($B739="","",MAX(F739-G739,0))</f>
        <v/>
      </c>
      <c r="J739" s="23" t="str">
        <f aca="false">IF($B739="","",IFERROR(INDEX(고객사!$G$5:$G$104,MATCH($B739,고객사!$A$5:$A$104,0)),""))</f>
        <v/>
      </c>
      <c r="K739" s="16"/>
      <c r="L739" s="22" t="str">
        <f aca="false">IF($B739="","",K739*IFERROR(INDEX(고객사!$L$5:$L$104,MATCH($B739,고객사!$A$5:$A$104,0)),0))</f>
        <v/>
      </c>
      <c r="M739" s="23" t="str">
        <f aca="false">IF($B739="","",IF(AND(J739="N",G739&gt;0,K739=0,IFERROR(INDEX(고객사!$H$5:$H$104,MATCH($B739,고객사!$A$5:$A$104,0)),"")="자사 차량 운행"),"차량 미배정",""))</f>
        <v/>
      </c>
      <c r="N739" s="22" t="str">
        <f aca="false">IF($B739="","",IFERROR(INDEX(고객사!$J$5:$J$104,MATCH($B739,고객사!$A$5:$A$104,0)),0))</f>
        <v/>
      </c>
      <c r="O739" s="22" t="str">
        <f aca="false">IF($B739="","",G739*N739)</f>
        <v/>
      </c>
      <c r="P739" s="22" t="str">
        <f aca="false">IF($B739="","",IFERROR(INDEX(고객사!$K$5:$K$104,MATCH($B739,고객사!$A$5:$A$104,0)),0))</f>
        <v/>
      </c>
      <c r="Q739" s="22" t="str">
        <f aca="false">IF($B739="","",G739*P739)</f>
        <v/>
      </c>
      <c r="R739" s="22" t="str">
        <f aca="false">IF($B739="","",O739-Q739-L739)</f>
        <v/>
      </c>
      <c r="S739" s="21" t="str">
        <f aca="false">IF(OR($B739="",N(O739)=0),"",R739/O739)</f>
        <v/>
      </c>
      <c r="T739" s="14"/>
      <c r="U739" s="19" t="n">
        <f aca="false">IF(OR($B739="",$A739=""),0,IF(COUNTIFS($A$5:$A739,$A739,$B$5:$B739,$B739)=1,1,0))</f>
        <v>0</v>
      </c>
    </row>
    <row r="740" customFormat="false" ht="15" hidden="false" customHeight="false" outlineLevel="0" collapsed="false">
      <c r="A740" s="17"/>
      <c r="B740" s="13"/>
      <c r="C740" s="20" t="str">
        <f aca="false">IF($B740="","",IFERROR(INDEX(고객사!$B$5:$B$104,MATCH($B740,고객사!$A$5:$A$104,0)),"코드 확인"))</f>
        <v/>
      </c>
      <c r="D740" s="15"/>
      <c r="E740" s="15"/>
      <c r="F740" s="16"/>
      <c r="G740" s="16"/>
      <c r="H740" s="21" t="str">
        <f aca="false">IF(OR($B740="",F740=0),"",G740/F740)</f>
        <v/>
      </c>
      <c r="I740" s="22" t="str">
        <f aca="false">IF($B740="","",MAX(F740-G740,0))</f>
        <v/>
      </c>
      <c r="J740" s="23" t="str">
        <f aca="false">IF($B740="","",IFERROR(INDEX(고객사!$G$5:$G$104,MATCH($B740,고객사!$A$5:$A$104,0)),""))</f>
        <v/>
      </c>
      <c r="K740" s="16"/>
      <c r="L740" s="22" t="str">
        <f aca="false">IF($B740="","",K740*IFERROR(INDEX(고객사!$L$5:$L$104,MATCH($B740,고객사!$A$5:$A$104,0)),0))</f>
        <v/>
      </c>
      <c r="M740" s="23" t="str">
        <f aca="false">IF($B740="","",IF(AND(J740="N",G740&gt;0,K740=0,IFERROR(INDEX(고객사!$H$5:$H$104,MATCH($B740,고객사!$A$5:$A$104,0)),"")="자사 차량 운행"),"차량 미배정",""))</f>
        <v/>
      </c>
      <c r="N740" s="22" t="str">
        <f aca="false">IF($B740="","",IFERROR(INDEX(고객사!$J$5:$J$104,MATCH($B740,고객사!$A$5:$A$104,0)),0))</f>
        <v/>
      </c>
      <c r="O740" s="22" t="str">
        <f aca="false">IF($B740="","",G740*N740)</f>
        <v/>
      </c>
      <c r="P740" s="22" t="str">
        <f aca="false">IF($B740="","",IFERROR(INDEX(고객사!$K$5:$K$104,MATCH($B740,고객사!$A$5:$A$104,0)),0))</f>
        <v/>
      </c>
      <c r="Q740" s="22" t="str">
        <f aca="false">IF($B740="","",G740*P740)</f>
        <v/>
      </c>
      <c r="R740" s="22" t="str">
        <f aca="false">IF($B740="","",O740-Q740-L740)</f>
        <v/>
      </c>
      <c r="S740" s="21" t="str">
        <f aca="false">IF(OR($B740="",N(O740)=0),"",R740/O740)</f>
        <v/>
      </c>
      <c r="T740" s="14"/>
      <c r="U740" s="19" t="n">
        <f aca="false">IF(OR($B740="",$A740=""),0,IF(COUNTIFS($A$5:$A740,$A740,$B$5:$B740,$B740)=1,1,0))</f>
        <v>0</v>
      </c>
    </row>
    <row r="741" customFormat="false" ht="15" hidden="false" customHeight="false" outlineLevel="0" collapsed="false">
      <c r="A741" s="17"/>
      <c r="B741" s="13"/>
      <c r="C741" s="20" t="str">
        <f aca="false">IF($B741="","",IFERROR(INDEX(고객사!$B$5:$B$104,MATCH($B741,고객사!$A$5:$A$104,0)),"코드 확인"))</f>
        <v/>
      </c>
      <c r="D741" s="15"/>
      <c r="E741" s="15"/>
      <c r="F741" s="16"/>
      <c r="G741" s="16"/>
      <c r="H741" s="21" t="str">
        <f aca="false">IF(OR($B741="",F741=0),"",G741/F741)</f>
        <v/>
      </c>
      <c r="I741" s="22" t="str">
        <f aca="false">IF($B741="","",MAX(F741-G741,0))</f>
        <v/>
      </c>
      <c r="J741" s="23" t="str">
        <f aca="false">IF($B741="","",IFERROR(INDEX(고객사!$G$5:$G$104,MATCH($B741,고객사!$A$5:$A$104,0)),""))</f>
        <v/>
      </c>
      <c r="K741" s="16"/>
      <c r="L741" s="22" t="str">
        <f aca="false">IF($B741="","",K741*IFERROR(INDEX(고객사!$L$5:$L$104,MATCH($B741,고객사!$A$5:$A$104,0)),0))</f>
        <v/>
      </c>
      <c r="M741" s="23" t="str">
        <f aca="false">IF($B741="","",IF(AND(J741="N",G741&gt;0,K741=0,IFERROR(INDEX(고객사!$H$5:$H$104,MATCH($B741,고객사!$A$5:$A$104,0)),"")="자사 차량 운행"),"차량 미배정",""))</f>
        <v/>
      </c>
      <c r="N741" s="22" t="str">
        <f aca="false">IF($B741="","",IFERROR(INDEX(고객사!$J$5:$J$104,MATCH($B741,고객사!$A$5:$A$104,0)),0))</f>
        <v/>
      </c>
      <c r="O741" s="22" t="str">
        <f aca="false">IF($B741="","",G741*N741)</f>
        <v/>
      </c>
      <c r="P741" s="22" t="str">
        <f aca="false">IF($B741="","",IFERROR(INDEX(고객사!$K$5:$K$104,MATCH($B741,고객사!$A$5:$A$104,0)),0))</f>
        <v/>
      </c>
      <c r="Q741" s="22" t="str">
        <f aca="false">IF($B741="","",G741*P741)</f>
        <v/>
      </c>
      <c r="R741" s="22" t="str">
        <f aca="false">IF($B741="","",O741-Q741-L741)</f>
        <v/>
      </c>
      <c r="S741" s="21" t="str">
        <f aca="false">IF(OR($B741="",N(O741)=0),"",R741/O741)</f>
        <v/>
      </c>
      <c r="T741" s="14"/>
      <c r="U741" s="19" t="n">
        <f aca="false">IF(OR($B741="",$A741=""),0,IF(COUNTIFS($A$5:$A741,$A741,$B$5:$B741,$B741)=1,1,0))</f>
        <v>0</v>
      </c>
    </row>
    <row r="742" customFormat="false" ht="15" hidden="false" customHeight="false" outlineLevel="0" collapsed="false">
      <c r="A742" s="17"/>
      <c r="B742" s="13"/>
      <c r="C742" s="20" t="str">
        <f aca="false">IF($B742="","",IFERROR(INDEX(고객사!$B$5:$B$104,MATCH($B742,고객사!$A$5:$A$104,0)),"코드 확인"))</f>
        <v/>
      </c>
      <c r="D742" s="15"/>
      <c r="E742" s="15"/>
      <c r="F742" s="16"/>
      <c r="G742" s="16"/>
      <c r="H742" s="21" t="str">
        <f aca="false">IF(OR($B742="",F742=0),"",G742/F742)</f>
        <v/>
      </c>
      <c r="I742" s="22" t="str">
        <f aca="false">IF($B742="","",MAX(F742-G742,0))</f>
        <v/>
      </c>
      <c r="J742" s="23" t="str">
        <f aca="false">IF($B742="","",IFERROR(INDEX(고객사!$G$5:$G$104,MATCH($B742,고객사!$A$5:$A$104,0)),""))</f>
        <v/>
      </c>
      <c r="K742" s="16"/>
      <c r="L742" s="22" t="str">
        <f aca="false">IF($B742="","",K742*IFERROR(INDEX(고객사!$L$5:$L$104,MATCH($B742,고객사!$A$5:$A$104,0)),0))</f>
        <v/>
      </c>
      <c r="M742" s="23" t="str">
        <f aca="false">IF($B742="","",IF(AND(J742="N",G742&gt;0,K742=0,IFERROR(INDEX(고객사!$H$5:$H$104,MATCH($B742,고객사!$A$5:$A$104,0)),"")="자사 차량 운행"),"차량 미배정",""))</f>
        <v/>
      </c>
      <c r="N742" s="22" t="str">
        <f aca="false">IF($B742="","",IFERROR(INDEX(고객사!$J$5:$J$104,MATCH($B742,고객사!$A$5:$A$104,0)),0))</f>
        <v/>
      </c>
      <c r="O742" s="22" t="str">
        <f aca="false">IF($B742="","",G742*N742)</f>
        <v/>
      </c>
      <c r="P742" s="22" t="str">
        <f aca="false">IF($B742="","",IFERROR(INDEX(고객사!$K$5:$K$104,MATCH($B742,고객사!$A$5:$A$104,0)),0))</f>
        <v/>
      </c>
      <c r="Q742" s="22" t="str">
        <f aca="false">IF($B742="","",G742*P742)</f>
        <v/>
      </c>
      <c r="R742" s="22" t="str">
        <f aca="false">IF($B742="","",O742-Q742-L742)</f>
        <v/>
      </c>
      <c r="S742" s="21" t="str">
        <f aca="false">IF(OR($B742="",N(O742)=0),"",R742/O742)</f>
        <v/>
      </c>
      <c r="T742" s="14"/>
      <c r="U742" s="19" t="n">
        <f aca="false">IF(OR($B742="",$A742=""),0,IF(COUNTIFS($A$5:$A742,$A742,$B$5:$B742,$B742)=1,1,0))</f>
        <v>0</v>
      </c>
    </row>
    <row r="743" customFormat="false" ht="15" hidden="false" customHeight="false" outlineLevel="0" collapsed="false">
      <c r="A743" s="17"/>
      <c r="B743" s="13"/>
      <c r="C743" s="20" t="str">
        <f aca="false">IF($B743="","",IFERROR(INDEX(고객사!$B$5:$B$104,MATCH($B743,고객사!$A$5:$A$104,0)),"코드 확인"))</f>
        <v/>
      </c>
      <c r="D743" s="15"/>
      <c r="E743" s="15"/>
      <c r="F743" s="16"/>
      <c r="G743" s="16"/>
      <c r="H743" s="21" t="str">
        <f aca="false">IF(OR($B743="",F743=0),"",G743/F743)</f>
        <v/>
      </c>
      <c r="I743" s="22" t="str">
        <f aca="false">IF($B743="","",MAX(F743-G743,0))</f>
        <v/>
      </c>
      <c r="J743" s="23" t="str">
        <f aca="false">IF($B743="","",IFERROR(INDEX(고객사!$G$5:$G$104,MATCH($B743,고객사!$A$5:$A$104,0)),""))</f>
        <v/>
      </c>
      <c r="K743" s="16"/>
      <c r="L743" s="22" t="str">
        <f aca="false">IF($B743="","",K743*IFERROR(INDEX(고객사!$L$5:$L$104,MATCH($B743,고객사!$A$5:$A$104,0)),0))</f>
        <v/>
      </c>
      <c r="M743" s="23" t="str">
        <f aca="false">IF($B743="","",IF(AND(J743="N",G743&gt;0,K743=0,IFERROR(INDEX(고객사!$H$5:$H$104,MATCH($B743,고객사!$A$5:$A$104,0)),"")="자사 차량 운행"),"차량 미배정",""))</f>
        <v/>
      </c>
      <c r="N743" s="22" t="str">
        <f aca="false">IF($B743="","",IFERROR(INDEX(고객사!$J$5:$J$104,MATCH($B743,고객사!$A$5:$A$104,0)),0))</f>
        <v/>
      </c>
      <c r="O743" s="22" t="str">
        <f aca="false">IF($B743="","",G743*N743)</f>
        <v/>
      </c>
      <c r="P743" s="22" t="str">
        <f aca="false">IF($B743="","",IFERROR(INDEX(고객사!$K$5:$K$104,MATCH($B743,고객사!$A$5:$A$104,0)),0))</f>
        <v/>
      </c>
      <c r="Q743" s="22" t="str">
        <f aca="false">IF($B743="","",G743*P743)</f>
        <v/>
      </c>
      <c r="R743" s="22" t="str">
        <f aca="false">IF($B743="","",O743-Q743-L743)</f>
        <v/>
      </c>
      <c r="S743" s="21" t="str">
        <f aca="false">IF(OR($B743="",N(O743)=0),"",R743/O743)</f>
        <v/>
      </c>
      <c r="T743" s="14"/>
      <c r="U743" s="19" t="n">
        <f aca="false">IF(OR($B743="",$A743=""),0,IF(COUNTIFS($A$5:$A743,$A743,$B$5:$B743,$B743)=1,1,0))</f>
        <v>0</v>
      </c>
    </row>
    <row r="744" customFormat="false" ht="15" hidden="false" customHeight="false" outlineLevel="0" collapsed="false">
      <c r="A744" s="17"/>
      <c r="B744" s="13"/>
      <c r="C744" s="20" t="str">
        <f aca="false">IF($B744="","",IFERROR(INDEX(고객사!$B$5:$B$104,MATCH($B744,고객사!$A$5:$A$104,0)),"코드 확인"))</f>
        <v/>
      </c>
      <c r="D744" s="15"/>
      <c r="E744" s="15"/>
      <c r="F744" s="16"/>
      <c r="G744" s="16"/>
      <c r="H744" s="21" t="str">
        <f aca="false">IF(OR($B744="",F744=0),"",G744/F744)</f>
        <v/>
      </c>
      <c r="I744" s="22" t="str">
        <f aca="false">IF($B744="","",MAX(F744-G744,0))</f>
        <v/>
      </c>
      <c r="J744" s="23" t="str">
        <f aca="false">IF($B744="","",IFERROR(INDEX(고객사!$G$5:$G$104,MATCH($B744,고객사!$A$5:$A$104,0)),""))</f>
        <v/>
      </c>
      <c r="K744" s="16"/>
      <c r="L744" s="22" t="str">
        <f aca="false">IF($B744="","",K744*IFERROR(INDEX(고객사!$L$5:$L$104,MATCH($B744,고객사!$A$5:$A$104,0)),0))</f>
        <v/>
      </c>
      <c r="M744" s="23" t="str">
        <f aca="false">IF($B744="","",IF(AND(J744="N",G744&gt;0,K744=0,IFERROR(INDEX(고객사!$H$5:$H$104,MATCH($B744,고객사!$A$5:$A$104,0)),"")="자사 차량 운행"),"차량 미배정",""))</f>
        <v/>
      </c>
      <c r="N744" s="22" t="str">
        <f aca="false">IF($B744="","",IFERROR(INDEX(고객사!$J$5:$J$104,MATCH($B744,고객사!$A$5:$A$104,0)),0))</f>
        <v/>
      </c>
      <c r="O744" s="22" t="str">
        <f aca="false">IF($B744="","",G744*N744)</f>
        <v/>
      </c>
      <c r="P744" s="22" t="str">
        <f aca="false">IF($B744="","",IFERROR(INDEX(고객사!$K$5:$K$104,MATCH($B744,고객사!$A$5:$A$104,0)),0))</f>
        <v/>
      </c>
      <c r="Q744" s="22" t="str">
        <f aca="false">IF($B744="","",G744*P744)</f>
        <v/>
      </c>
      <c r="R744" s="22" t="str">
        <f aca="false">IF($B744="","",O744-Q744-L744)</f>
        <v/>
      </c>
      <c r="S744" s="21" t="str">
        <f aca="false">IF(OR($B744="",N(O744)=0),"",R744/O744)</f>
        <v/>
      </c>
      <c r="T744" s="14"/>
      <c r="U744" s="19" t="n">
        <f aca="false">IF(OR($B744="",$A744=""),0,IF(COUNTIFS($A$5:$A744,$A744,$B$5:$B744,$B744)=1,1,0))</f>
        <v>0</v>
      </c>
    </row>
    <row r="745" customFormat="false" ht="15" hidden="false" customHeight="false" outlineLevel="0" collapsed="false">
      <c r="A745" s="17"/>
      <c r="B745" s="13"/>
      <c r="C745" s="20" t="str">
        <f aca="false">IF($B745="","",IFERROR(INDEX(고객사!$B$5:$B$104,MATCH($B745,고객사!$A$5:$A$104,0)),"코드 확인"))</f>
        <v/>
      </c>
      <c r="D745" s="15"/>
      <c r="E745" s="15"/>
      <c r="F745" s="16"/>
      <c r="G745" s="16"/>
      <c r="H745" s="21" t="str">
        <f aca="false">IF(OR($B745="",F745=0),"",G745/F745)</f>
        <v/>
      </c>
      <c r="I745" s="22" t="str">
        <f aca="false">IF($B745="","",MAX(F745-G745,0))</f>
        <v/>
      </c>
      <c r="J745" s="23" t="str">
        <f aca="false">IF($B745="","",IFERROR(INDEX(고객사!$G$5:$G$104,MATCH($B745,고객사!$A$5:$A$104,0)),""))</f>
        <v/>
      </c>
      <c r="K745" s="16"/>
      <c r="L745" s="22" t="str">
        <f aca="false">IF($B745="","",K745*IFERROR(INDEX(고객사!$L$5:$L$104,MATCH($B745,고객사!$A$5:$A$104,0)),0))</f>
        <v/>
      </c>
      <c r="M745" s="23" t="str">
        <f aca="false">IF($B745="","",IF(AND(J745="N",G745&gt;0,K745=0,IFERROR(INDEX(고객사!$H$5:$H$104,MATCH($B745,고객사!$A$5:$A$104,0)),"")="자사 차량 운행"),"차량 미배정",""))</f>
        <v/>
      </c>
      <c r="N745" s="22" t="str">
        <f aca="false">IF($B745="","",IFERROR(INDEX(고객사!$J$5:$J$104,MATCH($B745,고객사!$A$5:$A$104,0)),0))</f>
        <v/>
      </c>
      <c r="O745" s="22" t="str">
        <f aca="false">IF($B745="","",G745*N745)</f>
        <v/>
      </c>
      <c r="P745" s="22" t="str">
        <f aca="false">IF($B745="","",IFERROR(INDEX(고객사!$K$5:$K$104,MATCH($B745,고객사!$A$5:$A$104,0)),0))</f>
        <v/>
      </c>
      <c r="Q745" s="22" t="str">
        <f aca="false">IF($B745="","",G745*P745)</f>
        <v/>
      </c>
      <c r="R745" s="22" t="str">
        <f aca="false">IF($B745="","",O745-Q745-L745)</f>
        <v/>
      </c>
      <c r="S745" s="21" t="str">
        <f aca="false">IF(OR($B745="",N(O745)=0),"",R745/O745)</f>
        <v/>
      </c>
      <c r="T745" s="14"/>
      <c r="U745" s="19" t="n">
        <f aca="false">IF(OR($B745="",$A745=""),0,IF(COUNTIFS($A$5:$A745,$A745,$B$5:$B745,$B745)=1,1,0))</f>
        <v>0</v>
      </c>
    </row>
    <row r="746" customFormat="false" ht="15" hidden="false" customHeight="false" outlineLevel="0" collapsed="false">
      <c r="A746" s="17"/>
      <c r="B746" s="13"/>
      <c r="C746" s="20" t="str">
        <f aca="false">IF($B746="","",IFERROR(INDEX(고객사!$B$5:$B$104,MATCH($B746,고객사!$A$5:$A$104,0)),"코드 확인"))</f>
        <v/>
      </c>
      <c r="D746" s="15"/>
      <c r="E746" s="15"/>
      <c r="F746" s="16"/>
      <c r="G746" s="16"/>
      <c r="H746" s="21" t="str">
        <f aca="false">IF(OR($B746="",F746=0),"",G746/F746)</f>
        <v/>
      </c>
      <c r="I746" s="22" t="str">
        <f aca="false">IF($B746="","",MAX(F746-G746,0))</f>
        <v/>
      </c>
      <c r="J746" s="23" t="str">
        <f aca="false">IF($B746="","",IFERROR(INDEX(고객사!$G$5:$G$104,MATCH($B746,고객사!$A$5:$A$104,0)),""))</f>
        <v/>
      </c>
      <c r="K746" s="16"/>
      <c r="L746" s="22" t="str">
        <f aca="false">IF($B746="","",K746*IFERROR(INDEX(고객사!$L$5:$L$104,MATCH($B746,고객사!$A$5:$A$104,0)),0))</f>
        <v/>
      </c>
      <c r="M746" s="23" t="str">
        <f aca="false">IF($B746="","",IF(AND(J746="N",G746&gt;0,K746=0,IFERROR(INDEX(고객사!$H$5:$H$104,MATCH($B746,고객사!$A$5:$A$104,0)),"")="자사 차량 운행"),"차량 미배정",""))</f>
        <v/>
      </c>
      <c r="N746" s="22" t="str">
        <f aca="false">IF($B746="","",IFERROR(INDEX(고객사!$J$5:$J$104,MATCH($B746,고객사!$A$5:$A$104,0)),0))</f>
        <v/>
      </c>
      <c r="O746" s="22" t="str">
        <f aca="false">IF($B746="","",G746*N746)</f>
        <v/>
      </c>
      <c r="P746" s="22" t="str">
        <f aca="false">IF($B746="","",IFERROR(INDEX(고객사!$K$5:$K$104,MATCH($B746,고객사!$A$5:$A$104,0)),0))</f>
        <v/>
      </c>
      <c r="Q746" s="22" t="str">
        <f aca="false">IF($B746="","",G746*P746)</f>
        <v/>
      </c>
      <c r="R746" s="22" t="str">
        <f aca="false">IF($B746="","",O746-Q746-L746)</f>
        <v/>
      </c>
      <c r="S746" s="21" t="str">
        <f aca="false">IF(OR($B746="",N(O746)=0),"",R746/O746)</f>
        <v/>
      </c>
      <c r="T746" s="14"/>
      <c r="U746" s="19" t="n">
        <f aca="false">IF(OR($B746="",$A746=""),0,IF(COUNTIFS($A$5:$A746,$A746,$B$5:$B746,$B746)=1,1,0))</f>
        <v>0</v>
      </c>
    </row>
    <row r="747" customFormat="false" ht="15" hidden="false" customHeight="false" outlineLevel="0" collapsed="false">
      <c r="A747" s="17"/>
      <c r="B747" s="13"/>
      <c r="C747" s="20" t="str">
        <f aca="false">IF($B747="","",IFERROR(INDEX(고객사!$B$5:$B$104,MATCH($B747,고객사!$A$5:$A$104,0)),"코드 확인"))</f>
        <v/>
      </c>
      <c r="D747" s="15"/>
      <c r="E747" s="15"/>
      <c r="F747" s="16"/>
      <c r="G747" s="16"/>
      <c r="H747" s="21" t="str">
        <f aca="false">IF(OR($B747="",F747=0),"",G747/F747)</f>
        <v/>
      </c>
      <c r="I747" s="22" t="str">
        <f aca="false">IF($B747="","",MAX(F747-G747,0))</f>
        <v/>
      </c>
      <c r="J747" s="23" t="str">
        <f aca="false">IF($B747="","",IFERROR(INDEX(고객사!$G$5:$G$104,MATCH($B747,고객사!$A$5:$A$104,0)),""))</f>
        <v/>
      </c>
      <c r="K747" s="16"/>
      <c r="L747" s="22" t="str">
        <f aca="false">IF($B747="","",K747*IFERROR(INDEX(고객사!$L$5:$L$104,MATCH($B747,고객사!$A$5:$A$104,0)),0))</f>
        <v/>
      </c>
      <c r="M747" s="23" t="str">
        <f aca="false">IF($B747="","",IF(AND(J747="N",G747&gt;0,K747=0,IFERROR(INDEX(고객사!$H$5:$H$104,MATCH($B747,고객사!$A$5:$A$104,0)),"")="자사 차량 운행"),"차량 미배정",""))</f>
        <v/>
      </c>
      <c r="N747" s="22" t="str">
        <f aca="false">IF($B747="","",IFERROR(INDEX(고객사!$J$5:$J$104,MATCH($B747,고객사!$A$5:$A$104,0)),0))</f>
        <v/>
      </c>
      <c r="O747" s="22" t="str">
        <f aca="false">IF($B747="","",G747*N747)</f>
        <v/>
      </c>
      <c r="P747" s="22" t="str">
        <f aca="false">IF($B747="","",IFERROR(INDEX(고객사!$K$5:$K$104,MATCH($B747,고객사!$A$5:$A$104,0)),0))</f>
        <v/>
      </c>
      <c r="Q747" s="22" t="str">
        <f aca="false">IF($B747="","",G747*P747)</f>
        <v/>
      </c>
      <c r="R747" s="22" t="str">
        <f aca="false">IF($B747="","",O747-Q747-L747)</f>
        <v/>
      </c>
      <c r="S747" s="21" t="str">
        <f aca="false">IF(OR($B747="",N(O747)=0),"",R747/O747)</f>
        <v/>
      </c>
      <c r="T747" s="14"/>
      <c r="U747" s="19" t="n">
        <f aca="false">IF(OR($B747="",$A747=""),0,IF(COUNTIFS($A$5:$A747,$A747,$B$5:$B747,$B747)=1,1,0))</f>
        <v>0</v>
      </c>
    </row>
    <row r="748" customFormat="false" ht="15" hidden="false" customHeight="false" outlineLevel="0" collapsed="false">
      <c r="A748" s="17"/>
      <c r="B748" s="13"/>
      <c r="C748" s="20" t="str">
        <f aca="false">IF($B748="","",IFERROR(INDEX(고객사!$B$5:$B$104,MATCH($B748,고객사!$A$5:$A$104,0)),"코드 확인"))</f>
        <v/>
      </c>
      <c r="D748" s="15"/>
      <c r="E748" s="15"/>
      <c r="F748" s="16"/>
      <c r="G748" s="16"/>
      <c r="H748" s="21" t="str">
        <f aca="false">IF(OR($B748="",F748=0),"",G748/F748)</f>
        <v/>
      </c>
      <c r="I748" s="22" t="str">
        <f aca="false">IF($B748="","",MAX(F748-G748,0))</f>
        <v/>
      </c>
      <c r="J748" s="23" t="str">
        <f aca="false">IF($B748="","",IFERROR(INDEX(고객사!$G$5:$G$104,MATCH($B748,고객사!$A$5:$A$104,0)),""))</f>
        <v/>
      </c>
      <c r="K748" s="16"/>
      <c r="L748" s="22" t="str">
        <f aca="false">IF($B748="","",K748*IFERROR(INDEX(고객사!$L$5:$L$104,MATCH($B748,고객사!$A$5:$A$104,0)),0))</f>
        <v/>
      </c>
      <c r="M748" s="23" t="str">
        <f aca="false">IF($B748="","",IF(AND(J748="N",G748&gt;0,K748=0,IFERROR(INDEX(고객사!$H$5:$H$104,MATCH($B748,고객사!$A$5:$A$104,0)),"")="자사 차량 운행"),"차량 미배정",""))</f>
        <v/>
      </c>
      <c r="N748" s="22" t="str">
        <f aca="false">IF($B748="","",IFERROR(INDEX(고객사!$J$5:$J$104,MATCH($B748,고객사!$A$5:$A$104,0)),0))</f>
        <v/>
      </c>
      <c r="O748" s="22" t="str">
        <f aca="false">IF($B748="","",G748*N748)</f>
        <v/>
      </c>
      <c r="P748" s="22" t="str">
        <f aca="false">IF($B748="","",IFERROR(INDEX(고객사!$K$5:$K$104,MATCH($B748,고객사!$A$5:$A$104,0)),0))</f>
        <v/>
      </c>
      <c r="Q748" s="22" t="str">
        <f aca="false">IF($B748="","",G748*P748)</f>
        <v/>
      </c>
      <c r="R748" s="22" t="str">
        <f aca="false">IF($B748="","",O748-Q748-L748)</f>
        <v/>
      </c>
      <c r="S748" s="21" t="str">
        <f aca="false">IF(OR($B748="",N(O748)=0),"",R748/O748)</f>
        <v/>
      </c>
      <c r="T748" s="14"/>
      <c r="U748" s="19" t="n">
        <f aca="false">IF(OR($B748="",$A748=""),0,IF(COUNTIFS($A$5:$A748,$A748,$B$5:$B748,$B748)=1,1,0))</f>
        <v>0</v>
      </c>
    </row>
    <row r="749" customFormat="false" ht="15" hidden="false" customHeight="false" outlineLevel="0" collapsed="false">
      <c r="A749" s="17"/>
      <c r="B749" s="13"/>
      <c r="C749" s="20" t="str">
        <f aca="false">IF($B749="","",IFERROR(INDEX(고객사!$B$5:$B$104,MATCH($B749,고객사!$A$5:$A$104,0)),"코드 확인"))</f>
        <v/>
      </c>
      <c r="D749" s="15"/>
      <c r="E749" s="15"/>
      <c r="F749" s="16"/>
      <c r="G749" s="16"/>
      <c r="H749" s="21" t="str">
        <f aca="false">IF(OR($B749="",F749=0),"",G749/F749)</f>
        <v/>
      </c>
      <c r="I749" s="22" t="str">
        <f aca="false">IF($B749="","",MAX(F749-G749,0))</f>
        <v/>
      </c>
      <c r="J749" s="23" t="str">
        <f aca="false">IF($B749="","",IFERROR(INDEX(고객사!$G$5:$G$104,MATCH($B749,고객사!$A$5:$A$104,0)),""))</f>
        <v/>
      </c>
      <c r="K749" s="16"/>
      <c r="L749" s="22" t="str">
        <f aca="false">IF($B749="","",K749*IFERROR(INDEX(고객사!$L$5:$L$104,MATCH($B749,고객사!$A$5:$A$104,0)),0))</f>
        <v/>
      </c>
      <c r="M749" s="23" t="str">
        <f aca="false">IF($B749="","",IF(AND(J749="N",G749&gt;0,K749=0,IFERROR(INDEX(고객사!$H$5:$H$104,MATCH($B749,고객사!$A$5:$A$104,0)),"")="자사 차량 운행"),"차량 미배정",""))</f>
        <v/>
      </c>
      <c r="N749" s="22" t="str">
        <f aca="false">IF($B749="","",IFERROR(INDEX(고객사!$J$5:$J$104,MATCH($B749,고객사!$A$5:$A$104,0)),0))</f>
        <v/>
      </c>
      <c r="O749" s="22" t="str">
        <f aca="false">IF($B749="","",G749*N749)</f>
        <v/>
      </c>
      <c r="P749" s="22" t="str">
        <f aca="false">IF($B749="","",IFERROR(INDEX(고객사!$K$5:$K$104,MATCH($B749,고객사!$A$5:$A$104,0)),0))</f>
        <v/>
      </c>
      <c r="Q749" s="22" t="str">
        <f aca="false">IF($B749="","",G749*P749)</f>
        <v/>
      </c>
      <c r="R749" s="22" t="str">
        <f aca="false">IF($B749="","",O749-Q749-L749)</f>
        <v/>
      </c>
      <c r="S749" s="21" t="str">
        <f aca="false">IF(OR($B749="",N(O749)=0),"",R749/O749)</f>
        <v/>
      </c>
      <c r="T749" s="14"/>
      <c r="U749" s="19" t="n">
        <f aca="false">IF(OR($B749="",$A749=""),0,IF(COUNTIFS($A$5:$A749,$A749,$B$5:$B749,$B749)=1,1,0))</f>
        <v>0</v>
      </c>
    </row>
    <row r="750" customFormat="false" ht="15" hidden="false" customHeight="false" outlineLevel="0" collapsed="false">
      <c r="A750" s="17"/>
      <c r="B750" s="13"/>
      <c r="C750" s="20" t="str">
        <f aca="false">IF($B750="","",IFERROR(INDEX(고객사!$B$5:$B$104,MATCH($B750,고객사!$A$5:$A$104,0)),"코드 확인"))</f>
        <v/>
      </c>
      <c r="D750" s="15"/>
      <c r="E750" s="15"/>
      <c r="F750" s="16"/>
      <c r="G750" s="16"/>
      <c r="H750" s="21" t="str">
        <f aca="false">IF(OR($B750="",F750=0),"",G750/F750)</f>
        <v/>
      </c>
      <c r="I750" s="22" t="str">
        <f aca="false">IF($B750="","",MAX(F750-G750,0))</f>
        <v/>
      </c>
      <c r="J750" s="23" t="str">
        <f aca="false">IF($B750="","",IFERROR(INDEX(고객사!$G$5:$G$104,MATCH($B750,고객사!$A$5:$A$104,0)),""))</f>
        <v/>
      </c>
      <c r="K750" s="16"/>
      <c r="L750" s="22" t="str">
        <f aca="false">IF($B750="","",K750*IFERROR(INDEX(고객사!$L$5:$L$104,MATCH($B750,고객사!$A$5:$A$104,0)),0))</f>
        <v/>
      </c>
      <c r="M750" s="23" t="str">
        <f aca="false">IF($B750="","",IF(AND(J750="N",G750&gt;0,K750=0,IFERROR(INDEX(고객사!$H$5:$H$104,MATCH($B750,고객사!$A$5:$A$104,0)),"")="자사 차량 운행"),"차량 미배정",""))</f>
        <v/>
      </c>
      <c r="N750" s="22" t="str">
        <f aca="false">IF($B750="","",IFERROR(INDEX(고객사!$J$5:$J$104,MATCH($B750,고객사!$A$5:$A$104,0)),0))</f>
        <v/>
      </c>
      <c r="O750" s="22" t="str">
        <f aca="false">IF($B750="","",G750*N750)</f>
        <v/>
      </c>
      <c r="P750" s="22" t="str">
        <f aca="false">IF($B750="","",IFERROR(INDEX(고객사!$K$5:$K$104,MATCH($B750,고객사!$A$5:$A$104,0)),0))</f>
        <v/>
      </c>
      <c r="Q750" s="22" t="str">
        <f aca="false">IF($B750="","",G750*P750)</f>
        <v/>
      </c>
      <c r="R750" s="22" t="str">
        <f aca="false">IF($B750="","",O750-Q750-L750)</f>
        <v/>
      </c>
      <c r="S750" s="21" t="str">
        <f aca="false">IF(OR($B750="",N(O750)=0),"",R750/O750)</f>
        <v/>
      </c>
      <c r="T750" s="14"/>
      <c r="U750" s="19" t="n">
        <f aca="false">IF(OR($B750="",$A750=""),0,IF(COUNTIFS($A$5:$A750,$A750,$B$5:$B750,$B750)=1,1,0))</f>
        <v>0</v>
      </c>
    </row>
    <row r="751" customFormat="false" ht="15" hidden="false" customHeight="false" outlineLevel="0" collapsed="false">
      <c r="A751" s="17"/>
      <c r="B751" s="13"/>
      <c r="C751" s="20" t="str">
        <f aca="false">IF($B751="","",IFERROR(INDEX(고객사!$B$5:$B$104,MATCH($B751,고객사!$A$5:$A$104,0)),"코드 확인"))</f>
        <v/>
      </c>
      <c r="D751" s="15"/>
      <c r="E751" s="15"/>
      <c r="F751" s="16"/>
      <c r="G751" s="16"/>
      <c r="H751" s="21" t="str">
        <f aca="false">IF(OR($B751="",F751=0),"",G751/F751)</f>
        <v/>
      </c>
      <c r="I751" s="22" t="str">
        <f aca="false">IF($B751="","",MAX(F751-G751,0))</f>
        <v/>
      </c>
      <c r="J751" s="23" t="str">
        <f aca="false">IF($B751="","",IFERROR(INDEX(고객사!$G$5:$G$104,MATCH($B751,고객사!$A$5:$A$104,0)),""))</f>
        <v/>
      </c>
      <c r="K751" s="16"/>
      <c r="L751" s="22" t="str">
        <f aca="false">IF($B751="","",K751*IFERROR(INDEX(고객사!$L$5:$L$104,MATCH($B751,고객사!$A$5:$A$104,0)),0))</f>
        <v/>
      </c>
      <c r="M751" s="23" t="str">
        <f aca="false">IF($B751="","",IF(AND(J751="N",G751&gt;0,K751=0,IFERROR(INDEX(고객사!$H$5:$H$104,MATCH($B751,고객사!$A$5:$A$104,0)),"")="자사 차량 운행"),"차량 미배정",""))</f>
        <v/>
      </c>
      <c r="N751" s="22" t="str">
        <f aca="false">IF($B751="","",IFERROR(INDEX(고객사!$J$5:$J$104,MATCH($B751,고객사!$A$5:$A$104,0)),0))</f>
        <v/>
      </c>
      <c r="O751" s="22" t="str">
        <f aca="false">IF($B751="","",G751*N751)</f>
        <v/>
      </c>
      <c r="P751" s="22" t="str">
        <f aca="false">IF($B751="","",IFERROR(INDEX(고객사!$K$5:$K$104,MATCH($B751,고객사!$A$5:$A$104,0)),0))</f>
        <v/>
      </c>
      <c r="Q751" s="22" t="str">
        <f aca="false">IF($B751="","",G751*P751)</f>
        <v/>
      </c>
      <c r="R751" s="22" t="str">
        <f aca="false">IF($B751="","",O751-Q751-L751)</f>
        <v/>
      </c>
      <c r="S751" s="21" t="str">
        <f aca="false">IF(OR($B751="",N(O751)=0),"",R751/O751)</f>
        <v/>
      </c>
      <c r="T751" s="14"/>
      <c r="U751" s="19" t="n">
        <f aca="false">IF(OR($B751="",$A751=""),0,IF(COUNTIFS($A$5:$A751,$A751,$B$5:$B751,$B751)=1,1,0))</f>
        <v>0</v>
      </c>
    </row>
    <row r="752" customFormat="false" ht="15" hidden="false" customHeight="false" outlineLevel="0" collapsed="false">
      <c r="A752" s="17"/>
      <c r="B752" s="13"/>
      <c r="C752" s="20" t="str">
        <f aca="false">IF($B752="","",IFERROR(INDEX(고객사!$B$5:$B$104,MATCH($B752,고객사!$A$5:$A$104,0)),"코드 확인"))</f>
        <v/>
      </c>
      <c r="D752" s="15"/>
      <c r="E752" s="15"/>
      <c r="F752" s="16"/>
      <c r="G752" s="16"/>
      <c r="H752" s="21" t="str">
        <f aca="false">IF(OR($B752="",F752=0),"",G752/F752)</f>
        <v/>
      </c>
      <c r="I752" s="22" t="str">
        <f aca="false">IF($B752="","",MAX(F752-G752,0))</f>
        <v/>
      </c>
      <c r="J752" s="23" t="str">
        <f aca="false">IF($B752="","",IFERROR(INDEX(고객사!$G$5:$G$104,MATCH($B752,고객사!$A$5:$A$104,0)),""))</f>
        <v/>
      </c>
      <c r="K752" s="16"/>
      <c r="L752" s="22" t="str">
        <f aca="false">IF($B752="","",K752*IFERROR(INDEX(고객사!$L$5:$L$104,MATCH($B752,고객사!$A$5:$A$104,0)),0))</f>
        <v/>
      </c>
      <c r="M752" s="23" t="str">
        <f aca="false">IF($B752="","",IF(AND(J752="N",G752&gt;0,K752=0,IFERROR(INDEX(고객사!$H$5:$H$104,MATCH($B752,고객사!$A$5:$A$104,0)),"")="자사 차량 운행"),"차량 미배정",""))</f>
        <v/>
      </c>
      <c r="N752" s="22" t="str">
        <f aca="false">IF($B752="","",IFERROR(INDEX(고객사!$J$5:$J$104,MATCH($B752,고객사!$A$5:$A$104,0)),0))</f>
        <v/>
      </c>
      <c r="O752" s="22" t="str">
        <f aca="false">IF($B752="","",G752*N752)</f>
        <v/>
      </c>
      <c r="P752" s="22" t="str">
        <f aca="false">IF($B752="","",IFERROR(INDEX(고객사!$K$5:$K$104,MATCH($B752,고객사!$A$5:$A$104,0)),0))</f>
        <v/>
      </c>
      <c r="Q752" s="22" t="str">
        <f aca="false">IF($B752="","",G752*P752)</f>
        <v/>
      </c>
      <c r="R752" s="22" t="str">
        <f aca="false">IF($B752="","",O752-Q752-L752)</f>
        <v/>
      </c>
      <c r="S752" s="21" t="str">
        <f aca="false">IF(OR($B752="",N(O752)=0),"",R752/O752)</f>
        <v/>
      </c>
      <c r="T752" s="14"/>
      <c r="U752" s="19" t="n">
        <f aca="false">IF(OR($B752="",$A752=""),0,IF(COUNTIFS($A$5:$A752,$A752,$B$5:$B752,$B752)=1,1,0))</f>
        <v>0</v>
      </c>
    </row>
    <row r="753" customFormat="false" ht="15" hidden="false" customHeight="false" outlineLevel="0" collapsed="false">
      <c r="A753" s="17"/>
      <c r="B753" s="13"/>
      <c r="C753" s="20" t="str">
        <f aca="false">IF($B753="","",IFERROR(INDEX(고객사!$B$5:$B$104,MATCH($B753,고객사!$A$5:$A$104,0)),"코드 확인"))</f>
        <v/>
      </c>
      <c r="D753" s="15"/>
      <c r="E753" s="15"/>
      <c r="F753" s="16"/>
      <c r="G753" s="16"/>
      <c r="H753" s="21" t="str">
        <f aca="false">IF(OR($B753="",F753=0),"",G753/F753)</f>
        <v/>
      </c>
      <c r="I753" s="22" t="str">
        <f aca="false">IF($B753="","",MAX(F753-G753,0))</f>
        <v/>
      </c>
      <c r="J753" s="23" t="str">
        <f aca="false">IF($B753="","",IFERROR(INDEX(고객사!$G$5:$G$104,MATCH($B753,고객사!$A$5:$A$104,0)),""))</f>
        <v/>
      </c>
      <c r="K753" s="16"/>
      <c r="L753" s="22" t="str">
        <f aca="false">IF($B753="","",K753*IFERROR(INDEX(고객사!$L$5:$L$104,MATCH($B753,고객사!$A$5:$A$104,0)),0))</f>
        <v/>
      </c>
      <c r="M753" s="23" t="str">
        <f aca="false">IF($B753="","",IF(AND(J753="N",G753&gt;0,K753=0,IFERROR(INDEX(고객사!$H$5:$H$104,MATCH($B753,고객사!$A$5:$A$104,0)),"")="자사 차량 운행"),"차량 미배정",""))</f>
        <v/>
      </c>
      <c r="N753" s="22" t="str">
        <f aca="false">IF($B753="","",IFERROR(INDEX(고객사!$J$5:$J$104,MATCH($B753,고객사!$A$5:$A$104,0)),0))</f>
        <v/>
      </c>
      <c r="O753" s="22" t="str">
        <f aca="false">IF($B753="","",G753*N753)</f>
        <v/>
      </c>
      <c r="P753" s="22" t="str">
        <f aca="false">IF($B753="","",IFERROR(INDEX(고객사!$K$5:$K$104,MATCH($B753,고객사!$A$5:$A$104,0)),0))</f>
        <v/>
      </c>
      <c r="Q753" s="22" t="str">
        <f aca="false">IF($B753="","",G753*P753)</f>
        <v/>
      </c>
      <c r="R753" s="22" t="str">
        <f aca="false">IF($B753="","",O753-Q753-L753)</f>
        <v/>
      </c>
      <c r="S753" s="21" t="str">
        <f aca="false">IF(OR($B753="",N(O753)=0),"",R753/O753)</f>
        <v/>
      </c>
      <c r="T753" s="14"/>
      <c r="U753" s="19" t="n">
        <f aca="false">IF(OR($B753="",$A753=""),0,IF(COUNTIFS($A$5:$A753,$A753,$B$5:$B753,$B753)=1,1,0))</f>
        <v>0</v>
      </c>
    </row>
    <row r="754" customFormat="false" ht="15" hidden="false" customHeight="false" outlineLevel="0" collapsed="false">
      <c r="A754" s="17"/>
      <c r="B754" s="13"/>
      <c r="C754" s="20" t="str">
        <f aca="false">IF($B754="","",IFERROR(INDEX(고객사!$B$5:$B$104,MATCH($B754,고객사!$A$5:$A$104,0)),"코드 확인"))</f>
        <v/>
      </c>
      <c r="D754" s="15"/>
      <c r="E754" s="15"/>
      <c r="F754" s="16"/>
      <c r="G754" s="16"/>
      <c r="H754" s="21" t="str">
        <f aca="false">IF(OR($B754="",F754=0),"",G754/F754)</f>
        <v/>
      </c>
      <c r="I754" s="22" t="str">
        <f aca="false">IF($B754="","",MAX(F754-G754,0))</f>
        <v/>
      </c>
      <c r="J754" s="23" t="str">
        <f aca="false">IF($B754="","",IFERROR(INDEX(고객사!$G$5:$G$104,MATCH($B754,고객사!$A$5:$A$104,0)),""))</f>
        <v/>
      </c>
      <c r="K754" s="16"/>
      <c r="L754" s="22" t="str">
        <f aca="false">IF($B754="","",K754*IFERROR(INDEX(고객사!$L$5:$L$104,MATCH($B754,고객사!$A$5:$A$104,0)),0))</f>
        <v/>
      </c>
      <c r="M754" s="23" t="str">
        <f aca="false">IF($B754="","",IF(AND(J754="N",G754&gt;0,K754=0,IFERROR(INDEX(고객사!$H$5:$H$104,MATCH($B754,고객사!$A$5:$A$104,0)),"")="자사 차량 운행"),"차량 미배정",""))</f>
        <v/>
      </c>
      <c r="N754" s="22" t="str">
        <f aca="false">IF($B754="","",IFERROR(INDEX(고객사!$J$5:$J$104,MATCH($B754,고객사!$A$5:$A$104,0)),0))</f>
        <v/>
      </c>
      <c r="O754" s="22" t="str">
        <f aca="false">IF($B754="","",G754*N754)</f>
        <v/>
      </c>
      <c r="P754" s="22" t="str">
        <f aca="false">IF($B754="","",IFERROR(INDEX(고객사!$K$5:$K$104,MATCH($B754,고객사!$A$5:$A$104,0)),0))</f>
        <v/>
      </c>
      <c r="Q754" s="22" t="str">
        <f aca="false">IF($B754="","",G754*P754)</f>
        <v/>
      </c>
      <c r="R754" s="22" t="str">
        <f aca="false">IF($B754="","",O754-Q754-L754)</f>
        <v/>
      </c>
      <c r="S754" s="21" t="str">
        <f aca="false">IF(OR($B754="",N(O754)=0),"",R754/O754)</f>
        <v/>
      </c>
      <c r="T754" s="14"/>
      <c r="U754" s="19" t="n">
        <f aca="false">IF(OR($B754="",$A754=""),0,IF(COUNTIFS($A$5:$A754,$A754,$B$5:$B754,$B754)=1,1,0))</f>
        <v>0</v>
      </c>
    </row>
    <row r="755" customFormat="false" ht="15" hidden="false" customHeight="false" outlineLevel="0" collapsed="false">
      <c r="A755" s="17"/>
      <c r="B755" s="13"/>
      <c r="C755" s="20" t="str">
        <f aca="false">IF($B755="","",IFERROR(INDEX(고객사!$B$5:$B$104,MATCH($B755,고객사!$A$5:$A$104,0)),"코드 확인"))</f>
        <v/>
      </c>
      <c r="D755" s="15"/>
      <c r="E755" s="15"/>
      <c r="F755" s="16"/>
      <c r="G755" s="16"/>
      <c r="H755" s="21" t="str">
        <f aca="false">IF(OR($B755="",F755=0),"",G755/F755)</f>
        <v/>
      </c>
      <c r="I755" s="22" t="str">
        <f aca="false">IF($B755="","",MAX(F755-G755,0))</f>
        <v/>
      </c>
      <c r="J755" s="23" t="str">
        <f aca="false">IF($B755="","",IFERROR(INDEX(고객사!$G$5:$G$104,MATCH($B755,고객사!$A$5:$A$104,0)),""))</f>
        <v/>
      </c>
      <c r="K755" s="16"/>
      <c r="L755" s="22" t="str">
        <f aca="false">IF($B755="","",K755*IFERROR(INDEX(고객사!$L$5:$L$104,MATCH($B755,고객사!$A$5:$A$104,0)),0))</f>
        <v/>
      </c>
      <c r="M755" s="23" t="str">
        <f aca="false">IF($B755="","",IF(AND(J755="N",G755&gt;0,K755=0,IFERROR(INDEX(고객사!$H$5:$H$104,MATCH($B755,고객사!$A$5:$A$104,0)),"")="자사 차량 운행"),"차량 미배정",""))</f>
        <v/>
      </c>
      <c r="N755" s="22" t="str">
        <f aca="false">IF($B755="","",IFERROR(INDEX(고객사!$J$5:$J$104,MATCH($B755,고객사!$A$5:$A$104,0)),0))</f>
        <v/>
      </c>
      <c r="O755" s="22" t="str">
        <f aca="false">IF($B755="","",G755*N755)</f>
        <v/>
      </c>
      <c r="P755" s="22" t="str">
        <f aca="false">IF($B755="","",IFERROR(INDEX(고객사!$K$5:$K$104,MATCH($B755,고객사!$A$5:$A$104,0)),0))</f>
        <v/>
      </c>
      <c r="Q755" s="22" t="str">
        <f aca="false">IF($B755="","",G755*P755)</f>
        <v/>
      </c>
      <c r="R755" s="22" t="str">
        <f aca="false">IF($B755="","",O755-Q755-L755)</f>
        <v/>
      </c>
      <c r="S755" s="21" t="str">
        <f aca="false">IF(OR($B755="",N(O755)=0),"",R755/O755)</f>
        <v/>
      </c>
      <c r="T755" s="14"/>
      <c r="U755" s="19" t="n">
        <f aca="false">IF(OR($B755="",$A755=""),0,IF(COUNTIFS($A$5:$A755,$A755,$B$5:$B755,$B755)=1,1,0))</f>
        <v>0</v>
      </c>
    </row>
    <row r="756" customFormat="false" ht="15" hidden="false" customHeight="false" outlineLevel="0" collapsed="false">
      <c r="A756" s="17"/>
      <c r="B756" s="13"/>
      <c r="C756" s="20" t="str">
        <f aca="false">IF($B756="","",IFERROR(INDEX(고객사!$B$5:$B$104,MATCH($B756,고객사!$A$5:$A$104,0)),"코드 확인"))</f>
        <v/>
      </c>
      <c r="D756" s="15"/>
      <c r="E756" s="15"/>
      <c r="F756" s="16"/>
      <c r="G756" s="16"/>
      <c r="H756" s="21" t="str">
        <f aca="false">IF(OR($B756="",F756=0),"",G756/F756)</f>
        <v/>
      </c>
      <c r="I756" s="22" t="str">
        <f aca="false">IF($B756="","",MAX(F756-G756,0))</f>
        <v/>
      </c>
      <c r="J756" s="23" t="str">
        <f aca="false">IF($B756="","",IFERROR(INDEX(고객사!$G$5:$G$104,MATCH($B756,고객사!$A$5:$A$104,0)),""))</f>
        <v/>
      </c>
      <c r="K756" s="16"/>
      <c r="L756" s="22" t="str">
        <f aca="false">IF($B756="","",K756*IFERROR(INDEX(고객사!$L$5:$L$104,MATCH($B756,고객사!$A$5:$A$104,0)),0))</f>
        <v/>
      </c>
      <c r="M756" s="23" t="str">
        <f aca="false">IF($B756="","",IF(AND(J756="N",G756&gt;0,K756=0,IFERROR(INDEX(고객사!$H$5:$H$104,MATCH($B756,고객사!$A$5:$A$104,0)),"")="자사 차량 운행"),"차량 미배정",""))</f>
        <v/>
      </c>
      <c r="N756" s="22" t="str">
        <f aca="false">IF($B756="","",IFERROR(INDEX(고객사!$J$5:$J$104,MATCH($B756,고객사!$A$5:$A$104,0)),0))</f>
        <v/>
      </c>
      <c r="O756" s="22" t="str">
        <f aca="false">IF($B756="","",G756*N756)</f>
        <v/>
      </c>
      <c r="P756" s="22" t="str">
        <f aca="false">IF($B756="","",IFERROR(INDEX(고객사!$K$5:$K$104,MATCH($B756,고객사!$A$5:$A$104,0)),0))</f>
        <v/>
      </c>
      <c r="Q756" s="22" t="str">
        <f aca="false">IF($B756="","",G756*P756)</f>
        <v/>
      </c>
      <c r="R756" s="22" t="str">
        <f aca="false">IF($B756="","",O756-Q756-L756)</f>
        <v/>
      </c>
      <c r="S756" s="21" t="str">
        <f aca="false">IF(OR($B756="",N(O756)=0),"",R756/O756)</f>
        <v/>
      </c>
      <c r="T756" s="14"/>
      <c r="U756" s="19" t="n">
        <f aca="false">IF(OR($B756="",$A756=""),0,IF(COUNTIFS($A$5:$A756,$A756,$B$5:$B756,$B756)=1,1,0))</f>
        <v>0</v>
      </c>
    </row>
    <row r="757" customFormat="false" ht="15" hidden="false" customHeight="false" outlineLevel="0" collapsed="false">
      <c r="A757" s="17"/>
      <c r="B757" s="13"/>
      <c r="C757" s="20" t="str">
        <f aca="false">IF($B757="","",IFERROR(INDEX(고객사!$B$5:$B$104,MATCH($B757,고객사!$A$5:$A$104,0)),"코드 확인"))</f>
        <v/>
      </c>
      <c r="D757" s="15"/>
      <c r="E757" s="15"/>
      <c r="F757" s="16"/>
      <c r="G757" s="16"/>
      <c r="H757" s="21" t="str">
        <f aca="false">IF(OR($B757="",F757=0),"",G757/F757)</f>
        <v/>
      </c>
      <c r="I757" s="22" t="str">
        <f aca="false">IF($B757="","",MAX(F757-G757,0))</f>
        <v/>
      </c>
      <c r="J757" s="23" t="str">
        <f aca="false">IF($B757="","",IFERROR(INDEX(고객사!$G$5:$G$104,MATCH($B757,고객사!$A$5:$A$104,0)),""))</f>
        <v/>
      </c>
      <c r="K757" s="16"/>
      <c r="L757" s="22" t="str">
        <f aca="false">IF($B757="","",K757*IFERROR(INDEX(고객사!$L$5:$L$104,MATCH($B757,고객사!$A$5:$A$104,0)),0))</f>
        <v/>
      </c>
      <c r="M757" s="23" t="str">
        <f aca="false">IF($B757="","",IF(AND(J757="N",G757&gt;0,K757=0,IFERROR(INDEX(고객사!$H$5:$H$104,MATCH($B757,고객사!$A$5:$A$104,0)),"")="자사 차량 운행"),"차량 미배정",""))</f>
        <v/>
      </c>
      <c r="N757" s="22" t="str">
        <f aca="false">IF($B757="","",IFERROR(INDEX(고객사!$J$5:$J$104,MATCH($B757,고객사!$A$5:$A$104,0)),0))</f>
        <v/>
      </c>
      <c r="O757" s="22" t="str">
        <f aca="false">IF($B757="","",G757*N757)</f>
        <v/>
      </c>
      <c r="P757" s="22" t="str">
        <f aca="false">IF($B757="","",IFERROR(INDEX(고객사!$K$5:$K$104,MATCH($B757,고객사!$A$5:$A$104,0)),0))</f>
        <v/>
      </c>
      <c r="Q757" s="22" t="str">
        <f aca="false">IF($B757="","",G757*P757)</f>
        <v/>
      </c>
      <c r="R757" s="22" t="str">
        <f aca="false">IF($B757="","",O757-Q757-L757)</f>
        <v/>
      </c>
      <c r="S757" s="21" t="str">
        <f aca="false">IF(OR($B757="",N(O757)=0),"",R757/O757)</f>
        <v/>
      </c>
      <c r="T757" s="14"/>
      <c r="U757" s="19" t="n">
        <f aca="false">IF(OR($B757="",$A757=""),0,IF(COUNTIFS($A$5:$A757,$A757,$B$5:$B757,$B757)=1,1,0))</f>
        <v>0</v>
      </c>
    </row>
    <row r="758" customFormat="false" ht="15" hidden="false" customHeight="false" outlineLevel="0" collapsed="false">
      <c r="A758" s="17"/>
      <c r="B758" s="13"/>
      <c r="C758" s="20" t="str">
        <f aca="false">IF($B758="","",IFERROR(INDEX(고객사!$B$5:$B$104,MATCH($B758,고객사!$A$5:$A$104,0)),"코드 확인"))</f>
        <v/>
      </c>
      <c r="D758" s="15"/>
      <c r="E758" s="15"/>
      <c r="F758" s="16"/>
      <c r="G758" s="16"/>
      <c r="H758" s="21" t="str">
        <f aca="false">IF(OR($B758="",F758=0),"",G758/F758)</f>
        <v/>
      </c>
      <c r="I758" s="22" t="str">
        <f aca="false">IF($B758="","",MAX(F758-G758,0))</f>
        <v/>
      </c>
      <c r="J758" s="23" t="str">
        <f aca="false">IF($B758="","",IFERROR(INDEX(고객사!$G$5:$G$104,MATCH($B758,고객사!$A$5:$A$104,0)),""))</f>
        <v/>
      </c>
      <c r="K758" s="16"/>
      <c r="L758" s="22" t="str">
        <f aca="false">IF($B758="","",K758*IFERROR(INDEX(고객사!$L$5:$L$104,MATCH($B758,고객사!$A$5:$A$104,0)),0))</f>
        <v/>
      </c>
      <c r="M758" s="23" t="str">
        <f aca="false">IF($B758="","",IF(AND(J758="N",G758&gt;0,K758=0,IFERROR(INDEX(고객사!$H$5:$H$104,MATCH($B758,고객사!$A$5:$A$104,0)),"")="자사 차량 운행"),"차량 미배정",""))</f>
        <v/>
      </c>
      <c r="N758" s="22" t="str">
        <f aca="false">IF($B758="","",IFERROR(INDEX(고객사!$J$5:$J$104,MATCH($B758,고객사!$A$5:$A$104,0)),0))</f>
        <v/>
      </c>
      <c r="O758" s="22" t="str">
        <f aca="false">IF($B758="","",G758*N758)</f>
        <v/>
      </c>
      <c r="P758" s="22" t="str">
        <f aca="false">IF($B758="","",IFERROR(INDEX(고객사!$K$5:$K$104,MATCH($B758,고객사!$A$5:$A$104,0)),0))</f>
        <v/>
      </c>
      <c r="Q758" s="22" t="str">
        <f aca="false">IF($B758="","",G758*P758)</f>
        <v/>
      </c>
      <c r="R758" s="22" t="str">
        <f aca="false">IF($B758="","",O758-Q758-L758)</f>
        <v/>
      </c>
      <c r="S758" s="21" t="str">
        <f aca="false">IF(OR($B758="",N(O758)=0),"",R758/O758)</f>
        <v/>
      </c>
      <c r="T758" s="14"/>
      <c r="U758" s="19" t="n">
        <f aca="false">IF(OR($B758="",$A758=""),0,IF(COUNTIFS($A$5:$A758,$A758,$B$5:$B758,$B758)=1,1,0))</f>
        <v>0</v>
      </c>
    </row>
    <row r="759" customFormat="false" ht="15" hidden="false" customHeight="false" outlineLevel="0" collapsed="false">
      <c r="A759" s="17"/>
      <c r="B759" s="13"/>
      <c r="C759" s="20" t="str">
        <f aca="false">IF($B759="","",IFERROR(INDEX(고객사!$B$5:$B$104,MATCH($B759,고객사!$A$5:$A$104,0)),"코드 확인"))</f>
        <v/>
      </c>
      <c r="D759" s="15"/>
      <c r="E759" s="15"/>
      <c r="F759" s="16"/>
      <c r="G759" s="16"/>
      <c r="H759" s="21" t="str">
        <f aca="false">IF(OR($B759="",F759=0),"",G759/F759)</f>
        <v/>
      </c>
      <c r="I759" s="22" t="str">
        <f aca="false">IF($B759="","",MAX(F759-G759,0))</f>
        <v/>
      </c>
      <c r="J759" s="23" t="str">
        <f aca="false">IF($B759="","",IFERROR(INDEX(고객사!$G$5:$G$104,MATCH($B759,고객사!$A$5:$A$104,0)),""))</f>
        <v/>
      </c>
      <c r="K759" s="16"/>
      <c r="L759" s="22" t="str">
        <f aca="false">IF($B759="","",K759*IFERROR(INDEX(고객사!$L$5:$L$104,MATCH($B759,고객사!$A$5:$A$104,0)),0))</f>
        <v/>
      </c>
      <c r="M759" s="23" t="str">
        <f aca="false">IF($B759="","",IF(AND(J759="N",G759&gt;0,K759=0,IFERROR(INDEX(고객사!$H$5:$H$104,MATCH($B759,고객사!$A$5:$A$104,0)),"")="자사 차량 운행"),"차량 미배정",""))</f>
        <v/>
      </c>
      <c r="N759" s="22" t="str">
        <f aca="false">IF($B759="","",IFERROR(INDEX(고객사!$J$5:$J$104,MATCH($B759,고객사!$A$5:$A$104,0)),0))</f>
        <v/>
      </c>
      <c r="O759" s="22" t="str">
        <f aca="false">IF($B759="","",G759*N759)</f>
        <v/>
      </c>
      <c r="P759" s="22" t="str">
        <f aca="false">IF($B759="","",IFERROR(INDEX(고객사!$K$5:$K$104,MATCH($B759,고객사!$A$5:$A$104,0)),0))</f>
        <v/>
      </c>
      <c r="Q759" s="22" t="str">
        <f aca="false">IF($B759="","",G759*P759)</f>
        <v/>
      </c>
      <c r="R759" s="22" t="str">
        <f aca="false">IF($B759="","",O759-Q759-L759)</f>
        <v/>
      </c>
      <c r="S759" s="21" t="str">
        <f aca="false">IF(OR($B759="",N(O759)=0),"",R759/O759)</f>
        <v/>
      </c>
      <c r="T759" s="14"/>
      <c r="U759" s="19" t="n">
        <f aca="false">IF(OR($B759="",$A759=""),0,IF(COUNTIFS($A$5:$A759,$A759,$B$5:$B759,$B759)=1,1,0))</f>
        <v>0</v>
      </c>
    </row>
    <row r="760" customFormat="false" ht="15" hidden="false" customHeight="false" outlineLevel="0" collapsed="false">
      <c r="A760" s="17"/>
      <c r="B760" s="13"/>
      <c r="C760" s="20" t="str">
        <f aca="false">IF($B760="","",IFERROR(INDEX(고객사!$B$5:$B$104,MATCH($B760,고객사!$A$5:$A$104,0)),"코드 확인"))</f>
        <v/>
      </c>
      <c r="D760" s="15"/>
      <c r="E760" s="15"/>
      <c r="F760" s="16"/>
      <c r="G760" s="16"/>
      <c r="H760" s="21" t="str">
        <f aca="false">IF(OR($B760="",F760=0),"",G760/F760)</f>
        <v/>
      </c>
      <c r="I760" s="22" t="str">
        <f aca="false">IF($B760="","",MAX(F760-G760,0))</f>
        <v/>
      </c>
      <c r="J760" s="23" t="str">
        <f aca="false">IF($B760="","",IFERROR(INDEX(고객사!$G$5:$G$104,MATCH($B760,고객사!$A$5:$A$104,0)),""))</f>
        <v/>
      </c>
      <c r="K760" s="16"/>
      <c r="L760" s="22" t="str">
        <f aca="false">IF($B760="","",K760*IFERROR(INDEX(고객사!$L$5:$L$104,MATCH($B760,고객사!$A$5:$A$104,0)),0))</f>
        <v/>
      </c>
      <c r="M760" s="23" t="str">
        <f aca="false">IF($B760="","",IF(AND(J760="N",G760&gt;0,K760=0,IFERROR(INDEX(고객사!$H$5:$H$104,MATCH($B760,고객사!$A$5:$A$104,0)),"")="자사 차량 운행"),"차량 미배정",""))</f>
        <v/>
      </c>
      <c r="N760" s="22" t="str">
        <f aca="false">IF($B760="","",IFERROR(INDEX(고객사!$J$5:$J$104,MATCH($B760,고객사!$A$5:$A$104,0)),0))</f>
        <v/>
      </c>
      <c r="O760" s="22" t="str">
        <f aca="false">IF($B760="","",G760*N760)</f>
        <v/>
      </c>
      <c r="P760" s="22" t="str">
        <f aca="false">IF($B760="","",IFERROR(INDEX(고객사!$K$5:$K$104,MATCH($B760,고객사!$A$5:$A$104,0)),0))</f>
        <v/>
      </c>
      <c r="Q760" s="22" t="str">
        <f aca="false">IF($B760="","",G760*P760)</f>
        <v/>
      </c>
      <c r="R760" s="22" t="str">
        <f aca="false">IF($B760="","",O760-Q760-L760)</f>
        <v/>
      </c>
      <c r="S760" s="21" t="str">
        <f aca="false">IF(OR($B760="",N(O760)=0),"",R760/O760)</f>
        <v/>
      </c>
      <c r="T760" s="14"/>
      <c r="U760" s="19" t="n">
        <f aca="false">IF(OR($B760="",$A760=""),0,IF(COUNTIFS($A$5:$A760,$A760,$B$5:$B760,$B760)=1,1,0))</f>
        <v>0</v>
      </c>
    </row>
    <row r="761" customFormat="false" ht="15" hidden="false" customHeight="false" outlineLevel="0" collapsed="false">
      <c r="A761" s="17"/>
      <c r="B761" s="13"/>
      <c r="C761" s="20" t="str">
        <f aca="false">IF($B761="","",IFERROR(INDEX(고객사!$B$5:$B$104,MATCH($B761,고객사!$A$5:$A$104,0)),"코드 확인"))</f>
        <v/>
      </c>
      <c r="D761" s="15"/>
      <c r="E761" s="15"/>
      <c r="F761" s="16"/>
      <c r="G761" s="16"/>
      <c r="H761" s="21" t="str">
        <f aca="false">IF(OR($B761="",F761=0),"",G761/F761)</f>
        <v/>
      </c>
      <c r="I761" s="22" t="str">
        <f aca="false">IF($B761="","",MAX(F761-G761,0))</f>
        <v/>
      </c>
      <c r="J761" s="23" t="str">
        <f aca="false">IF($B761="","",IFERROR(INDEX(고객사!$G$5:$G$104,MATCH($B761,고객사!$A$5:$A$104,0)),""))</f>
        <v/>
      </c>
      <c r="K761" s="16"/>
      <c r="L761" s="22" t="str">
        <f aca="false">IF($B761="","",K761*IFERROR(INDEX(고객사!$L$5:$L$104,MATCH($B761,고객사!$A$5:$A$104,0)),0))</f>
        <v/>
      </c>
      <c r="M761" s="23" t="str">
        <f aca="false">IF($B761="","",IF(AND(J761="N",G761&gt;0,K761=0,IFERROR(INDEX(고객사!$H$5:$H$104,MATCH($B761,고객사!$A$5:$A$104,0)),"")="자사 차량 운행"),"차량 미배정",""))</f>
        <v/>
      </c>
      <c r="N761" s="22" t="str">
        <f aca="false">IF($B761="","",IFERROR(INDEX(고객사!$J$5:$J$104,MATCH($B761,고객사!$A$5:$A$104,0)),0))</f>
        <v/>
      </c>
      <c r="O761" s="22" t="str">
        <f aca="false">IF($B761="","",G761*N761)</f>
        <v/>
      </c>
      <c r="P761" s="22" t="str">
        <f aca="false">IF($B761="","",IFERROR(INDEX(고객사!$K$5:$K$104,MATCH($B761,고객사!$A$5:$A$104,0)),0))</f>
        <v/>
      </c>
      <c r="Q761" s="22" t="str">
        <f aca="false">IF($B761="","",G761*P761)</f>
        <v/>
      </c>
      <c r="R761" s="22" t="str">
        <f aca="false">IF($B761="","",O761-Q761-L761)</f>
        <v/>
      </c>
      <c r="S761" s="21" t="str">
        <f aca="false">IF(OR($B761="",N(O761)=0),"",R761/O761)</f>
        <v/>
      </c>
      <c r="T761" s="14"/>
      <c r="U761" s="19" t="n">
        <f aca="false">IF(OR($B761="",$A761=""),0,IF(COUNTIFS($A$5:$A761,$A761,$B$5:$B761,$B761)=1,1,0))</f>
        <v>0</v>
      </c>
    </row>
    <row r="762" customFormat="false" ht="15" hidden="false" customHeight="false" outlineLevel="0" collapsed="false">
      <c r="A762" s="17"/>
      <c r="B762" s="13"/>
      <c r="C762" s="20" t="str">
        <f aca="false">IF($B762="","",IFERROR(INDEX(고객사!$B$5:$B$104,MATCH($B762,고객사!$A$5:$A$104,0)),"코드 확인"))</f>
        <v/>
      </c>
      <c r="D762" s="15"/>
      <c r="E762" s="15"/>
      <c r="F762" s="16"/>
      <c r="G762" s="16"/>
      <c r="H762" s="21" t="str">
        <f aca="false">IF(OR($B762="",F762=0),"",G762/F762)</f>
        <v/>
      </c>
      <c r="I762" s="22" t="str">
        <f aca="false">IF($B762="","",MAX(F762-G762,0))</f>
        <v/>
      </c>
      <c r="J762" s="23" t="str">
        <f aca="false">IF($B762="","",IFERROR(INDEX(고객사!$G$5:$G$104,MATCH($B762,고객사!$A$5:$A$104,0)),""))</f>
        <v/>
      </c>
      <c r="K762" s="16"/>
      <c r="L762" s="22" t="str">
        <f aca="false">IF($B762="","",K762*IFERROR(INDEX(고객사!$L$5:$L$104,MATCH($B762,고객사!$A$5:$A$104,0)),0))</f>
        <v/>
      </c>
      <c r="M762" s="23" t="str">
        <f aca="false">IF($B762="","",IF(AND(J762="N",G762&gt;0,K762=0,IFERROR(INDEX(고객사!$H$5:$H$104,MATCH($B762,고객사!$A$5:$A$104,0)),"")="자사 차량 운행"),"차량 미배정",""))</f>
        <v/>
      </c>
      <c r="N762" s="22" t="str">
        <f aca="false">IF($B762="","",IFERROR(INDEX(고객사!$J$5:$J$104,MATCH($B762,고객사!$A$5:$A$104,0)),0))</f>
        <v/>
      </c>
      <c r="O762" s="22" t="str">
        <f aca="false">IF($B762="","",G762*N762)</f>
        <v/>
      </c>
      <c r="P762" s="22" t="str">
        <f aca="false">IF($B762="","",IFERROR(INDEX(고객사!$K$5:$K$104,MATCH($B762,고객사!$A$5:$A$104,0)),0))</f>
        <v/>
      </c>
      <c r="Q762" s="22" t="str">
        <f aca="false">IF($B762="","",G762*P762)</f>
        <v/>
      </c>
      <c r="R762" s="22" t="str">
        <f aca="false">IF($B762="","",O762-Q762-L762)</f>
        <v/>
      </c>
      <c r="S762" s="21" t="str">
        <f aca="false">IF(OR($B762="",N(O762)=0),"",R762/O762)</f>
        <v/>
      </c>
      <c r="T762" s="14"/>
      <c r="U762" s="19" t="n">
        <f aca="false">IF(OR($B762="",$A762=""),0,IF(COUNTIFS($A$5:$A762,$A762,$B$5:$B762,$B762)=1,1,0))</f>
        <v>0</v>
      </c>
    </row>
    <row r="763" customFormat="false" ht="15" hidden="false" customHeight="false" outlineLevel="0" collapsed="false">
      <c r="A763" s="17"/>
      <c r="B763" s="13"/>
      <c r="C763" s="20" t="str">
        <f aca="false">IF($B763="","",IFERROR(INDEX(고객사!$B$5:$B$104,MATCH($B763,고객사!$A$5:$A$104,0)),"코드 확인"))</f>
        <v/>
      </c>
      <c r="D763" s="15"/>
      <c r="E763" s="15"/>
      <c r="F763" s="16"/>
      <c r="G763" s="16"/>
      <c r="H763" s="21" t="str">
        <f aca="false">IF(OR($B763="",F763=0),"",G763/F763)</f>
        <v/>
      </c>
      <c r="I763" s="22" t="str">
        <f aca="false">IF($B763="","",MAX(F763-G763,0))</f>
        <v/>
      </c>
      <c r="J763" s="23" t="str">
        <f aca="false">IF($B763="","",IFERROR(INDEX(고객사!$G$5:$G$104,MATCH($B763,고객사!$A$5:$A$104,0)),""))</f>
        <v/>
      </c>
      <c r="K763" s="16"/>
      <c r="L763" s="22" t="str">
        <f aca="false">IF($B763="","",K763*IFERROR(INDEX(고객사!$L$5:$L$104,MATCH($B763,고객사!$A$5:$A$104,0)),0))</f>
        <v/>
      </c>
      <c r="M763" s="23" t="str">
        <f aca="false">IF($B763="","",IF(AND(J763="N",G763&gt;0,K763=0,IFERROR(INDEX(고객사!$H$5:$H$104,MATCH($B763,고객사!$A$5:$A$104,0)),"")="자사 차량 운행"),"차량 미배정",""))</f>
        <v/>
      </c>
      <c r="N763" s="22" t="str">
        <f aca="false">IF($B763="","",IFERROR(INDEX(고객사!$J$5:$J$104,MATCH($B763,고객사!$A$5:$A$104,0)),0))</f>
        <v/>
      </c>
      <c r="O763" s="22" t="str">
        <f aca="false">IF($B763="","",G763*N763)</f>
        <v/>
      </c>
      <c r="P763" s="22" t="str">
        <f aca="false">IF($B763="","",IFERROR(INDEX(고객사!$K$5:$K$104,MATCH($B763,고객사!$A$5:$A$104,0)),0))</f>
        <v/>
      </c>
      <c r="Q763" s="22" t="str">
        <f aca="false">IF($B763="","",G763*P763)</f>
        <v/>
      </c>
      <c r="R763" s="22" t="str">
        <f aca="false">IF($B763="","",O763-Q763-L763)</f>
        <v/>
      </c>
      <c r="S763" s="21" t="str">
        <f aca="false">IF(OR($B763="",N(O763)=0),"",R763/O763)</f>
        <v/>
      </c>
      <c r="T763" s="14"/>
      <c r="U763" s="19" t="n">
        <f aca="false">IF(OR($B763="",$A763=""),0,IF(COUNTIFS($A$5:$A763,$A763,$B$5:$B763,$B763)=1,1,0))</f>
        <v>0</v>
      </c>
    </row>
    <row r="764" customFormat="false" ht="15" hidden="false" customHeight="false" outlineLevel="0" collapsed="false">
      <c r="A764" s="17"/>
      <c r="B764" s="13"/>
      <c r="C764" s="20" t="str">
        <f aca="false">IF($B764="","",IFERROR(INDEX(고객사!$B$5:$B$104,MATCH($B764,고객사!$A$5:$A$104,0)),"코드 확인"))</f>
        <v/>
      </c>
      <c r="D764" s="15"/>
      <c r="E764" s="15"/>
      <c r="F764" s="16"/>
      <c r="G764" s="16"/>
      <c r="H764" s="21" t="str">
        <f aca="false">IF(OR($B764="",F764=0),"",G764/F764)</f>
        <v/>
      </c>
      <c r="I764" s="22" t="str">
        <f aca="false">IF($B764="","",MAX(F764-G764,0))</f>
        <v/>
      </c>
      <c r="J764" s="23" t="str">
        <f aca="false">IF($B764="","",IFERROR(INDEX(고객사!$G$5:$G$104,MATCH($B764,고객사!$A$5:$A$104,0)),""))</f>
        <v/>
      </c>
      <c r="K764" s="16"/>
      <c r="L764" s="22" t="str">
        <f aca="false">IF($B764="","",K764*IFERROR(INDEX(고객사!$L$5:$L$104,MATCH($B764,고객사!$A$5:$A$104,0)),0))</f>
        <v/>
      </c>
      <c r="M764" s="23" t="str">
        <f aca="false">IF($B764="","",IF(AND(J764="N",G764&gt;0,K764=0,IFERROR(INDEX(고객사!$H$5:$H$104,MATCH($B764,고객사!$A$5:$A$104,0)),"")="자사 차량 운행"),"차량 미배정",""))</f>
        <v/>
      </c>
      <c r="N764" s="22" t="str">
        <f aca="false">IF($B764="","",IFERROR(INDEX(고객사!$J$5:$J$104,MATCH($B764,고객사!$A$5:$A$104,0)),0))</f>
        <v/>
      </c>
      <c r="O764" s="22" t="str">
        <f aca="false">IF($B764="","",G764*N764)</f>
        <v/>
      </c>
      <c r="P764" s="22" t="str">
        <f aca="false">IF($B764="","",IFERROR(INDEX(고객사!$K$5:$K$104,MATCH($B764,고객사!$A$5:$A$104,0)),0))</f>
        <v/>
      </c>
      <c r="Q764" s="22" t="str">
        <f aca="false">IF($B764="","",G764*P764)</f>
        <v/>
      </c>
      <c r="R764" s="22" t="str">
        <f aca="false">IF($B764="","",O764-Q764-L764)</f>
        <v/>
      </c>
      <c r="S764" s="21" t="str">
        <f aca="false">IF(OR($B764="",N(O764)=0),"",R764/O764)</f>
        <v/>
      </c>
      <c r="T764" s="14"/>
      <c r="U764" s="19" t="n">
        <f aca="false">IF(OR($B764="",$A764=""),0,IF(COUNTIFS($A$5:$A764,$A764,$B$5:$B764,$B764)=1,1,0))</f>
        <v>0</v>
      </c>
    </row>
    <row r="765" customFormat="false" ht="15" hidden="false" customHeight="false" outlineLevel="0" collapsed="false">
      <c r="A765" s="17"/>
      <c r="B765" s="13"/>
      <c r="C765" s="20" t="str">
        <f aca="false">IF($B765="","",IFERROR(INDEX(고객사!$B$5:$B$104,MATCH($B765,고객사!$A$5:$A$104,0)),"코드 확인"))</f>
        <v/>
      </c>
      <c r="D765" s="15"/>
      <c r="E765" s="15"/>
      <c r="F765" s="16"/>
      <c r="G765" s="16"/>
      <c r="H765" s="21" t="str">
        <f aca="false">IF(OR($B765="",F765=0),"",G765/F765)</f>
        <v/>
      </c>
      <c r="I765" s="22" t="str">
        <f aca="false">IF($B765="","",MAX(F765-G765,0))</f>
        <v/>
      </c>
      <c r="J765" s="23" t="str">
        <f aca="false">IF($B765="","",IFERROR(INDEX(고객사!$G$5:$G$104,MATCH($B765,고객사!$A$5:$A$104,0)),""))</f>
        <v/>
      </c>
      <c r="K765" s="16"/>
      <c r="L765" s="22" t="str">
        <f aca="false">IF($B765="","",K765*IFERROR(INDEX(고객사!$L$5:$L$104,MATCH($B765,고객사!$A$5:$A$104,0)),0))</f>
        <v/>
      </c>
      <c r="M765" s="23" t="str">
        <f aca="false">IF($B765="","",IF(AND(J765="N",G765&gt;0,K765=0,IFERROR(INDEX(고객사!$H$5:$H$104,MATCH($B765,고객사!$A$5:$A$104,0)),"")="자사 차량 운행"),"차량 미배정",""))</f>
        <v/>
      </c>
      <c r="N765" s="22" t="str">
        <f aca="false">IF($B765="","",IFERROR(INDEX(고객사!$J$5:$J$104,MATCH($B765,고객사!$A$5:$A$104,0)),0))</f>
        <v/>
      </c>
      <c r="O765" s="22" t="str">
        <f aca="false">IF($B765="","",G765*N765)</f>
        <v/>
      </c>
      <c r="P765" s="22" t="str">
        <f aca="false">IF($B765="","",IFERROR(INDEX(고객사!$K$5:$K$104,MATCH($B765,고객사!$A$5:$A$104,0)),0))</f>
        <v/>
      </c>
      <c r="Q765" s="22" t="str">
        <f aca="false">IF($B765="","",G765*P765)</f>
        <v/>
      </c>
      <c r="R765" s="22" t="str">
        <f aca="false">IF($B765="","",O765-Q765-L765)</f>
        <v/>
      </c>
      <c r="S765" s="21" t="str">
        <f aca="false">IF(OR($B765="",N(O765)=0),"",R765/O765)</f>
        <v/>
      </c>
      <c r="T765" s="14"/>
      <c r="U765" s="19" t="n">
        <f aca="false">IF(OR($B765="",$A765=""),0,IF(COUNTIFS($A$5:$A765,$A765,$B$5:$B765,$B765)=1,1,0))</f>
        <v>0</v>
      </c>
    </row>
    <row r="766" customFormat="false" ht="15" hidden="false" customHeight="false" outlineLevel="0" collapsed="false">
      <c r="A766" s="17"/>
      <c r="B766" s="13"/>
      <c r="C766" s="20" t="str">
        <f aca="false">IF($B766="","",IFERROR(INDEX(고객사!$B$5:$B$104,MATCH($B766,고객사!$A$5:$A$104,0)),"코드 확인"))</f>
        <v/>
      </c>
      <c r="D766" s="15"/>
      <c r="E766" s="15"/>
      <c r="F766" s="16"/>
      <c r="G766" s="16"/>
      <c r="H766" s="21" t="str">
        <f aca="false">IF(OR($B766="",F766=0),"",G766/F766)</f>
        <v/>
      </c>
      <c r="I766" s="22" t="str">
        <f aca="false">IF($B766="","",MAX(F766-G766,0))</f>
        <v/>
      </c>
      <c r="J766" s="23" t="str">
        <f aca="false">IF($B766="","",IFERROR(INDEX(고객사!$G$5:$G$104,MATCH($B766,고객사!$A$5:$A$104,0)),""))</f>
        <v/>
      </c>
      <c r="K766" s="16"/>
      <c r="L766" s="22" t="str">
        <f aca="false">IF($B766="","",K766*IFERROR(INDEX(고객사!$L$5:$L$104,MATCH($B766,고객사!$A$5:$A$104,0)),0))</f>
        <v/>
      </c>
      <c r="M766" s="23" t="str">
        <f aca="false">IF($B766="","",IF(AND(J766="N",G766&gt;0,K766=0,IFERROR(INDEX(고객사!$H$5:$H$104,MATCH($B766,고객사!$A$5:$A$104,0)),"")="자사 차량 운행"),"차량 미배정",""))</f>
        <v/>
      </c>
      <c r="N766" s="22" t="str">
        <f aca="false">IF($B766="","",IFERROR(INDEX(고객사!$J$5:$J$104,MATCH($B766,고객사!$A$5:$A$104,0)),0))</f>
        <v/>
      </c>
      <c r="O766" s="22" t="str">
        <f aca="false">IF($B766="","",G766*N766)</f>
        <v/>
      </c>
      <c r="P766" s="22" t="str">
        <f aca="false">IF($B766="","",IFERROR(INDEX(고객사!$K$5:$K$104,MATCH($B766,고객사!$A$5:$A$104,0)),0))</f>
        <v/>
      </c>
      <c r="Q766" s="22" t="str">
        <f aca="false">IF($B766="","",G766*P766)</f>
        <v/>
      </c>
      <c r="R766" s="22" t="str">
        <f aca="false">IF($B766="","",O766-Q766-L766)</f>
        <v/>
      </c>
      <c r="S766" s="21" t="str">
        <f aca="false">IF(OR($B766="",N(O766)=0),"",R766/O766)</f>
        <v/>
      </c>
      <c r="T766" s="14"/>
      <c r="U766" s="19" t="n">
        <f aca="false">IF(OR($B766="",$A766=""),0,IF(COUNTIFS($A$5:$A766,$A766,$B$5:$B766,$B766)=1,1,0))</f>
        <v>0</v>
      </c>
    </row>
    <row r="767" customFormat="false" ht="15" hidden="false" customHeight="false" outlineLevel="0" collapsed="false">
      <c r="A767" s="17"/>
      <c r="B767" s="13"/>
      <c r="C767" s="20" t="str">
        <f aca="false">IF($B767="","",IFERROR(INDEX(고객사!$B$5:$B$104,MATCH($B767,고객사!$A$5:$A$104,0)),"코드 확인"))</f>
        <v/>
      </c>
      <c r="D767" s="15"/>
      <c r="E767" s="15"/>
      <c r="F767" s="16"/>
      <c r="G767" s="16"/>
      <c r="H767" s="21" t="str">
        <f aca="false">IF(OR($B767="",F767=0),"",G767/F767)</f>
        <v/>
      </c>
      <c r="I767" s="22" t="str">
        <f aca="false">IF($B767="","",MAX(F767-G767,0))</f>
        <v/>
      </c>
      <c r="J767" s="23" t="str">
        <f aca="false">IF($B767="","",IFERROR(INDEX(고객사!$G$5:$G$104,MATCH($B767,고객사!$A$5:$A$104,0)),""))</f>
        <v/>
      </c>
      <c r="K767" s="16"/>
      <c r="L767" s="22" t="str">
        <f aca="false">IF($B767="","",K767*IFERROR(INDEX(고객사!$L$5:$L$104,MATCH($B767,고객사!$A$5:$A$104,0)),0))</f>
        <v/>
      </c>
      <c r="M767" s="23" t="str">
        <f aca="false">IF($B767="","",IF(AND(J767="N",G767&gt;0,K767=0,IFERROR(INDEX(고객사!$H$5:$H$104,MATCH($B767,고객사!$A$5:$A$104,0)),"")="자사 차량 운행"),"차량 미배정",""))</f>
        <v/>
      </c>
      <c r="N767" s="22" t="str">
        <f aca="false">IF($B767="","",IFERROR(INDEX(고객사!$J$5:$J$104,MATCH($B767,고객사!$A$5:$A$104,0)),0))</f>
        <v/>
      </c>
      <c r="O767" s="22" t="str">
        <f aca="false">IF($B767="","",G767*N767)</f>
        <v/>
      </c>
      <c r="P767" s="22" t="str">
        <f aca="false">IF($B767="","",IFERROR(INDEX(고객사!$K$5:$K$104,MATCH($B767,고객사!$A$5:$A$104,0)),0))</f>
        <v/>
      </c>
      <c r="Q767" s="22" t="str">
        <f aca="false">IF($B767="","",G767*P767)</f>
        <v/>
      </c>
      <c r="R767" s="22" t="str">
        <f aca="false">IF($B767="","",O767-Q767-L767)</f>
        <v/>
      </c>
      <c r="S767" s="21" t="str">
        <f aca="false">IF(OR($B767="",N(O767)=0),"",R767/O767)</f>
        <v/>
      </c>
      <c r="T767" s="14"/>
      <c r="U767" s="19" t="n">
        <f aca="false">IF(OR($B767="",$A767=""),0,IF(COUNTIFS($A$5:$A767,$A767,$B$5:$B767,$B767)=1,1,0))</f>
        <v>0</v>
      </c>
    </row>
    <row r="768" customFormat="false" ht="15" hidden="false" customHeight="false" outlineLevel="0" collapsed="false">
      <c r="A768" s="17"/>
      <c r="B768" s="13"/>
      <c r="C768" s="20" t="str">
        <f aca="false">IF($B768="","",IFERROR(INDEX(고객사!$B$5:$B$104,MATCH($B768,고객사!$A$5:$A$104,0)),"코드 확인"))</f>
        <v/>
      </c>
      <c r="D768" s="15"/>
      <c r="E768" s="15"/>
      <c r="F768" s="16"/>
      <c r="G768" s="16"/>
      <c r="H768" s="21" t="str">
        <f aca="false">IF(OR($B768="",F768=0),"",G768/F768)</f>
        <v/>
      </c>
      <c r="I768" s="22" t="str">
        <f aca="false">IF($B768="","",MAX(F768-G768,0))</f>
        <v/>
      </c>
      <c r="J768" s="23" t="str">
        <f aca="false">IF($B768="","",IFERROR(INDEX(고객사!$G$5:$G$104,MATCH($B768,고객사!$A$5:$A$104,0)),""))</f>
        <v/>
      </c>
      <c r="K768" s="16"/>
      <c r="L768" s="22" t="str">
        <f aca="false">IF($B768="","",K768*IFERROR(INDEX(고객사!$L$5:$L$104,MATCH($B768,고객사!$A$5:$A$104,0)),0))</f>
        <v/>
      </c>
      <c r="M768" s="23" t="str">
        <f aca="false">IF($B768="","",IF(AND(J768="N",G768&gt;0,K768=0,IFERROR(INDEX(고객사!$H$5:$H$104,MATCH($B768,고객사!$A$5:$A$104,0)),"")="자사 차량 운행"),"차량 미배정",""))</f>
        <v/>
      </c>
      <c r="N768" s="22" t="str">
        <f aca="false">IF($B768="","",IFERROR(INDEX(고객사!$J$5:$J$104,MATCH($B768,고객사!$A$5:$A$104,0)),0))</f>
        <v/>
      </c>
      <c r="O768" s="22" t="str">
        <f aca="false">IF($B768="","",G768*N768)</f>
        <v/>
      </c>
      <c r="P768" s="22" t="str">
        <f aca="false">IF($B768="","",IFERROR(INDEX(고객사!$K$5:$K$104,MATCH($B768,고객사!$A$5:$A$104,0)),0))</f>
        <v/>
      </c>
      <c r="Q768" s="22" t="str">
        <f aca="false">IF($B768="","",G768*P768)</f>
        <v/>
      </c>
      <c r="R768" s="22" t="str">
        <f aca="false">IF($B768="","",O768-Q768-L768)</f>
        <v/>
      </c>
      <c r="S768" s="21" t="str">
        <f aca="false">IF(OR($B768="",N(O768)=0),"",R768/O768)</f>
        <v/>
      </c>
      <c r="T768" s="14"/>
      <c r="U768" s="19" t="n">
        <f aca="false">IF(OR($B768="",$A768=""),0,IF(COUNTIFS($A$5:$A768,$A768,$B$5:$B768,$B768)=1,1,0))</f>
        <v>0</v>
      </c>
    </row>
    <row r="769" customFormat="false" ht="15" hidden="false" customHeight="false" outlineLevel="0" collapsed="false">
      <c r="A769" s="17"/>
      <c r="B769" s="13"/>
      <c r="C769" s="20" t="str">
        <f aca="false">IF($B769="","",IFERROR(INDEX(고객사!$B$5:$B$104,MATCH($B769,고객사!$A$5:$A$104,0)),"코드 확인"))</f>
        <v/>
      </c>
      <c r="D769" s="15"/>
      <c r="E769" s="15"/>
      <c r="F769" s="16"/>
      <c r="G769" s="16"/>
      <c r="H769" s="21" t="str">
        <f aca="false">IF(OR($B769="",F769=0),"",G769/F769)</f>
        <v/>
      </c>
      <c r="I769" s="22" t="str">
        <f aca="false">IF($B769="","",MAX(F769-G769,0))</f>
        <v/>
      </c>
      <c r="J769" s="23" t="str">
        <f aca="false">IF($B769="","",IFERROR(INDEX(고객사!$G$5:$G$104,MATCH($B769,고객사!$A$5:$A$104,0)),""))</f>
        <v/>
      </c>
      <c r="K769" s="16"/>
      <c r="L769" s="22" t="str">
        <f aca="false">IF($B769="","",K769*IFERROR(INDEX(고객사!$L$5:$L$104,MATCH($B769,고객사!$A$5:$A$104,0)),0))</f>
        <v/>
      </c>
      <c r="M769" s="23" t="str">
        <f aca="false">IF($B769="","",IF(AND(J769="N",G769&gt;0,K769=0,IFERROR(INDEX(고객사!$H$5:$H$104,MATCH($B769,고객사!$A$5:$A$104,0)),"")="자사 차량 운행"),"차량 미배정",""))</f>
        <v/>
      </c>
      <c r="N769" s="22" t="str">
        <f aca="false">IF($B769="","",IFERROR(INDEX(고객사!$J$5:$J$104,MATCH($B769,고객사!$A$5:$A$104,0)),0))</f>
        <v/>
      </c>
      <c r="O769" s="22" t="str">
        <f aca="false">IF($B769="","",G769*N769)</f>
        <v/>
      </c>
      <c r="P769" s="22" t="str">
        <f aca="false">IF($B769="","",IFERROR(INDEX(고객사!$K$5:$K$104,MATCH($B769,고객사!$A$5:$A$104,0)),0))</f>
        <v/>
      </c>
      <c r="Q769" s="22" t="str">
        <f aca="false">IF($B769="","",G769*P769)</f>
        <v/>
      </c>
      <c r="R769" s="22" t="str">
        <f aca="false">IF($B769="","",O769-Q769-L769)</f>
        <v/>
      </c>
      <c r="S769" s="21" t="str">
        <f aca="false">IF(OR($B769="",N(O769)=0),"",R769/O769)</f>
        <v/>
      </c>
      <c r="T769" s="14"/>
      <c r="U769" s="19" t="n">
        <f aca="false">IF(OR($B769="",$A769=""),0,IF(COUNTIFS($A$5:$A769,$A769,$B$5:$B769,$B769)=1,1,0))</f>
        <v>0</v>
      </c>
    </row>
    <row r="770" customFormat="false" ht="15" hidden="false" customHeight="false" outlineLevel="0" collapsed="false">
      <c r="A770" s="17"/>
      <c r="B770" s="13"/>
      <c r="C770" s="20" t="str">
        <f aca="false">IF($B770="","",IFERROR(INDEX(고객사!$B$5:$B$104,MATCH($B770,고객사!$A$5:$A$104,0)),"코드 확인"))</f>
        <v/>
      </c>
      <c r="D770" s="15"/>
      <c r="E770" s="15"/>
      <c r="F770" s="16"/>
      <c r="G770" s="16"/>
      <c r="H770" s="21" t="str">
        <f aca="false">IF(OR($B770="",F770=0),"",G770/F770)</f>
        <v/>
      </c>
      <c r="I770" s="22" t="str">
        <f aca="false">IF($B770="","",MAX(F770-G770,0))</f>
        <v/>
      </c>
      <c r="J770" s="23" t="str">
        <f aca="false">IF($B770="","",IFERROR(INDEX(고객사!$G$5:$G$104,MATCH($B770,고객사!$A$5:$A$104,0)),""))</f>
        <v/>
      </c>
      <c r="K770" s="16"/>
      <c r="L770" s="22" t="str">
        <f aca="false">IF($B770="","",K770*IFERROR(INDEX(고객사!$L$5:$L$104,MATCH($B770,고객사!$A$5:$A$104,0)),0))</f>
        <v/>
      </c>
      <c r="M770" s="23" t="str">
        <f aca="false">IF($B770="","",IF(AND(J770="N",G770&gt;0,K770=0,IFERROR(INDEX(고객사!$H$5:$H$104,MATCH($B770,고객사!$A$5:$A$104,0)),"")="자사 차량 운행"),"차량 미배정",""))</f>
        <v/>
      </c>
      <c r="N770" s="22" t="str">
        <f aca="false">IF($B770="","",IFERROR(INDEX(고객사!$J$5:$J$104,MATCH($B770,고객사!$A$5:$A$104,0)),0))</f>
        <v/>
      </c>
      <c r="O770" s="22" t="str">
        <f aca="false">IF($B770="","",G770*N770)</f>
        <v/>
      </c>
      <c r="P770" s="22" t="str">
        <f aca="false">IF($B770="","",IFERROR(INDEX(고객사!$K$5:$K$104,MATCH($B770,고객사!$A$5:$A$104,0)),0))</f>
        <v/>
      </c>
      <c r="Q770" s="22" t="str">
        <f aca="false">IF($B770="","",G770*P770)</f>
        <v/>
      </c>
      <c r="R770" s="22" t="str">
        <f aca="false">IF($B770="","",O770-Q770-L770)</f>
        <v/>
      </c>
      <c r="S770" s="21" t="str">
        <f aca="false">IF(OR($B770="",N(O770)=0),"",R770/O770)</f>
        <v/>
      </c>
      <c r="T770" s="14"/>
      <c r="U770" s="19" t="n">
        <f aca="false">IF(OR($B770="",$A770=""),0,IF(COUNTIFS($A$5:$A770,$A770,$B$5:$B770,$B770)=1,1,0))</f>
        <v>0</v>
      </c>
    </row>
    <row r="771" customFormat="false" ht="15" hidden="false" customHeight="false" outlineLevel="0" collapsed="false">
      <c r="A771" s="17"/>
      <c r="B771" s="13"/>
      <c r="C771" s="20" t="str">
        <f aca="false">IF($B771="","",IFERROR(INDEX(고객사!$B$5:$B$104,MATCH($B771,고객사!$A$5:$A$104,0)),"코드 확인"))</f>
        <v/>
      </c>
      <c r="D771" s="15"/>
      <c r="E771" s="15"/>
      <c r="F771" s="16"/>
      <c r="G771" s="16"/>
      <c r="H771" s="21" t="str">
        <f aca="false">IF(OR($B771="",F771=0),"",G771/F771)</f>
        <v/>
      </c>
      <c r="I771" s="22" t="str">
        <f aca="false">IF($B771="","",MAX(F771-G771,0))</f>
        <v/>
      </c>
      <c r="J771" s="23" t="str">
        <f aca="false">IF($B771="","",IFERROR(INDEX(고객사!$G$5:$G$104,MATCH($B771,고객사!$A$5:$A$104,0)),""))</f>
        <v/>
      </c>
      <c r="K771" s="16"/>
      <c r="L771" s="22" t="str">
        <f aca="false">IF($B771="","",K771*IFERROR(INDEX(고객사!$L$5:$L$104,MATCH($B771,고객사!$A$5:$A$104,0)),0))</f>
        <v/>
      </c>
      <c r="M771" s="23" t="str">
        <f aca="false">IF($B771="","",IF(AND(J771="N",G771&gt;0,K771=0,IFERROR(INDEX(고객사!$H$5:$H$104,MATCH($B771,고객사!$A$5:$A$104,0)),"")="자사 차량 운행"),"차량 미배정",""))</f>
        <v/>
      </c>
      <c r="N771" s="22" t="str">
        <f aca="false">IF($B771="","",IFERROR(INDEX(고객사!$J$5:$J$104,MATCH($B771,고객사!$A$5:$A$104,0)),0))</f>
        <v/>
      </c>
      <c r="O771" s="22" t="str">
        <f aca="false">IF($B771="","",G771*N771)</f>
        <v/>
      </c>
      <c r="P771" s="22" t="str">
        <f aca="false">IF($B771="","",IFERROR(INDEX(고객사!$K$5:$K$104,MATCH($B771,고객사!$A$5:$A$104,0)),0))</f>
        <v/>
      </c>
      <c r="Q771" s="22" t="str">
        <f aca="false">IF($B771="","",G771*P771)</f>
        <v/>
      </c>
      <c r="R771" s="22" t="str">
        <f aca="false">IF($B771="","",O771-Q771-L771)</f>
        <v/>
      </c>
      <c r="S771" s="21" t="str">
        <f aca="false">IF(OR($B771="",N(O771)=0),"",R771/O771)</f>
        <v/>
      </c>
      <c r="T771" s="14"/>
      <c r="U771" s="19" t="n">
        <f aca="false">IF(OR($B771="",$A771=""),0,IF(COUNTIFS($A$5:$A771,$A771,$B$5:$B771,$B771)=1,1,0))</f>
        <v>0</v>
      </c>
    </row>
    <row r="772" customFormat="false" ht="15" hidden="false" customHeight="false" outlineLevel="0" collapsed="false">
      <c r="A772" s="17"/>
      <c r="B772" s="13"/>
      <c r="C772" s="20" t="str">
        <f aca="false">IF($B772="","",IFERROR(INDEX(고객사!$B$5:$B$104,MATCH($B772,고객사!$A$5:$A$104,0)),"코드 확인"))</f>
        <v/>
      </c>
      <c r="D772" s="15"/>
      <c r="E772" s="15"/>
      <c r="F772" s="16"/>
      <c r="G772" s="16"/>
      <c r="H772" s="21" t="str">
        <f aca="false">IF(OR($B772="",F772=0),"",G772/F772)</f>
        <v/>
      </c>
      <c r="I772" s="22" t="str">
        <f aca="false">IF($B772="","",MAX(F772-G772,0))</f>
        <v/>
      </c>
      <c r="J772" s="23" t="str">
        <f aca="false">IF($B772="","",IFERROR(INDEX(고객사!$G$5:$G$104,MATCH($B772,고객사!$A$5:$A$104,0)),""))</f>
        <v/>
      </c>
      <c r="K772" s="16"/>
      <c r="L772" s="22" t="str">
        <f aca="false">IF($B772="","",K772*IFERROR(INDEX(고객사!$L$5:$L$104,MATCH($B772,고객사!$A$5:$A$104,0)),0))</f>
        <v/>
      </c>
      <c r="M772" s="23" t="str">
        <f aca="false">IF($B772="","",IF(AND(J772="N",G772&gt;0,K772=0,IFERROR(INDEX(고객사!$H$5:$H$104,MATCH($B772,고객사!$A$5:$A$104,0)),"")="자사 차량 운행"),"차량 미배정",""))</f>
        <v/>
      </c>
      <c r="N772" s="22" t="str">
        <f aca="false">IF($B772="","",IFERROR(INDEX(고객사!$J$5:$J$104,MATCH($B772,고객사!$A$5:$A$104,0)),0))</f>
        <v/>
      </c>
      <c r="O772" s="22" t="str">
        <f aca="false">IF($B772="","",G772*N772)</f>
        <v/>
      </c>
      <c r="P772" s="22" t="str">
        <f aca="false">IF($B772="","",IFERROR(INDEX(고객사!$K$5:$K$104,MATCH($B772,고객사!$A$5:$A$104,0)),0))</f>
        <v/>
      </c>
      <c r="Q772" s="22" t="str">
        <f aca="false">IF($B772="","",G772*P772)</f>
        <v/>
      </c>
      <c r="R772" s="22" t="str">
        <f aca="false">IF($B772="","",O772-Q772-L772)</f>
        <v/>
      </c>
      <c r="S772" s="21" t="str">
        <f aca="false">IF(OR($B772="",N(O772)=0),"",R772/O772)</f>
        <v/>
      </c>
      <c r="T772" s="14"/>
      <c r="U772" s="19" t="n">
        <f aca="false">IF(OR($B772="",$A772=""),0,IF(COUNTIFS($A$5:$A772,$A772,$B$5:$B772,$B772)=1,1,0))</f>
        <v>0</v>
      </c>
    </row>
    <row r="773" customFormat="false" ht="15" hidden="false" customHeight="false" outlineLevel="0" collapsed="false">
      <c r="A773" s="17"/>
      <c r="B773" s="13"/>
      <c r="C773" s="20" t="str">
        <f aca="false">IF($B773="","",IFERROR(INDEX(고객사!$B$5:$B$104,MATCH($B773,고객사!$A$5:$A$104,0)),"코드 확인"))</f>
        <v/>
      </c>
      <c r="D773" s="15"/>
      <c r="E773" s="15"/>
      <c r="F773" s="16"/>
      <c r="G773" s="16"/>
      <c r="H773" s="21" t="str">
        <f aca="false">IF(OR($B773="",F773=0),"",G773/F773)</f>
        <v/>
      </c>
      <c r="I773" s="22" t="str">
        <f aca="false">IF($B773="","",MAX(F773-G773,0))</f>
        <v/>
      </c>
      <c r="J773" s="23" t="str">
        <f aca="false">IF($B773="","",IFERROR(INDEX(고객사!$G$5:$G$104,MATCH($B773,고객사!$A$5:$A$104,0)),""))</f>
        <v/>
      </c>
      <c r="K773" s="16"/>
      <c r="L773" s="22" t="str">
        <f aca="false">IF($B773="","",K773*IFERROR(INDEX(고객사!$L$5:$L$104,MATCH($B773,고객사!$A$5:$A$104,0)),0))</f>
        <v/>
      </c>
      <c r="M773" s="23" t="str">
        <f aca="false">IF($B773="","",IF(AND(J773="N",G773&gt;0,K773=0,IFERROR(INDEX(고객사!$H$5:$H$104,MATCH($B773,고객사!$A$5:$A$104,0)),"")="자사 차량 운행"),"차량 미배정",""))</f>
        <v/>
      </c>
      <c r="N773" s="22" t="str">
        <f aca="false">IF($B773="","",IFERROR(INDEX(고객사!$J$5:$J$104,MATCH($B773,고객사!$A$5:$A$104,0)),0))</f>
        <v/>
      </c>
      <c r="O773" s="22" t="str">
        <f aca="false">IF($B773="","",G773*N773)</f>
        <v/>
      </c>
      <c r="P773" s="22" t="str">
        <f aca="false">IF($B773="","",IFERROR(INDEX(고객사!$K$5:$K$104,MATCH($B773,고객사!$A$5:$A$104,0)),0))</f>
        <v/>
      </c>
      <c r="Q773" s="22" t="str">
        <f aca="false">IF($B773="","",G773*P773)</f>
        <v/>
      </c>
      <c r="R773" s="22" t="str">
        <f aca="false">IF($B773="","",O773-Q773-L773)</f>
        <v/>
      </c>
      <c r="S773" s="21" t="str">
        <f aca="false">IF(OR($B773="",N(O773)=0),"",R773/O773)</f>
        <v/>
      </c>
      <c r="T773" s="14"/>
      <c r="U773" s="19" t="n">
        <f aca="false">IF(OR($B773="",$A773=""),0,IF(COUNTIFS($A$5:$A773,$A773,$B$5:$B773,$B773)=1,1,0))</f>
        <v>0</v>
      </c>
    </row>
    <row r="774" customFormat="false" ht="15" hidden="false" customHeight="false" outlineLevel="0" collapsed="false">
      <c r="A774" s="17"/>
      <c r="B774" s="13"/>
      <c r="C774" s="20" t="str">
        <f aca="false">IF($B774="","",IFERROR(INDEX(고객사!$B$5:$B$104,MATCH($B774,고객사!$A$5:$A$104,0)),"코드 확인"))</f>
        <v/>
      </c>
      <c r="D774" s="15"/>
      <c r="E774" s="15"/>
      <c r="F774" s="16"/>
      <c r="G774" s="16"/>
      <c r="H774" s="21" t="str">
        <f aca="false">IF(OR($B774="",F774=0),"",G774/F774)</f>
        <v/>
      </c>
      <c r="I774" s="22" t="str">
        <f aca="false">IF($B774="","",MAX(F774-G774,0))</f>
        <v/>
      </c>
      <c r="J774" s="23" t="str">
        <f aca="false">IF($B774="","",IFERROR(INDEX(고객사!$G$5:$G$104,MATCH($B774,고객사!$A$5:$A$104,0)),""))</f>
        <v/>
      </c>
      <c r="K774" s="16"/>
      <c r="L774" s="22" t="str">
        <f aca="false">IF($B774="","",K774*IFERROR(INDEX(고객사!$L$5:$L$104,MATCH($B774,고객사!$A$5:$A$104,0)),0))</f>
        <v/>
      </c>
      <c r="M774" s="23" t="str">
        <f aca="false">IF($B774="","",IF(AND(J774="N",G774&gt;0,K774=0,IFERROR(INDEX(고객사!$H$5:$H$104,MATCH($B774,고객사!$A$5:$A$104,0)),"")="자사 차량 운행"),"차량 미배정",""))</f>
        <v/>
      </c>
      <c r="N774" s="22" t="str">
        <f aca="false">IF($B774="","",IFERROR(INDEX(고객사!$J$5:$J$104,MATCH($B774,고객사!$A$5:$A$104,0)),0))</f>
        <v/>
      </c>
      <c r="O774" s="22" t="str">
        <f aca="false">IF($B774="","",G774*N774)</f>
        <v/>
      </c>
      <c r="P774" s="22" t="str">
        <f aca="false">IF($B774="","",IFERROR(INDEX(고객사!$K$5:$K$104,MATCH($B774,고객사!$A$5:$A$104,0)),0))</f>
        <v/>
      </c>
      <c r="Q774" s="22" t="str">
        <f aca="false">IF($B774="","",G774*P774)</f>
        <v/>
      </c>
      <c r="R774" s="22" t="str">
        <f aca="false">IF($B774="","",O774-Q774-L774)</f>
        <v/>
      </c>
      <c r="S774" s="21" t="str">
        <f aca="false">IF(OR($B774="",N(O774)=0),"",R774/O774)</f>
        <v/>
      </c>
      <c r="T774" s="14"/>
      <c r="U774" s="19" t="n">
        <f aca="false">IF(OR($B774="",$A774=""),0,IF(COUNTIFS($A$5:$A774,$A774,$B$5:$B774,$B774)=1,1,0))</f>
        <v>0</v>
      </c>
    </row>
    <row r="775" customFormat="false" ht="15" hidden="false" customHeight="false" outlineLevel="0" collapsed="false">
      <c r="A775" s="17"/>
      <c r="B775" s="13"/>
      <c r="C775" s="20" t="str">
        <f aca="false">IF($B775="","",IFERROR(INDEX(고객사!$B$5:$B$104,MATCH($B775,고객사!$A$5:$A$104,0)),"코드 확인"))</f>
        <v/>
      </c>
      <c r="D775" s="15"/>
      <c r="E775" s="15"/>
      <c r="F775" s="16"/>
      <c r="G775" s="16"/>
      <c r="H775" s="21" t="str">
        <f aca="false">IF(OR($B775="",F775=0),"",G775/F775)</f>
        <v/>
      </c>
      <c r="I775" s="22" t="str">
        <f aca="false">IF($B775="","",MAX(F775-G775,0))</f>
        <v/>
      </c>
      <c r="J775" s="23" t="str">
        <f aca="false">IF($B775="","",IFERROR(INDEX(고객사!$G$5:$G$104,MATCH($B775,고객사!$A$5:$A$104,0)),""))</f>
        <v/>
      </c>
      <c r="K775" s="16"/>
      <c r="L775" s="22" t="str">
        <f aca="false">IF($B775="","",K775*IFERROR(INDEX(고객사!$L$5:$L$104,MATCH($B775,고객사!$A$5:$A$104,0)),0))</f>
        <v/>
      </c>
      <c r="M775" s="23" t="str">
        <f aca="false">IF($B775="","",IF(AND(J775="N",G775&gt;0,K775=0,IFERROR(INDEX(고객사!$H$5:$H$104,MATCH($B775,고객사!$A$5:$A$104,0)),"")="자사 차량 운행"),"차량 미배정",""))</f>
        <v/>
      </c>
      <c r="N775" s="22" t="str">
        <f aca="false">IF($B775="","",IFERROR(INDEX(고객사!$J$5:$J$104,MATCH($B775,고객사!$A$5:$A$104,0)),0))</f>
        <v/>
      </c>
      <c r="O775" s="22" t="str">
        <f aca="false">IF($B775="","",G775*N775)</f>
        <v/>
      </c>
      <c r="P775" s="22" t="str">
        <f aca="false">IF($B775="","",IFERROR(INDEX(고객사!$K$5:$K$104,MATCH($B775,고객사!$A$5:$A$104,0)),0))</f>
        <v/>
      </c>
      <c r="Q775" s="22" t="str">
        <f aca="false">IF($B775="","",G775*P775)</f>
        <v/>
      </c>
      <c r="R775" s="22" t="str">
        <f aca="false">IF($B775="","",O775-Q775-L775)</f>
        <v/>
      </c>
      <c r="S775" s="21" t="str">
        <f aca="false">IF(OR($B775="",N(O775)=0),"",R775/O775)</f>
        <v/>
      </c>
      <c r="T775" s="14"/>
      <c r="U775" s="19" t="n">
        <f aca="false">IF(OR($B775="",$A775=""),0,IF(COUNTIFS($A$5:$A775,$A775,$B$5:$B775,$B775)=1,1,0))</f>
        <v>0</v>
      </c>
    </row>
    <row r="776" customFormat="false" ht="15" hidden="false" customHeight="false" outlineLevel="0" collapsed="false">
      <c r="A776" s="17"/>
      <c r="B776" s="13"/>
      <c r="C776" s="20" t="str">
        <f aca="false">IF($B776="","",IFERROR(INDEX(고객사!$B$5:$B$104,MATCH($B776,고객사!$A$5:$A$104,0)),"코드 확인"))</f>
        <v/>
      </c>
      <c r="D776" s="15"/>
      <c r="E776" s="15"/>
      <c r="F776" s="16"/>
      <c r="G776" s="16"/>
      <c r="H776" s="21" t="str">
        <f aca="false">IF(OR($B776="",F776=0),"",G776/F776)</f>
        <v/>
      </c>
      <c r="I776" s="22" t="str">
        <f aca="false">IF($B776="","",MAX(F776-G776,0))</f>
        <v/>
      </c>
      <c r="J776" s="23" t="str">
        <f aca="false">IF($B776="","",IFERROR(INDEX(고객사!$G$5:$G$104,MATCH($B776,고객사!$A$5:$A$104,0)),""))</f>
        <v/>
      </c>
      <c r="K776" s="16"/>
      <c r="L776" s="22" t="str">
        <f aca="false">IF($B776="","",K776*IFERROR(INDEX(고객사!$L$5:$L$104,MATCH($B776,고객사!$A$5:$A$104,0)),0))</f>
        <v/>
      </c>
      <c r="M776" s="23" t="str">
        <f aca="false">IF($B776="","",IF(AND(J776="N",G776&gt;0,K776=0,IFERROR(INDEX(고객사!$H$5:$H$104,MATCH($B776,고객사!$A$5:$A$104,0)),"")="자사 차량 운행"),"차량 미배정",""))</f>
        <v/>
      </c>
      <c r="N776" s="22" t="str">
        <f aca="false">IF($B776="","",IFERROR(INDEX(고객사!$J$5:$J$104,MATCH($B776,고객사!$A$5:$A$104,0)),0))</f>
        <v/>
      </c>
      <c r="O776" s="22" t="str">
        <f aca="false">IF($B776="","",G776*N776)</f>
        <v/>
      </c>
      <c r="P776" s="22" t="str">
        <f aca="false">IF($B776="","",IFERROR(INDEX(고객사!$K$5:$K$104,MATCH($B776,고객사!$A$5:$A$104,0)),0))</f>
        <v/>
      </c>
      <c r="Q776" s="22" t="str">
        <f aca="false">IF($B776="","",G776*P776)</f>
        <v/>
      </c>
      <c r="R776" s="22" t="str">
        <f aca="false">IF($B776="","",O776-Q776-L776)</f>
        <v/>
      </c>
      <c r="S776" s="21" t="str">
        <f aca="false">IF(OR($B776="",N(O776)=0),"",R776/O776)</f>
        <v/>
      </c>
      <c r="T776" s="14"/>
      <c r="U776" s="19" t="n">
        <f aca="false">IF(OR($B776="",$A776=""),0,IF(COUNTIFS($A$5:$A776,$A776,$B$5:$B776,$B776)=1,1,0))</f>
        <v>0</v>
      </c>
    </row>
    <row r="777" customFormat="false" ht="15" hidden="false" customHeight="false" outlineLevel="0" collapsed="false">
      <c r="A777" s="17"/>
      <c r="B777" s="13"/>
      <c r="C777" s="20" t="str">
        <f aca="false">IF($B777="","",IFERROR(INDEX(고객사!$B$5:$B$104,MATCH($B777,고객사!$A$5:$A$104,0)),"코드 확인"))</f>
        <v/>
      </c>
      <c r="D777" s="15"/>
      <c r="E777" s="15"/>
      <c r="F777" s="16"/>
      <c r="G777" s="16"/>
      <c r="H777" s="21" t="str">
        <f aca="false">IF(OR($B777="",F777=0),"",G777/F777)</f>
        <v/>
      </c>
      <c r="I777" s="22" t="str">
        <f aca="false">IF($B777="","",MAX(F777-G777,0))</f>
        <v/>
      </c>
      <c r="J777" s="23" t="str">
        <f aca="false">IF($B777="","",IFERROR(INDEX(고객사!$G$5:$G$104,MATCH($B777,고객사!$A$5:$A$104,0)),""))</f>
        <v/>
      </c>
      <c r="K777" s="16"/>
      <c r="L777" s="22" t="str">
        <f aca="false">IF($B777="","",K777*IFERROR(INDEX(고객사!$L$5:$L$104,MATCH($B777,고객사!$A$5:$A$104,0)),0))</f>
        <v/>
      </c>
      <c r="M777" s="23" t="str">
        <f aca="false">IF($B777="","",IF(AND(J777="N",G777&gt;0,K777=0,IFERROR(INDEX(고객사!$H$5:$H$104,MATCH($B777,고객사!$A$5:$A$104,0)),"")="자사 차량 운행"),"차량 미배정",""))</f>
        <v/>
      </c>
      <c r="N777" s="22" t="str">
        <f aca="false">IF($B777="","",IFERROR(INDEX(고객사!$J$5:$J$104,MATCH($B777,고객사!$A$5:$A$104,0)),0))</f>
        <v/>
      </c>
      <c r="O777" s="22" t="str">
        <f aca="false">IF($B777="","",G777*N777)</f>
        <v/>
      </c>
      <c r="P777" s="22" t="str">
        <f aca="false">IF($B777="","",IFERROR(INDEX(고객사!$K$5:$K$104,MATCH($B777,고객사!$A$5:$A$104,0)),0))</f>
        <v/>
      </c>
      <c r="Q777" s="22" t="str">
        <f aca="false">IF($B777="","",G777*P777)</f>
        <v/>
      </c>
      <c r="R777" s="22" t="str">
        <f aca="false">IF($B777="","",O777-Q777-L777)</f>
        <v/>
      </c>
      <c r="S777" s="21" t="str">
        <f aca="false">IF(OR($B777="",N(O777)=0),"",R777/O777)</f>
        <v/>
      </c>
      <c r="T777" s="14"/>
      <c r="U777" s="19" t="n">
        <f aca="false">IF(OR($B777="",$A777=""),0,IF(COUNTIFS($A$5:$A777,$A777,$B$5:$B777,$B777)=1,1,0))</f>
        <v>0</v>
      </c>
    </row>
    <row r="778" customFormat="false" ht="15" hidden="false" customHeight="false" outlineLevel="0" collapsed="false">
      <c r="A778" s="17"/>
      <c r="B778" s="13"/>
      <c r="C778" s="20" t="str">
        <f aca="false">IF($B778="","",IFERROR(INDEX(고객사!$B$5:$B$104,MATCH($B778,고객사!$A$5:$A$104,0)),"코드 확인"))</f>
        <v/>
      </c>
      <c r="D778" s="15"/>
      <c r="E778" s="15"/>
      <c r="F778" s="16"/>
      <c r="G778" s="16"/>
      <c r="H778" s="21" t="str">
        <f aca="false">IF(OR($B778="",F778=0),"",G778/F778)</f>
        <v/>
      </c>
      <c r="I778" s="22" t="str">
        <f aca="false">IF($B778="","",MAX(F778-G778,0))</f>
        <v/>
      </c>
      <c r="J778" s="23" t="str">
        <f aca="false">IF($B778="","",IFERROR(INDEX(고객사!$G$5:$G$104,MATCH($B778,고객사!$A$5:$A$104,0)),""))</f>
        <v/>
      </c>
      <c r="K778" s="16"/>
      <c r="L778" s="22" t="str">
        <f aca="false">IF($B778="","",K778*IFERROR(INDEX(고객사!$L$5:$L$104,MATCH($B778,고객사!$A$5:$A$104,0)),0))</f>
        <v/>
      </c>
      <c r="M778" s="23" t="str">
        <f aca="false">IF($B778="","",IF(AND(J778="N",G778&gt;0,K778=0,IFERROR(INDEX(고객사!$H$5:$H$104,MATCH($B778,고객사!$A$5:$A$104,0)),"")="자사 차량 운행"),"차량 미배정",""))</f>
        <v/>
      </c>
      <c r="N778" s="22" t="str">
        <f aca="false">IF($B778="","",IFERROR(INDEX(고객사!$J$5:$J$104,MATCH($B778,고객사!$A$5:$A$104,0)),0))</f>
        <v/>
      </c>
      <c r="O778" s="22" t="str">
        <f aca="false">IF($B778="","",G778*N778)</f>
        <v/>
      </c>
      <c r="P778" s="22" t="str">
        <f aca="false">IF($B778="","",IFERROR(INDEX(고객사!$K$5:$K$104,MATCH($B778,고객사!$A$5:$A$104,0)),0))</f>
        <v/>
      </c>
      <c r="Q778" s="22" t="str">
        <f aca="false">IF($B778="","",G778*P778)</f>
        <v/>
      </c>
      <c r="R778" s="22" t="str">
        <f aca="false">IF($B778="","",O778-Q778-L778)</f>
        <v/>
      </c>
      <c r="S778" s="21" t="str">
        <f aca="false">IF(OR($B778="",N(O778)=0),"",R778/O778)</f>
        <v/>
      </c>
      <c r="T778" s="14"/>
      <c r="U778" s="19" t="n">
        <f aca="false">IF(OR($B778="",$A778=""),0,IF(COUNTIFS($A$5:$A778,$A778,$B$5:$B778,$B778)=1,1,0))</f>
        <v>0</v>
      </c>
    </row>
    <row r="779" customFormat="false" ht="15" hidden="false" customHeight="false" outlineLevel="0" collapsed="false">
      <c r="A779" s="17"/>
      <c r="B779" s="13"/>
      <c r="C779" s="20" t="str">
        <f aca="false">IF($B779="","",IFERROR(INDEX(고객사!$B$5:$B$104,MATCH($B779,고객사!$A$5:$A$104,0)),"코드 확인"))</f>
        <v/>
      </c>
      <c r="D779" s="15"/>
      <c r="E779" s="15"/>
      <c r="F779" s="16"/>
      <c r="G779" s="16"/>
      <c r="H779" s="21" t="str">
        <f aca="false">IF(OR($B779="",F779=0),"",G779/F779)</f>
        <v/>
      </c>
      <c r="I779" s="22" t="str">
        <f aca="false">IF($B779="","",MAX(F779-G779,0))</f>
        <v/>
      </c>
      <c r="J779" s="23" t="str">
        <f aca="false">IF($B779="","",IFERROR(INDEX(고객사!$G$5:$G$104,MATCH($B779,고객사!$A$5:$A$104,0)),""))</f>
        <v/>
      </c>
      <c r="K779" s="16"/>
      <c r="L779" s="22" t="str">
        <f aca="false">IF($B779="","",K779*IFERROR(INDEX(고객사!$L$5:$L$104,MATCH($B779,고객사!$A$5:$A$104,0)),0))</f>
        <v/>
      </c>
      <c r="M779" s="23" t="str">
        <f aca="false">IF($B779="","",IF(AND(J779="N",G779&gt;0,K779=0,IFERROR(INDEX(고객사!$H$5:$H$104,MATCH($B779,고객사!$A$5:$A$104,0)),"")="자사 차량 운행"),"차량 미배정",""))</f>
        <v/>
      </c>
      <c r="N779" s="22" t="str">
        <f aca="false">IF($B779="","",IFERROR(INDEX(고객사!$J$5:$J$104,MATCH($B779,고객사!$A$5:$A$104,0)),0))</f>
        <v/>
      </c>
      <c r="O779" s="22" t="str">
        <f aca="false">IF($B779="","",G779*N779)</f>
        <v/>
      </c>
      <c r="P779" s="22" t="str">
        <f aca="false">IF($B779="","",IFERROR(INDEX(고객사!$K$5:$K$104,MATCH($B779,고객사!$A$5:$A$104,0)),0))</f>
        <v/>
      </c>
      <c r="Q779" s="22" t="str">
        <f aca="false">IF($B779="","",G779*P779)</f>
        <v/>
      </c>
      <c r="R779" s="22" t="str">
        <f aca="false">IF($B779="","",O779-Q779-L779)</f>
        <v/>
      </c>
      <c r="S779" s="21" t="str">
        <f aca="false">IF(OR($B779="",N(O779)=0),"",R779/O779)</f>
        <v/>
      </c>
      <c r="T779" s="14"/>
      <c r="U779" s="19" t="n">
        <f aca="false">IF(OR($B779="",$A779=""),0,IF(COUNTIFS($A$5:$A779,$A779,$B$5:$B779,$B779)=1,1,0))</f>
        <v>0</v>
      </c>
    </row>
    <row r="780" customFormat="false" ht="15" hidden="false" customHeight="false" outlineLevel="0" collapsed="false">
      <c r="A780" s="17"/>
      <c r="B780" s="13"/>
      <c r="C780" s="20" t="str">
        <f aca="false">IF($B780="","",IFERROR(INDEX(고객사!$B$5:$B$104,MATCH($B780,고객사!$A$5:$A$104,0)),"코드 확인"))</f>
        <v/>
      </c>
      <c r="D780" s="15"/>
      <c r="E780" s="15"/>
      <c r="F780" s="16"/>
      <c r="G780" s="16"/>
      <c r="H780" s="21" t="str">
        <f aca="false">IF(OR($B780="",F780=0),"",G780/F780)</f>
        <v/>
      </c>
      <c r="I780" s="22" t="str">
        <f aca="false">IF($B780="","",MAX(F780-G780,0))</f>
        <v/>
      </c>
      <c r="J780" s="23" t="str">
        <f aca="false">IF($B780="","",IFERROR(INDEX(고객사!$G$5:$G$104,MATCH($B780,고객사!$A$5:$A$104,0)),""))</f>
        <v/>
      </c>
      <c r="K780" s="16"/>
      <c r="L780" s="22" t="str">
        <f aca="false">IF($B780="","",K780*IFERROR(INDEX(고객사!$L$5:$L$104,MATCH($B780,고객사!$A$5:$A$104,0)),0))</f>
        <v/>
      </c>
      <c r="M780" s="23" t="str">
        <f aca="false">IF($B780="","",IF(AND(J780="N",G780&gt;0,K780=0,IFERROR(INDEX(고객사!$H$5:$H$104,MATCH($B780,고객사!$A$5:$A$104,0)),"")="자사 차량 운행"),"차량 미배정",""))</f>
        <v/>
      </c>
      <c r="N780" s="22" t="str">
        <f aca="false">IF($B780="","",IFERROR(INDEX(고객사!$J$5:$J$104,MATCH($B780,고객사!$A$5:$A$104,0)),0))</f>
        <v/>
      </c>
      <c r="O780" s="22" t="str">
        <f aca="false">IF($B780="","",G780*N780)</f>
        <v/>
      </c>
      <c r="P780" s="22" t="str">
        <f aca="false">IF($B780="","",IFERROR(INDEX(고객사!$K$5:$K$104,MATCH($B780,고객사!$A$5:$A$104,0)),0))</f>
        <v/>
      </c>
      <c r="Q780" s="22" t="str">
        <f aca="false">IF($B780="","",G780*P780)</f>
        <v/>
      </c>
      <c r="R780" s="22" t="str">
        <f aca="false">IF($B780="","",O780-Q780-L780)</f>
        <v/>
      </c>
      <c r="S780" s="21" t="str">
        <f aca="false">IF(OR($B780="",N(O780)=0),"",R780/O780)</f>
        <v/>
      </c>
      <c r="T780" s="14"/>
      <c r="U780" s="19" t="n">
        <f aca="false">IF(OR($B780="",$A780=""),0,IF(COUNTIFS($A$5:$A780,$A780,$B$5:$B780,$B780)=1,1,0))</f>
        <v>0</v>
      </c>
    </row>
    <row r="781" customFormat="false" ht="15" hidden="false" customHeight="false" outlineLevel="0" collapsed="false">
      <c r="A781" s="17"/>
      <c r="B781" s="13"/>
      <c r="C781" s="20" t="str">
        <f aca="false">IF($B781="","",IFERROR(INDEX(고객사!$B$5:$B$104,MATCH($B781,고객사!$A$5:$A$104,0)),"코드 확인"))</f>
        <v/>
      </c>
      <c r="D781" s="15"/>
      <c r="E781" s="15"/>
      <c r="F781" s="16"/>
      <c r="G781" s="16"/>
      <c r="H781" s="21" t="str">
        <f aca="false">IF(OR($B781="",F781=0),"",G781/F781)</f>
        <v/>
      </c>
      <c r="I781" s="22" t="str">
        <f aca="false">IF($B781="","",MAX(F781-G781,0))</f>
        <v/>
      </c>
      <c r="J781" s="23" t="str">
        <f aca="false">IF($B781="","",IFERROR(INDEX(고객사!$G$5:$G$104,MATCH($B781,고객사!$A$5:$A$104,0)),""))</f>
        <v/>
      </c>
      <c r="K781" s="16"/>
      <c r="L781" s="22" t="str">
        <f aca="false">IF($B781="","",K781*IFERROR(INDEX(고객사!$L$5:$L$104,MATCH($B781,고객사!$A$5:$A$104,0)),0))</f>
        <v/>
      </c>
      <c r="M781" s="23" t="str">
        <f aca="false">IF($B781="","",IF(AND(J781="N",G781&gt;0,K781=0,IFERROR(INDEX(고객사!$H$5:$H$104,MATCH($B781,고객사!$A$5:$A$104,0)),"")="자사 차량 운행"),"차량 미배정",""))</f>
        <v/>
      </c>
      <c r="N781" s="22" t="str">
        <f aca="false">IF($B781="","",IFERROR(INDEX(고객사!$J$5:$J$104,MATCH($B781,고객사!$A$5:$A$104,0)),0))</f>
        <v/>
      </c>
      <c r="O781" s="22" t="str">
        <f aca="false">IF($B781="","",G781*N781)</f>
        <v/>
      </c>
      <c r="P781" s="22" t="str">
        <f aca="false">IF($B781="","",IFERROR(INDEX(고객사!$K$5:$K$104,MATCH($B781,고객사!$A$5:$A$104,0)),0))</f>
        <v/>
      </c>
      <c r="Q781" s="22" t="str">
        <f aca="false">IF($B781="","",G781*P781)</f>
        <v/>
      </c>
      <c r="R781" s="22" t="str">
        <f aca="false">IF($B781="","",O781-Q781-L781)</f>
        <v/>
      </c>
      <c r="S781" s="21" t="str">
        <f aca="false">IF(OR($B781="",N(O781)=0),"",R781/O781)</f>
        <v/>
      </c>
      <c r="T781" s="14"/>
      <c r="U781" s="19" t="n">
        <f aca="false">IF(OR($B781="",$A781=""),0,IF(COUNTIFS($A$5:$A781,$A781,$B$5:$B781,$B781)=1,1,0))</f>
        <v>0</v>
      </c>
    </row>
    <row r="782" customFormat="false" ht="15" hidden="false" customHeight="false" outlineLevel="0" collapsed="false">
      <c r="A782" s="17"/>
      <c r="B782" s="13"/>
      <c r="C782" s="20" t="str">
        <f aca="false">IF($B782="","",IFERROR(INDEX(고객사!$B$5:$B$104,MATCH($B782,고객사!$A$5:$A$104,0)),"코드 확인"))</f>
        <v/>
      </c>
      <c r="D782" s="15"/>
      <c r="E782" s="15"/>
      <c r="F782" s="16"/>
      <c r="G782" s="16"/>
      <c r="H782" s="21" t="str">
        <f aca="false">IF(OR($B782="",F782=0),"",G782/F782)</f>
        <v/>
      </c>
      <c r="I782" s="22" t="str">
        <f aca="false">IF($B782="","",MAX(F782-G782,0))</f>
        <v/>
      </c>
      <c r="J782" s="23" t="str">
        <f aca="false">IF($B782="","",IFERROR(INDEX(고객사!$G$5:$G$104,MATCH($B782,고객사!$A$5:$A$104,0)),""))</f>
        <v/>
      </c>
      <c r="K782" s="16"/>
      <c r="L782" s="22" t="str">
        <f aca="false">IF($B782="","",K782*IFERROR(INDEX(고객사!$L$5:$L$104,MATCH($B782,고객사!$A$5:$A$104,0)),0))</f>
        <v/>
      </c>
      <c r="M782" s="23" t="str">
        <f aca="false">IF($B782="","",IF(AND(J782="N",G782&gt;0,K782=0,IFERROR(INDEX(고객사!$H$5:$H$104,MATCH($B782,고객사!$A$5:$A$104,0)),"")="자사 차량 운행"),"차량 미배정",""))</f>
        <v/>
      </c>
      <c r="N782" s="22" t="str">
        <f aca="false">IF($B782="","",IFERROR(INDEX(고객사!$J$5:$J$104,MATCH($B782,고객사!$A$5:$A$104,0)),0))</f>
        <v/>
      </c>
      <c r="O782" s="22" t="str">
        <f aca="false">IF($B782="","",G782*N782)</f>
        <v/>
      </c>
      <c r="P782" s="22" t="str">
        <f aca="false">IF($B782="","",IFERROR(INDEX(고객사!$K$5:$K$104,MATCH($B782,고객사!$A$5:$A$104,0)),0))</f>
        <v/>
      </c>
      <c r="Q782" s="22" t="str">
        <f aca="false">IF($B782="","",G782*P782)</f>
        <v/>
      </c>
      <c r="R782" s="22" t="str">
        <f aca="false">IF($B782="","",O782-Q782-L782)</f>
        <v/>
      </c>
      <c r="S782" s="21" t="str">
        <f aca="false">IF(OR($B782="",N(O782)=0),"",R782/O782)</f>
        <v/>
      </c>
      <c r="T782" s="14"/>
      <c r="U782" s="19" t="n">
        <f aca="false">IF(OR($B782="",$A782=""),0,IF(COUNTIFS($A$5:$A782,$A782,$B$5:$B782,$B782)=1,1,0))</f>
        <v>0</v>
      </c>
    </row>
    <row r="783" customFormat="false" ht="15" hidden="false" customHeight="false" outlineLevel="0" collapsed="false">
      <c r="A783" s="17"/>
      <c r="B783" s="13"/>
      <c r="C783" s="20" t="str">
        <f aca="false">IF($B783="","",IFERROR(INDEX(고객사!$B$5:$B$104,MATCH($B783,고객사!$A$5:$A$104,0)),"코드 확인"))</f>
        <v/>
      </c>
      <c r="D783" s="15"/>
      <c r="E783" s="15"/>
      <c r="F783" s="16"/>
      <c r="G783" s="16"/>
      <c r="H783" s="21" t="str">
        <f aca="false">IF(OR($B783="",F783=0),"",G783/F783)</f>
        <v/>
      </c>
      <c r="I783" s="22" t="str">
        <f aca="false">IF($B783="","",MAX(F783-G783,0))</f>
        <v/>
      </c>
      <c r="J783" s="23" t="str">
        <f aca="false">IF($B783="","",IFERROR(INDEX(고객사!$G$5:$G$104,MATCH($B783,고객사!$A$5:$A$104,0)),""))</f>
        <v/>
      </c>
      <c r="K783" s="16"/>
      <c r="L783" s="22" t="str">
        <f aca="false">IF($B783="","",K783*IFERROR(INDEX(고객사!$L$5:$L$104,MATCH($B783,고객사!$A$5:$A$104,0)),0))</f>
        <v/>
      </c>
      <c r="M783" s="23" t="str">
        <f aca="false">IF($B783="","",IF(AND(J783="N",G783&gt;0,K783=0,IFERROR(INDEX(고객사!$H$5:$H$104,MATCH($B783,고객사!$A$5:$A$104,0)),"")="자사 차량 운행"),"차량 미배정",""))</f>
        <v/>
      </c>
      <c r="N783" s="22" t="str">
        <f aca="false">IF($B783="","",IFERROR(INDEX(고객사!$J$5:$J$104,MATCH($B783,고객사!$A$5:$A$104,0)),0))</f>
        <v/>
      </c>
      <c r="O783" s="22" t="str">
        <f aca="false">IF($B783="","",G783*N783)</f>
        <v/>
      </c>
      <c r="P783" s="22" t="str">
        <f aca="false">IF($B783="","",IFERROR(INDEX(고객사!$K$5:$K$104,MATCH($B783,고객사!$A$5:$A$104,0)),0))</f>
        <v/>
      </c>
      <c r="Q783" s="22" t="str">
        <f aca="false">IF($B783="","",G783*P783)</f>
        <v/>
      </c>
      <c r="R783" s="22" t="str">
        <f aca="false">IF($B783="","",O783-Q783-L783)</f>
        <v/>
      </c>
      <c r="S783" s="21" t="str">
        <f aca="false">IF(OR($B783="",N(O783)=0),"",R783/O783)</f>
        <v/>
      </c>
      <c r="T783" s="14"/>
      <c r="U783" s="19" t="n">
        <f aca="false">IF(OR($B783="",$A783=""),0,IF(COUNTIFS($A$5:$A783,$A783,$B$5:$B783,$B783)=1,1,0))</f>
        <v>0</v>
      </c>
    </row>
    <row r="784" customFormat="false" ht="15" hidden="false" customHeight="false" outlineLevel="0" collapsed="false">
      <c r="A784" s="17"/>
      <c r="B784" s="13"/>
      <c r="C784" s="20" t="str">
        <f aca="false">IF($B784="","",IFERROR(INDEX(고객사!$B$5:$B$104,MATCH($B784,고객사!$A$5:$A$104,0)),"코드 확인"))</f>
        <v/>
      </c>
      <c r="D784" s="15"/>
      <c r="E784" s="15"/>
      <c r="F784" s="16"/>
      <c r="G784" s="16"/>
      <c r="H784" s="21" t="str">
        <f aca="false">IF(OR($B784="",F784=0),"",G784/F784)</f>
        <v/>
      </c>
      <c r="I784" s="22" t="str">
        <f aca="false">IF($B784="","",MAX(F784-G784,0))</f>
        <v/>
      </c>
      <c r="J784" s="23" t="str">
        <f aca="false">IF($B784="","",IFERROR(INDEX(고객사!$G$5:$G$104,MATCH($B784,고객사!$A$5:$A$104,0)),""))</f>
        <v/>
      </c>
      <c r="K784" s="16"/>
      <c r="L784" s="22" t="str">
        <f aca="false">IF($B784="","",K784*IFERROR(INDEX(고객사!$L$5:$L$104,MATCH($B784,고객사!$A$5:$A$104,0)),0))</f>
        <v/>
      </c>
      <c r="M784" s="23" t="str">
        <f aca="false">IF($B784="","",IF(AND(J784="N",G784&gt;0,K784=0,IFERROR(INDEX(고객사!$H$5:$H$104,MATCH($B784,고객사!$A$5:$A$104,0)),"")="자사 차량 운행"),"차량 미배정",""))</f>
        <v/>
      </c>
      <c r="N784" s="22" t="str">
        <f aca="false">IF($B784="","",IFERROR(INDEX(고객사!$J$5:$J$104,MATCH($B784,고객사!$A$5:$A$104,0)),0))</f>
        <v/>
      </c>
      <c r="O784" s="22" t="str">
        <f aca="false">IF($B784="","",G784*N784)</f>
        <v/>
      </c>
      <c r="P784" s="22" t="str">
        <f aca="false">IF($B784="","",IFERROR(INDEX(고객사!$K$5:$K$104,MATCH($B784,고객사!$A$5:$A$104,0)),0))</f>
        <v/>
      </c>
      <c r="Q784" s="22" t="str">
        <f aca="false">IF($B784="","",G784*P784)</f>
        <v/>
      </c>
      <c r="R784" s="22" t="str">
        <f aca="false">IF($B784="","",O784-Q784-L784)</f>
        <v/>
      </c>
      <c r="S784" s="21" t="str">
        <f aca="false">IF(OR($B784="",N(O784)=0),"",R784/O784)</f>
        <v/>
      </c>
      <c r="T784" s="14"/>
      <c r="U784" s="19" t="n">
        <f aca="false">IF(OR($B784="",$A784=""),0,IF(COUNTIFS($A$5:$A784,$A784,$B$5:$B784,$B784)=1,1,0))</f>
        <v>0</v>
      </c>
    </row>
    <row r="785" customFormat="false" ht="15" hidden="false" customHeight="false" outlineLevel="0" collapsed="false">
      <c r="A785" s="17"/>
      <c r="B785" s="13"/>
      <c r="C785" s="20" t="str">
        <f aca="false">IF($B785="","",IFERROR(INDEX(고객사!$B$5:$B$104,MATCH($B785,고객사!$A$5:$A$104,0)),"코드 확인"))</f>
        <v/>
      </c>
      <c r="D785" s="15"/>
      <c r="E785" s="15"/>
      <c r="F785" s="16"/>
      <c r="G785" s="16"/>
      <c r="H785" s="21" t="str">
        <f aca="false">IF(OR($B785="",F785=0),"",G785/F785)</f>
        <v/>
      </c>
      <c r="I785" s="22" t="str">
        <f aca="false">IF($B785="","",MAX(F785-G785,0))</f>
        <v/>
      </c>
      <c r="J785" s="23" t="str">
        <f aca="false">IF($B785="","",IFERROR(INDEX(고객사!$G$5:$G$104,MATCH($B785,고객사!$A$5:$A$104,0)),""))</f>
        <v/>
      </c>
      <c r="K785" s="16"/>
      <c r="L785" s="22" t="str">
        <f aca="false">IF($B785="","",K785*IFERROR(INDEX(고객사!$L$5:$L$104,MATCH($B785,고객사!$A$5:$A$104,0)),0))</f>
        <v/>
      </c>
      <c r="M785" s="23" t="str">
        <f aca="false">IF($B785="","",IF(AND(J785="N",G785&gt;0,K785=0,IFERROR(INDEX(고객사!$H$5:$H$104,MATCH($B785,고객사!$A$5:$A$104,0)),"")="자사 차량 운행"),"차량 미배정",""))</f>
        <v/>
      </c>
      <c r="N785" s="22" t="str">
        <f aca="false">IF($B785="","",IFERROR(INDEX(고객사!$J$5:$J$104,MATCH($B785,고객사!$A$5:$A$104,0)),0))</f>
        <v/>
      </c>
      <c r="O785" s="22" t="str">
        <f aca="false">IF($B785="","",G785*N785)</f>
        <v/>
      </c>
      <c r="P785" s="22" t="str">
        <f aca="false">IF($B785="","",IFERROR(INDEX(고객사!$K$5:$K$104,MATCH($B785,고객사!$A$5:$A$104,0)),0))</f>
        <v/>
      </c>
      <c r="Q785" s="22" t="str">
        <f aca="false">IF($B785="","",G785*P785)</f>
        <v/>
      </c>
      <c r="R785" s="22" t="str">
        <f aca="false">IF($B785="","",O785-Q785-L785)</f>
        <v/>
      </c>
      <c r="S785" s="21" t="str">
        <f aca="false">IF(OR($B785="",N(O785)=0),"",R785/O785)</f>
        <v/>
      </c>
      <c r="T785" s="14"/>
      <c r="U785" s="19" t="n">
        <f aca="false">IF(OR($B785="",$A785=""),0,IF(COUNTIFS($A$5:$A785,$A785,$B$5:$B785,$B785)=1,1,0))</f>
        <v>0</v>
      </c>
    </row>
    <row r="786" customFormat="false" ht="15" hidden="false" customHeight="false" outlineLevel="0" collapsed="false">
      <c r="A786" s="17"/>
      <c r="B786" s="13"/>
      <c r="C786" s="20" t="str">
        <f aca="false">IF($B786="","",IFERROR(INDEX(고객사!$B$5:$B$104,MATCH($B786,고객사!$A$5:$A$104,0)),"코드 확인"))</f>
        <v/>
      </c>
      <c r="D786" s="15"/>
      <c r="E786" s="15"/>
      <c r="F786" s="16"/>
      <c r="G786" s="16"/>
      <c r="H786" s="21" t="str">
        <f aca="false">IF(OR($B786="",F786=0),"",G786/F786)</f>
        <v/>
      </c>
      <c r="I786" s="22" t="str">
        <f aca="false">IF($B786="","",MAX(F786-G786,0))</f>
        <v/>
      </c>
      <c r="J786" s="23" t="str">
        <f aca="false">IF($B786="","",IFERROR(INDEX(고객사!$G$5:$G$104,MATCH($B786,고객사!$A$5:$A$104,0)),""))</f>
        <v/>
      </c>
      <c r="K786" s="16"/>
      <c r="L786" s="22" t="str">
        <f aca="false">IF($B786="","",K786*IFERROR(INDEX(고객사!$L$5:$L$104,MATCH($B786,고객사!$A$5:$A$104,0)),0))</f>
        <v/>
      </c>
      <c r="M786" s="23" t="str">
        <f aca="false">IF($B786="","",IF(AND(J786="N",G786&gt;0,K786=0,IFERROR(INDEX(고객사!$H$5:$H$104,MATCH($B786,고객사!$A$5:$A$104,0)),"")="자사 차량 운행"),"차량 미배정",""))</f>
        <v/>
      </c>
      <c r="N786" s="22" t="str">
        <f aca="false">IF($B786="","",IFERROR(INDEX(고객사!$J$5:$J$104,MATCH($B786,고객사!$A$5:$A$104,0)),0))</f>
        <v/>
      </c>
      <c r="O786" s="22" t="str">
        <f aca="false">IF($B786="","",G786*N786)</f>
        <v/>
      </c>
      <c r="P786" s="22" t="str">
        <f aca="false">IF($B786="","",IFERROR(INDEX(고객사!$K$5:$K$104,MATCH($B786,고객사!$A$5:$A$104,0)),0))</f>
        <v/>
      </c>
      <c r="Q786" s="22" t="str">
        <f aca="false">IF($B786="","",G786*P786)</f>
        <v/>
      </c>
      <c r="R786" s="22" t="str">
        <f aca="false">IF($B786="","",O786-Q786-L786)</f>
        <v/>
      </c>
      <c r="S786" s="21" t="str">
        <f aca="false">IF(OR($B786="",N(O786)=0),"",R786/O786)</f>
        <v/>
      </c>
      <c r="T786" s="14"/>
      <c r="U786" s="19" t="n">
        <f aca="false">IF(OR($B786="",$A786=""),0,IF(COUNTIFS($A$5:$A786,$A786,$B$5:$B786,$B786)=1,1,0))</f>
        <v>0</v>
      </c>
    </row>
    <row r="787" customFormat="false" ht="15" hidden="false" customHeight="false" outlineLevel="0" collapsed="false">
      <c r="A787" s="17"/>
      <c r="B787" s="13"/>
      <c r="C787" s="20" t="str">
        <f aca="false">IF($B787="","",IFERROR(INDEX(고객사!$B$5:$B$104,MATCH($B787,고객사!$A$5:$A$104,0)),"코드 확인"))</f>
        <v/>
      </c>
      <c r="D787" s="15"/>
      <c r="E787" s="15"/>
      <c r="F787" s="16"/>
      <c r="G787" s="16"/>
      <c r="H787" s="21" t="str">
        <f aca="false">IF(OR($B787="",F787=0),"",G787/F787)</f>
        <v/>
      </c>
      <c r="I787" s="22" t="str">
        <f aca="false">IF($B787="","",MAX(F787-G787,0))</f>
        <v/>
      </c>
      <c r="J787" s="23" t="str">
        <f aca="false">IF($B787="","",IFERROR(INDEX(고객사!$G$5:$G$104,MATCH($B787,고객사!$A$5:$A$104,0)),""))</f>
        <v/>
      </c>
      <c r="K787" s="16"/>
      <c r="L787" s="22" t="str">
        <f aca="false">IF($B787="","",K787*IFERROR(INDEX(고객사!$L$5:$L$104,MATCH($B787,고객사!$A$5:$A$104,0)),0))</f>
        <v/>
      </c>
      <c r="M787" s="23" t="str">
        <f aca="false">IF($B787="","",IF(AND(J787="N",G787&gt;0,K787=0,IFERROR(INDEX(고객사!$H$5:$H$104,MATCH($B787,고객사!$A$5:$A$104,0)),"")="자사 차량 운행"),"차량 미배정",""))</f>
        <v/>
      </c>
      <c r="N787" s="22" t="str">
        <f aca="false">IF($B787="","",IFERROR(INDEX(고객사!$J$5:$J$104,MATCH($B787,고객사!$A$5:$A$104,0)),0))</f>
        <v/>
      </c>
      <c r="O787" s="22" t="str">
        <f aca="false">IF($B787="","",G787*N787)</f>
        <v/>
      </c>
      <c r="P787" s="22" t="str">
        <f aca="false">IF($B787="","",IFERROR(INDEX(고객사!$K$5:$K$104,MATCH($B787,고객사!$A$5:$A$104,0)),0))</f>
        <v/>
      </c>
      <c r="Q787" s="22" t="str">
        <f aca="false">IF($B787="","",G787*P787)</f>
        <v/>
      </c>
      <c r="R787" s="22" t="str">
        <f aca="false">IF($B787="","",O787-Q787-L787)</f>
        <v/>
      </c>
      <c r="S787" s="21" t="str">
        <f aca="false">IF(OR($B787="",N(O787)=0),"",R787/O787)</f>
        <v/>
      </c>
      <c r="T787" s="14"/>
      <c r="U787" s="19" t="n">
        <f aca="false">IF(OR($B787="",$A787=""),0,IF(COUNTIFS($A$5:$A787,$A787,$B$5:$B787,$B787)=1,1,0))</f>
        <v>0</v>
      </c>
    </row>
    <row r="788" customFormat="false" ht="15" hidden="false" customHeight="false" outlineLevel="0" collapsed="false">
      <c r="A788" s="17"/>
      <c r="B788" s="13"/>
      <c r="C788" s="20" t="str">
        <f aca="false">IF($B788="","",IFERROR(INDEX(고객사!$B$5:$B$104,MATCH($B788,고객사!$A$5:$A$104,0)),"코드 확인"))</f>
        <v/>
      </c>
      <c r="D788" s="15"/>
      <c r="E788" s="15"/>
      <c r="F788" s="16"/>
      <c r="G788" s="16"/>
      <c r="H788" s="21" t="str">
        <f aca="false">IF(OR($B788="",F788=0),"",G788/F788)</f>
        <v/>
      </c>
      <c r="I788" s="22" t="str">
        <f aca="false">IF($B788="","",MAX(F788-G788,0))</f>
        <v/>
      </c>
      <c r="J788" s="23" t="str">
        <f aca="false">IF($B788="","",IFERROR(INDEX(고객사!$G$5:$G$104,MATCH($B788,고객사!$A$5:$A$104,0)),""))</f>
        <v/>
      </c>
      <c r="K788" s="16"/>
      <c r="L788" s="22" t="str">
        <f aca="false">IF($B788="","",K788*IFERROR(INDEX(고객사!$L$5:$L$104,MATCH($B788,고객사!$A$5:$A$104,0)),0))</f>
        <v/>
      </c>
      <c r="M788" s="23" t="str">
        <f aca="false">IF($B788="","",IF(AND(J788="N",G788&gt;0,K788=0,IFERROR(INDEX(고객사!$H$5:$H$104,MATCH($B788,고객사!$A$5:$A$104,0)),"")="자사 차량 운행"),"차량 미배정",""))</f>
        <v/>
      </c>
      <c r="N788" s="22" t="str">
        <f aca="false">IF($B788="","",IFERROR(INDEX(고객사!$J$5:$J$104,MATCH($B788,고객사!$A$5:$A$104,0)),0))</f>
        <v/>
      </c>
      <c r="O788" s="22" t="str">
        <f aca="false">IF($B788="","",G788*N788)</f>
        <v/>
      </c>
      <c r="P788" s="22" t="str">
        <f aca="false">IF($B788="","",IFERROR(INDEX(고객사!$K$5:$K$104,MATCH($B788,고객사!$A$5:$A$104,0)),0))</f>
        <v/>
      </c>
      <c r="Q788" s="22" t="str">
        <f aca="false">IF($B788="","",G788*P788)</f>
        <v/>
      </c>
      <c r="R788" s="22" t="str">
        <f aca="false">IF($B788="","",O788-Q788-L788)</f>
        <v/>
      </c>
      <c r="S788" s="21" t="str">
        <f aca="false">IF(OR($B788="",N(O788)=0),"",R788/O788)</f>
        <v/>
      </c>
      <c r="T788" s="14"/>
      <c r="U788" s="19" t="n">
        <f aca="false">IF(OR($B788="",$A788=""),0,IF(COUNTIFS($A$5:$A788,$A788,$B$5:$B788,$B788)=1,1,0))</f>
        <v>0</v>
      </c>
    </row>
    <row r="789" customFormat="false" ht="15" hidden="false" customHeight="false" outlineLevel="0" collapsed="false">
      <c r="A789" s="17"/>
      <c r="B789" s="13"/>
      <c r="C789" s="20" t="str">
        <f aca="false">IF($B789="","",IFERROR(INDEX(고객사!$B$5:$B$104,MATCH($B789,고객사!$A$5:$A$104,0)),"코드 확인"))</f>
        <v/>
      </c>
      <c r="D789" s="15"/>
      <c r="E789" s="15"/>
      <c r="F789" s="16"/>
      <c r="G789" s="16"/>
      <c r="H789" s="21" t="str">
        <f aca="false">IF(OR($B789="",F789=0),"",G789/F789)</f>
        <v/>
      </c>
      <c r="I789" s="22" t="str">
        <f aca="false">IF($B789="","",MAX(F789-G789,0))</f>
        <v/>
      </c>
      <c r="J789" s="23" t="str">
        <f aca="false">IF($B789="","",IFERROR(INDEX(고객사!$G$5:$G$104,MATCH($B789,고객사!$A$5:$A$104,0)),""))</f>
        <v/>
      </c>
      <c r="K789" s="16"/>
      <c r="L789" s="22" t="str">
        <f aca="false">IF($B789="","",K789*IFERROR(INDEX(고객사!$L$5:$L$104,MATCH($B789,고객사!$A$5:$A$104,0)),0))</f>
        <v/>
      </c>
      <c r="M789" s="23" t="str">
        <f aca="false">IF($B789="","",IF(AND(J789="N",G789&gt;0,K789=0,IFERROR(INDEX(고객사!$H$5:$H$104,MATCH($B789,고객사!$A$5:$A$104,0)),"")="자사 차량 운행"),"차량 미배정",""))</f>
        <v/>
      </c>
      <c r="N789" s="22" t="str">
        <f aca="false">IF($B789="","",IFERROR(INDEX(고객사!$J$5:$J$104,MATCH($B789,고객사!$A$5:$A$104,0)),0))</f>
        <v/>
      </c>
      <c r="O789" s="22" t="str">
        <f aca="false">IF($B789="","",G789*N789)</f>
        <v/>
      </c>
      <c r="P789" s="22" t="str">
        <f aca="false">IF($B789="","",IFERROR(INDEX(고객사!$K$5:$K$104,MATCH($B789,고객사!$A$5:$A$104,0)),0))</f>
        <v/>
      </c>
      <c r="Q789" s="22" t="str">
        <f aca="false">IF($B789="","",G789*P789)</f>
        <v/>
      </c>
      <c r="R789" s="22" t="str">
        <f aca="false">IF($B789="","",O789-Q789-L789)</f>
        <v/>
      </c>
      <c r="S789" s="21" t="str">
        <f aca="false">IF(OR($B789="",N(O789)=0),"",R789/O789)</f>
        <v/>
      </c>
      <c r="T789" s="14"/>
      <c r="U789" s="19" t="n">
        <f aca="false">IF(OR($B789="",$A789=""),0,IF(COUNTIFS($A$5:$A789,$A789,$B$5:$B789,$B789)=1,1,0))</f>
        <v>0</v>
      </c>
    </row>
    <row r="790" customFormat="false" ht="15" hidden="false" customHeight="false" outlineLevel="0" collapsed="false">
      <c r="A790" s="17"/>
      <c r="B790" s="13"/>
      <c r="C790" s="20" t="str">
        <f aca="false">IF($B790="","",IFERROR(INDEX(고객사!$B$5:$B$104,MATCH($B790,고객사!$A$5:$A$104,0)),"코드 확인"))</f>
        <v/>
      </c>
      <c r="D790" s="15"/>
      <c r="E790" s="15"/>
      <c r="F790" s="16"/>
      <c r="G790" s="16"/>
      <c r="H790" s="21" t="str">
        <f aca="false">IF(OR($B790="",F790=0),"",G790/F790)</f>
        <v/>
      </c>
      <c r="I790" s="22" t="str">
        <f aca="false">IF($B790="","",MAX(F790-G790,0))</f>
        <v/>
      </c>
      <c r="J790" s="23" t="str">
        <f aca="false">IF($B790="","",IFERROR(INDEX(고객사!$G$5:$G$104,MATCH($B790,고객사!$A$5:$A$104,0)),""))</f>
        <v/>
      </c>
      <c r="K790" s="16"/>
      <c r="L790" s="22" t="str">
        <f aca="false">IF($B790="","",K790*IFERROR(INDEX(고객사!$L$5:$L$104,MATCH($B790,고객사!$A$5:$A$104,0)),0))</f>
        <v/>
      </c>
      <c r="M790" s="23" t="str">
        <f aca="false">IF($B790="","",IF(AND(J790="N",G790&gt;0,K790=0,IFERROR(INDEX(고객사!$H$5:$H$104,MATCH($B790,고객사!$A$5:$A$104,0)),"")="자사 차량 운행"),"차량 미배정",""))</f>
        <v/>
      </c>
      <c r="N790" s="22" t="str">
        <f aca="false">IF($B790="","",IFERROR(INDEX(고객사!$J$5:$J$104,MATCH($B790,고객사!$A$5:$A$104,0)),0))</f>
        <v/>
      </c>
      <c r="O790" s="22" t="str">
        <f aca="false">IF($B790="","",G790*N790)</f>
        <v/>
      </c>
      <c r="P790" s="22" t="str">
        <f aca="false">IF($B790="","",IFERROR(INDEX(고객사!$K$5:$K$104,MATCH($B790,고객사!$A$5:$A$104,0)),0))</f>
        <v/>
      </c>
      <c r="Q790" s="22" t="str">
        <f aca="false">IF($B790="","",G790*P790)</f>
        <v/>
      </c>
      <c r="R790" s="22" t="str">
        <f aca="false">IF($B790="","",O790-Q790-L790)</f>
        <v/>
      </c>
      <c r="S790" s="21" t="str">
        <f aca="false">IF(OR($B790="",N(O790)=0),"",R790/O790)</f>
        <v/>
      </c>
      <c r="T790" s="14"/>
      <c r="U790" s="19" t="n">
        <f aca="false">IF(OR($B790="",$A790=""),0,IF(COUNTIFS($A$5:$A790,$A790,$B$5:$B790,$B790)=1,1,0))</f>
        <v>0</v>
      </c>
    </row>
    <row r="791" customFormat="false" ht="15" hidden="false" customHeight="false" outlineLevel="0" collapsed="false">
      <c r="A791" s="17"/>
      <c r="B791" s="13"/>
      <c r="C791" s="20" t="str">
        <f aca="false">IF($B791="","",IFERROR(INDEX(고객사!$B$5:$B$104,MATCH($B791,고객사!$A$5:$A$104,0)),"코드 확인"))</f>
        <v/>
      </c>
      <c r="D791" s="15"/>
      <c r="E791" s="15"/>
      <c r="F791" s="16"/>
      <c r="G791" s="16"/>
      <c r="H791" s="21" t="str">
        <f aca="false">IF(OR($B791="",F791=0),"",G791/F791)</f>
        <v/>
      </c>
      <c r="I791" s="22" t="str">
        <f aca="false">IF($B791="","",MAX(F791-G791,0))</f>
        <v/>
      </c>
      <c r="J791" s="23" t="str">
        <f aca="false">IF($B791="","",IFERROR(INDEX(고객사!$G$5:$G$104,MATCH($B791,고객사!$A$5:$A$104,0)),""))</f>
        <v/>
      </c>
      <c r="K791" s="16"/>
      <c r="L791" s="22" t="str">
        <f aca="false">IF($B791="","",K791*IFERROR(INDEX(고객사!$L$5:$L$104,MATCH($B791,고객사!$A$5:$A$104,0)),0))</f>
        <v/>
      </c>
      <c r="M791" s="23" t="str">
        <f aca="false">IF($B791="","",IF(AND(J791="N",G791&gt;0,K791=0,IFERROR(INDEX(고객사!$H$5:$H$104,MATCH($B791,고객사!$A$5:$A$104,0)),"")="자사 차량 운행"),"차량 미배정",""))</f>
        <v/>
      </c>
      <c r="N791" s="22" t="str">
        <f aca="false">IF($B791="","",IFERROR(INDEX(고객사!$J$5:$J$104,MATCH($B791,고객사!$A$5:$A$104,0)),0))</f>
        <v/>
      </c>
      <c r="O791" s="22" t="str">
        <f aca="false">IF($B791="","",G791*N791)</f>
        <v/>
      </c>
      <c r="P791" s="22" t="str">
        <f aca="false">IF($B791="","",IFERROR(INDEX(고객사!$K$5:$K$104,MATCH($B791,고객사!$A$5:$A$104,0)),0))</f>
        <v/>
      </c>
      <c r="Q791" s="22" t="str">
        <f aca="false">IF($B791="","",G791*P791)</f>
        <v/>
      </c>
      <c r="R791" s="22" t="str">
        <f aca="false">IF($B791="","",O791-Q791-L791)</f>
        <v/>
      </c>
      <c r="S791" s="21" t="str">
        <f aca="false">IF(OR($B791="",N(O791)=0),"",R791/O791)</f>
        <v/>
      </c>
      <c r="T791" s="14"/>
      <c r="U791" s="19" t="n">
        <f aca="false">IF(OR($B791="",$A791=""),0,IF(COUNTIFS($A$5:$A791,$A791,$B$5:$B791,$B791)=1,1,0))</f>
        <v>0</v>
      </c>
    </row>
    <row r="792" customFormat="false" ht="15" hidden="false" customHeight="false" outlineLevel="0" collapsed="false">
      <c r="A792" s="17"/>
      <c r="B792" s="13"/>
      <c r="C792" s="20" t="str">
        <f aca="false">IF($B792="","",IFERROR(INDEX(고객사!$B$5:$B$104,MATCH($B792,고객사!$A$5:$A$104,0)),"코드 확인"))</f>
        <v/>
      </c>
      <c r="D792" s="15"/>
      <c r="E792" s="15"/>
      <c r="F792" s="16"/>
      <c r="G792" s="16"/>
      <c r="H792" s="21" t="str">
        <f aca="false">IF(OR($B792="",F792=0),"",G792/F792)</f>
        <v/>
      </c>
      <c r="I792" s="22" t="str">
        <f aca="false">IF($B792="","",MAX(F792-G792,0))</f>
        <v/>
      </c>
      <c r="J792" s="23" t="str">
        <f aca="false">IF($B792="","",IFERROR(INDEX(고객사!$G$5:$G$104,MATCH($B792,고객사!$A$5:$A$104,0)),""))</f>
        <v/>
      </c>
      <c r="K792" s="16"/>
      <c r="L792" s="22" t="str">
        <f aca="false">IF($B792="","",K792*IFERROR(INDEX(고객사!$L$5:$L$104,MATCH($B792,고객사!$A$5:$A$104,0)),0))</f>
        <v/>
      </c>
      <c r="M792" s="23" t="str">
        <f aca="false">IF($B792="","",IF(AND(J792="N",G792&gt;0,K792=0,IFERROR(INDEX(고객사!$H$5:$H$104,MATCH($B792,고객사!$A$5:$A$104,0)),"")="자사 차량 운행"),"차량 미배정",""))</f>
        <v/>
      </c>
      <c r="N792" s="22" t="str">
        <f aca="false">IF($B792="","",IFERROR(INDEX(고객사!$J$5:$J$104,MATCH($B792,고객사!$A$5:$A$104,0)),0))</f>
        <v/>
      </c>
      <c r="O792" s="22" t="str">
        <f aca="false">IF($B792="","",G792*N792)</f>
        <v/>
      </c>
      <c r="P792" s="22" t="str">
        <f aca="false">IF($B792="","",IFERROR(INDEX(고객사!$K$5:$K$104,MATCH($B792,고객사!$A$5:$A$104,0)),0))</f>
        <v/>
      </c>
      <c r="Q792" s="22" t="str">
        <f aca="false">IF($B792="","",G792*P792)</f>
        <v/>
      </c>
      <c r="R792" s="22" t="str">
        <f aca="false">IF($B792="","",O792-Q792-L792)</f>
        <v/>
      </c>
      <c r="S792" s="21" t="str">
        <f aca="false">IF(OR($B792="",N(O792)=0),"",R792/O792)</f>
        <v/>
      </c>
      <c r="T792" s="14"/>
      <c r="U792" s="19" t="n">
        <f aca="false">IF(OR($B792="",$A792=""),0,IF(COUNTIFS($A$5:$A792,$A792,$B$5:$B792,$B792)=1,1,0))</f>
        <v>0</v>
      </c>
    </row>
    <row r="793" customFormat="false" ht="15" hidden="false" customHeight="false" outlineLevel="0" collapsed="false">
      <c r="A793" s="17"/>
      <c r="B793" s="13"/>
      <c r="C793" s="20" t="str">
        <f aca="false">IF($B793="","",IFERROR(INDEX(고객사!$B$5:$B$104,MATCH($B793,고객사!$A$5:$A$104,0)),"코드 확인"))</f>
        <v/>
      </c>
      <c r="D793" s="15"/>
      <c r="E793" s="15"/>
      <c r="F793" s="16"/>
      <c r="G793" s="16"/>
      <c r="H793" s="21" t="str">
        <f aca="false">IF(OR($B793="",F793=0),"",G793/F793)</f>
        <v/>
      </c>
      <c r="I793" s="22" t="str">
        <f aca="false">IF($B793="","",MAX(F793-G793,0))</f>
        <v/>
      </c>
      <c r="J793" s="23" t="str">
        <f aca="false">IF($B793="","",IFERROR(INDEX(고객사!$G$5:$G$104,MATCH($B793,고객사!$A$5:$A$104,0)),""))</f>
        <v/>
      </c>
      <c r="K793" s="16"/>
      <c r="L793" s="22" t="str">
        <f aca="false">IF($B793="","",K793*IFERROR(INDEX(고객사!$L$5:$L$104,MATCH($B793,고객사!$A$5:$A$104,0)),0))</f>
        <v/>
      </c>
      <c r="M793" s="23" t="str">
        <f aca="false">IF($B793="","",IF(AND(J793="N",G793&gt;0,K793=0,IFERROR(INDEX(고객사!$H$5:$H$104,MATCH($B793,고객사!$A$5:$A$104,0)),"")="자사 차량 운행"),"차량 미배정",""))</f>
        <v/>
      </c>
      <c r="N793" s="22" t="str">
        <f aca="false">IF($B793="","",IFERROR(INDEX(고객사!$J$5:$J$104,MATCH($B793,고객사!$A$5:$A$104,0)),0))</f>
        <v/>
      </c>
      <c r="O793" s="22" t="str">
        <f aca="false">IF($B793="","",G793*N793)</f>
        <v/>
      </c>
      <c r="P793" s="22" t="str">
        <f aca="false">IF($B793="","",IFERROR(INDEX(고객사!$K$5:$K$104,MATCH($B793,고객사!$A$5:$A$104,0)),0))</f>
        <v/>
      </c>
      <c r="Q793" s="22" t="str">
        <f aca="false">IF($B793="","",G793*P793)</f>
        <v/>
      </c>
      <c r="R793" s="22" t="str">
        <f aca="false">IF($B793="","",O793-Q793-L793)</f>
        <v/>
      </c>
      <c r="S793" s="21" t="str">
        <f aca="false">IF(OR($B793="",N(O793)=0),"",R793/O793)</f>
        <v/>
      </c>
      <c r="T793" s="14"/>
      <c r="U793" s="19" t="n">
        <f aca="false">IF(OR($B793="",$A793=""),0,IF(COUNTIFS($A$5:$A793,$A793,$B$5:$B793,$B793)=1,1,0))</f>
        <v>0</v>
      </c>
    </row>
    <row r="794" customFormat="false" ht="15" hidden="false" customHeight="false" outlineLevel="0" collapsed="false">
      <c r="A794" s="17"/>
      <c r="B794" s="13"/>
      <c r="C794" s="20" t="str">
        <f aca="false">IF($B794="","",IFERROR(INDEX(고객사!$B$5:$B$104,MATCH($B794,고객사!$A$5:$A$104,0)),"코드 확인"))</f>
        <v/>
      </c>
      <c r="D794" s="15"/>
      <c r="E794" s="15"/>
      <c r="F794" s="16"/>
      <c r="G794" s="16"/>
      <c r="H794" s="21" t="str">
        <f aca="false">IF(OR($B794="",F794=0),"",G794/F794)</f>
        <v/>
      </c>
      <c r="I794" s="22" t="str">
        <f aca="false">IF($B794="","",MAX(F794-G794,0))</f>
        <v/>
      </c>
      <c r="J794" s="23" t="str">
        <f aca="false">IF($B794="","",IFERROR(INDEX(고객사!$G$5:$G$104,MATCH($B794,고객사!$A$5:$A$104,0)),""))</f>
        <v/>
      </c>
      <c r="K794" s="16"/>
      <c r="L794" s="22" t="str">
        <f aca="false">IF($B794="","",K794*IFERROR(INDEX(고객사!$L$5:$L$104,MATCH($B794,고객사!$A$5:$A$104,0)),0))</f>
        <v/>
      </c>
      <c r="M794" s="23" t="str">
        <f aca="false">IF($B794="","",IF(AND(J794="N",G794&gt;0,K794=0,IFERROR(INDEX(고객사!$H$5:$H$104,MATCH($B794,고객사!$A$5:$A$104,0)),"")="자사 차량 운행"),"차량 미배정",""))</f>
        <v/>
      </c>
      <c r="N794" s="22" t="str">
        <f aca="false">IF($B794="","",IFERROR(INDEX(고객사!$J$5:$J$104,MATCH($B794,고객사!$A$5:$A$104,0)),0))</f>
        <v/>
      </c>
      <c r="O794" s="22" t="str">
        <f aca="false">IF($B794="","",G794*N794)</f>
        <v/>
      </c>
      <c r="P794" s="22" t="str">
        <f aca="false">IF($B794="","",IFERROR(INDEX(고객사!$K$5:$K$104,MATCH($B794,고객사!$A$5:$A$104,0)),0))</f>
        <v/>
      </c>
      <c r="Q794" s="22" t="str">
        <f aca="false">IF($B794="","",G794*P794)</f>
        <v/>
      </c>
      <c r="R794" s="22" t="str">
        <f aca="false">IF($B794="","",O794-Q794-L794)</f>
        <v/>
      </c>
      <c r="S794" s="21" t="str">
        <f aca="false">IF(OR($B794="",N(O794)=0),"",R794/O794)</f>
        <v/>
      </c>
      <c r="T794" s="14"/>
      <c r="U794" s="19" t="n">
        <f aca="false">IF(OR($B794="",$A794=""),0,IF(COUNTIFS($A$5:$A794,$A794,$B$5:$B794,$B794)=1,1,0))</f>
        <v>0</v>
      </c>
    </row>
    <row r="795" customFormat="false" ht="15" hidden="false" customHeight="false" outlineLevel="0" collapsed="false">
      <c r="A795" s="17"/>
      <c r="B795" s="13"/>
      <c r="C795" s="20" t="str">
        <f aca="false">IF($B795="","",IFERROR(INDEX(고객사!$B$5:$B$104,MATCH($B795,고객사!$A$5:$A$104,0)),"코드 확인"))</f>
        <v/>
      </c>
      <c r="D795" s="15"/>
      <c r="E795" s="15"/>
      <c r="F795" s="16"/>
      <c r="G795" s="16"/>
      <c r="H795" s="21" t="str">
        <f aca="false">IF(OR($B795="",F795=0),"",G795/F795)</f>
        <v/>
      </c>
      <c r="I795" s="22" t="str">
        <f aca="false">IF($B795="","",MAX(F795-G795,0))</f>
        <v/>
      </c>
      <c r="J795" s="23" t="str">
        <f aca="false">IF($B795="","",IFERROR(INDEX(고객사!$G$5:$G$104,MATCH($B795,고객사!$A$5:$A$104,0)),""))</f>
        <v/>
      </c>
      <c r="K795" s="16"/>
      <c r="L795" s="22" t="str">
        <f aca="false">IF($B795="","",K795*IFERROR(INDEX(고객사!$L$5:$L$104,MATCH($B795,고객사!$A$5:$A$104,0)),0))</f>
        <v/>
      </c>
      <c r="M795" s="23" t="str">
        <f aca="false">IF($B795="","",IF(AND(J795="N",G795&gt;0,K795=0,IFERROR(INDEX(고객사!$H$5:$H$104,MATCH($B795,고객사!$A$5:$A$104,0)),"")="자사 차량 운행"),"차량 미배정",""))</f>
        <v/>
      </c>
      <c r="N795" s="22" t="str">
        <f aca="false">IF($B795="","",IFERROR(INDEX(고객사!$J$5:$J$104,MATCH($B795,고객사!$A$5:$A$104,0)),0))</f>
        <v/>
      </c>
      <c r="O795" s="22" t="str">
        <f aca="false">IF($B795="","",G795*N795)</f>
        <v/>
      </c>
      <c r="P795" s="22" t="str">
        <f aca="false">IF($B795="","",IFERROR(INDEX(고객사!$K$5:$K$104,MATCH($B795,고객사!$A$5:$A$104,0)),0))</f>
        <v/>
      </c>
      <c r="Q795" s="22" t="str">
        <f aca="false">IF($B795="","",G795*P795)</f>
        <v/>
      </c>
      <c r="R795" s="22" t="str">
        <f aca="false">IF($B795="","",O795-Q795-L795)</f>
        <v/>
      </c>
      <c r="S795" s="21" t="str">
        <f aca="false">IF(OR($B795="",N(O795)=0),"",R795/O795)</f>
        <v/>
      </c>
      <c r="T795" s="14"/>
      <c r="U795" s="19" t="n">
        <f aca="false">IF(OR($B795="",$A795=""),0,IF(COUNTIFS($A$5:$A795,$A795,$B$5:$B795,$B795)=1,1,0))</f>
        <v>0</v>
      </c>
    </row>
    <row r="796" customFormat="false" ht="15" hidden="false" customHeight="false" outlineLevel="0" collapsed="false">
      <c r="A796" s="17"/>
      <c r="B796" s="13"/>
      <c r="C796" s="20" t="str">
        <f aca="false">IF($B796="","",IFERROR(INDEX(고객사!$B$5:$B$104,MATCH($B796,고객사!$A$5:$A$104,0)),"코드 확인"))</f>
        <v/>
      </c>
      <c r="D796" s="15"/>
      <c r="E796" s="15"/>
      <c r="F796" s="16"/>
      <c r="G796" s="16"/>
      <c r="H796" s="21" t="str">
        <f aca="false">IF(OR($B796="",F796=0),"",G796/F796)</f>
        <v/>
      </c>
      <c r="I796" s="22" t="str">
        <f aca="false">IF($B796="","",MAX(F796-G796,0))</f>
        <v/>
      </c>
      <c r="J796" s="23" t="str">
        <f aca="false">IF($B796="","",IFERROR(INDEX(고객사!$G$5:$G$104,MATCH($B796,고객사!$A$5:$A$104,0)),""))</f>
        <v/>
      </c>
      <c r="K796" s="16"/>
      <c r="L796" s="22" t="str">
        <f aca="false">IF($B796="","",K796*IFERROR(INDEX(고객사!$L$5:$L$104,MATCH($B796,고객사!$A$5:$A$104,0)),0))</f>
        <v/>
      </c>
      <c r="M796" s="23" t="str">
        <f aca="false">IF($B796="","",IF(AND(J796="N",G796&gt;0,K796=0,IFERROR(INDEX(고객사!$H$5:$H$104,MATCH($B796,고객사!$A$5:$A$104,0)),"")="자사 차량 운행"),"차량 미배정",""))</f>
        <v/>
      </c>
      <c r="N796" s="22" t="str">
        <f aca="false">IF($B796="","",IFERROR(INDEX(고객사!$J$5:$J$104,MATCH($B796,고객사!$A$5:$A$104,0)),0))</f>
        <v/>
      </c>
      <c r="O796" s="22" t="str">
        <f aca="false">IF($B796="","",G796*N796)</f>
        <v/>
      </c>
      <c r="P796" s="22" t="str">
        <f aca="false">IF($B796="","",IFERROR(INDEX(고객사!$K$5:$K$104,MATCH($B796,고객사!$A$5:$A$104,0)),0))</f>
        <v/>
      </c>
      <c r="Q796" s="22" t="str">
        <f aca="false">IF($B796="","",G796*P796)</f>
        <v/>
      </c>
      <c r="R796" s="22" t="str">
        <f aca="false">IF($B796="","",O796-Q796-L796)</f>
        <v/>
      </c>
      <c r="S796" s="21" t="str">
        <f aca="false">IF(OR($B796="",N(O796)=0),"",R796/O796)</f>
        <v/>
      </c>
      <c r="T796" s="14"/>
      <c r="U796" s="19" t="n">
        <f aca="false">IF(OR($B796="",$A796=""),0,IF(COUNTIFS($A$5:$A796,$A796,$B$5:$B796,$B796)=1,1,0))</f>
        <v>0</v>
      </c>
    </row>
    <row r="797" customFormat="false" ht="15" hidden="false" customHeight="false" outlineLevel="0" collapsed="false">
      <c r="A797" s="17"/>
      <c r="B797" s="13"/>
      <c r="C797" s="20" t="str">
        <f aca="false">IF($B797="","",IFERROR(INDEX(고객사!$B$5:$B$104,MATCH($B797,고객사!$A$5:$A$104,0)),"코드 확인"))</f>
        <v/>
      </c>
      <c r="D797" s="15"/>
      <c r="E797" s="15"/>
      <c r="F797" s="16"/>
      <c r="G797" s="16"/>
      <c r="H797" s="21" t="str">
        <f aca="false">IF(OR($B797="",F797=0),"",G797/F797)</f>
        <v/>
      </c>
      <c r="I797" s="22" t="str">
        <f aca="false">IF($B797="","",MAX(F797-G797,0))</f>
        <v/>
      </c>
      <c r="J797" s="23" t="str">
        <f aca="false">IF($B797="","",IFERROR(INDEX(고객사!$G$5:$G$104,MATCH($B797,고객사!$A$5:$A$104,0)),""))</f>
        <v/>
      </c>
      <c r="K797" s="16"/>
      <c r="L797" s="22" t="str">
        <f aca="false">IF($B797="","",K797*IFERROR(INDEX(고객사!$L$5:$L$104,MATCH($B797,고객사!$A$5:$A$104,0)),0))</f>
        <v/>
      </c>
      <c r="M797" s="23" t="str">
        <f aca="false">IF($B797="","",IF(AND(J797="N",G797&gt;0,K797=0,IFERROR(INDEX(고객사!$H$5:$H$104,MATCH($B797,고객사!$A$5:$A$104,0)),"")="자사 차량 운행"),"차량 미배정",""))</f>
        <v/>
      </c>
      <c r="N797" s="22" t="str">
        <f aca="false">IF($B797="","",IFERROR(INDEX(고객사!$J$5:$J$104,MATCH($B797,고객사!$A$5:$A$104,0)),0))</f>
        <v/>
      </c>
      <c r="O797" s="22" t="str">
        <f aca="false">IF($B797="","",G797*N797)</f>
        <v/>
      </c>
      <c r="P797" s="22" t="str">
        <f aca="false">IF($B797="","",IFERROR(INDEX(고객사!$K$5:$K$104,MATCH($B797,고객사!$A$5:$A$104,0)),0))</f>
        <v/>
      </c>
      <c r="Q797" s="22" t="str">
        <f aca="false">IF($B797="","",G797*P797)</f>
        <v/>
      </c>
      <c r="R797" s="22" t="str">
        <f aca="false">IF($B797="","",O797-Q797-L797)</f>
        <v/>
      </c>
      <c r="S797" s="21" t="str">
        <f aca="false">IF(OR($B797="",N(O797)=0),"",R797/O797)</f>
        <v/>
      </c>
      <c r="T797" s="14"/>
      <c r="U797" s="19" t="n">
        <f aca="false">IF(OR($B797="",$A797=""),0,IF(COUNTIFS($A$5:$A797,$A797,$B$5:$B797,$B797)=1,1,0))</f>
        <v>0</v>
      </c>
    </row>
    <row r="798" customFormat="false" ht="15" hidden="false" customHeight="false" outlineLevel="0" collapsed="false">
      <c r="A798" s="17"/>
      <c r="B798" s="13"/>
      <c r="C798" s="20" t="str">
        <f aca="false">IF($B798="","",IFERROR(INDEX(고객사!$B$5:$B$104,MATCH($B798,고객사!$A$5:$A$104,0)),"코드 확인"))</f>
        <v/>
      </c>
      <c r="D798" s="15"/>
      <c r="E798" s="15"/>
      <c r="F798" s="16"/>
      <c r="G798" s="16"/>
      <c r="H798" s="21" t="str">
        <f aca="false">IF(OR($B798="",F798=0),"",G798/F798)</f>
        <v/>
      </c>
      <c r="I798" s="22" t="str">
        <f aca="false">IF($B798="","",MAX(F798-G798,0))</f>
        <v/>
      </c>
      <c r="J798" s="23" t="str">
        <f aca="false">IF($B798="","",IFERROR(INDEX(고객사!$G$5:$G$104,MATCH($B798,고객사!$A$5:$A$104,0)),""))</f>
        <v/>
      </c>
      <c r="K798" s="16"/>
      <c r="L798" s="22" t="str">
        <f aca="false">IF($B798="","",K798*IFERROR(INDEX(고객사!$L$5:$L$104,MATCH($B798,고객사!$A$5:$A$104,0)),0))</f>
        <v/>
      </c>
      <c r="M798" s="23" t="str">
        <f aca="false">IF($B798="","",IF(AND(J798="N",G798&gt;0,K798=0,IFERROR(INDEX(고객사!$H$5:$H$104,MATCH($B798,고객사!$A$5:$A$104,0)),"")="자사 차량 운행"),"차량 미배정",""))</f>
        <v/>
      </c>
      <c r="N798" s="22" t="str">
        <f aca="false">IF($B798="","",IFERROR(INDEX(고객사!$J$5:$J$104,MATCH($B798,고객사!$A$5:$A$104,0)),0))</f>
        <v/>
      </c>
      <c r="O798" s="22" t="str">
        <f aca="false">IF($B798="","",G798*N798)</f>
        <v/>
      </c>
      <c r="P798" s="22" t="str">
        <f aca="false">IF($B798="","",IFERROR(INDEX(고객사!$K$5:$K$104,MATCH($B798,고객사!$A$5:$A$104,0)),0))</f>
        <v/>
      </c>
      <c r="Q798" s="22" t="str">
        <f aca="false">IF($B798="","",G798*P798)</f>
        <v/>
      </c>
      <c r="R798" s="22" t="str">
        <f aca="false">IF($B798="","",O798-Q798-L798)</f>
        <v/>
      </c>
      <c r="S798" s="21" t="str">
        <f aca="false">IF(OR($B798="",N(O798)=0),"",R798/O798)</f>
        <v/>
      </c>
      <c r="T798" s="14"/>
      <c r="U798" s="19" t="n">
        <f aca="false">IF(OR($B798="",$A798=""),0,IF(COUNTIFS($A$5:$A798,$A798,$B$5:$B798,$B798)=1,1,0))</f>
        <v>0</v>
      </c>
    </row>
    <row r="799" customFormat="false" ht="15" hidden="false" customHeight="false" outlineLevel="0" collapsed="false">
      <c r="A799" s="17"/>
      <c r="B799" s="13"/>
      <c r="C799" s="20" t="str">
        <f aca="false">IF($B799="","",IFERROR(INDEX(고객사!$B$5:$B$104,MATCH($B799,고객사!$A$5:$A$104,0)),"코드 확인"))</f>
        <v/>
      </c>
      <c r="D799" s="15"/>
      <c r="E799" s="15"/>
      <c r="F799" s="16"/>
      <c r="G799" s="16"/>
      <c r="H799" s="21" t="str">
        <f aca="false">IF(OR($B799="",F799=0),"",G799/F799)</f>
        <v/>
      </c>
      <c r="I799" s="22" t="str">
        <f aca="false">IF($B799="","",MAX(F799-G799,0))</f>
        <v/>
      </c>
      <c r="J799" s="23" t="str">
        <f aca="false">IF($B799="","",IFERROR(INDEX(고객사!$G$5:$G$104,MATCH($B799,고객사!$A$5:$A$104,0)),""))</f>
        <v/>
      </c>
      <c r="K799" s="16"/>
      <c r="L799" s="22" t="str">
        <f aca="false">IF($B799="","",K799*IFERROR(INDEX(고객사!$L$5:$L$104,MATCH($B799,고객사!$A$5:$A$104,0)),0))</f>
        <v/>
      </c>
      <c r="M799" s="23" t="str">
        <f aca="false">IF($B799="","",IF(AND(J799="N",G799&gt;0,K799=0,IFERROR(INDEX(고객사!$H$5:$H$104,MATCH($B799,고객사!$A$5:$A$104,0)),"")="자사 차량 운행"),"차량 미배정",""))</f>
        <v/>
      </c>
      <c r="N799" s="22" t="str">
        <f aca="false">IF($B799="","",IFERROR(INDEX(고객사!$J$5:$J$104,MATCH($B799,고객사!$A$5:$A$104,0)),0))</f>
        <v/>
      </c>
      <c r="O799" s="22" t="str">
        <f aca="false">IF($B799="","",G799*N799)</f>
        <v/>
      </c>
      <c r="P799" s="22" t="str">
        <f aca="false">IF($B799="","",IFERROR(INDEX(고객사!$K$5:$K$104,MATCH($B799,고객사!$A$5:$A$104,0)),0))</f>
        <v/>
      </c>
      <c r="Q799" s="22" t="str">
        <f aca="false">IF($B799="","",G799*P799)</f>
        <v/>
      </c>
      <c r="R799" s="22" t="str">
        <f aca="false">IF($B799="","",O799-Q799-L799)</f>
        <v/>
      </c>
      <c r="S799" s="21" t="str">
        <f aca="false">IF(OR($B799="",N(O799)=0),"",R799/O799)</f>
        <v/>
      </c>
      <c r="T799" s="14"/>
      <c r="U799" s="19" t="n">
        <f aca="false">IF(OR($B799="",$A799=""),0,IF(COUNTIFS($A$5:$A799,$A799,$B$5:$B799,$B799)=1,1,0))</f>
        <v>0</v>
      </c>
    </row>
    <row r="800" customFormat="false" ht="15" hidden="false" customHeight="false" outlineLevel="0" collapsed="false">
      <c r="A800" s="17"/>
      <c r="B800" s="13"/>
      <c r="C800" s="20" t="str">
        <f aca="false">IF($B800="","",IFERROR(INDEX(고객사!$B$5:$B$104,MATCH($B800,고객사!$A$5:$A$104,0)),"코드 확인"))</f>
        <v/>
      </c>
      <c r="D800" s="15"/>
      <c r="E800" s="15"/>
      <c r="F800" s="16"/>
      <c r="G800" s="16"/>
      <c r="H800" s="21" t="str">
        <f aca="false">IF(OR($B800="",F800=0),"",G800/F800)</f>
        <v/>
      </c>
      <c r="I800" s="22" t="str">
        <f aca="false">IF($B800="","",MAX(F800-G800,0))</f>
        <v/>
      </c>
      <c r="J800" s="23" t="str">
        <f aca="false">IF($B800="","",IFERROR(INDEX(고객사!$G$5:$G$104,MATCH($B800,고객사!$A$5:$A$104,0)),""))</f>
        <v/>
      </c>
      <c r="K800" s="16"/>
      <c r="L800" s="22" t="str">
        <f aca="false">IF($B800="","",K800*IFERROR(INDEX(고객사!$L$5:$L$104,MATCH($B800,고객사!$A$5:$A$104,0)),0))</f>
        <v/>
      </c>
      <c r="M800" s="23" t="str">
        <f aca="false">IF($B800="","",IF(AND(J800="N",G800&gt;0,K800=0,IFERROR(INDEX(고객사!$H$5:$H$104,MATCH($B800,고객사!$A$5:$A$104,0)),"")="자사 차량 운행"),"차량 미배정",""))</f>
        <v/>
      </c>
      <c r="N800" s="22" t="str">
        <f aca="false">IF($B800="","",IFERROR(INDEX(고객사!$J$5:$J$104,MATCH($B800,고객사!$A$5:$A$104,0)),0))</f>
        <v/>
      </c>
      <c r="O800" s="22" t="str">
        <f aca="false">IF($B800="","",G800*N800)</f>
        <v/>
      </c>
      <c r="P800" s="22" t="str">
        <f aca="false">IF($B800="","",IFERROR(INDEX(고객사!$K$5:$K$104,MATCH($B800,고객사!$A$5:$A$104,0)),0))</f>
        <v/>
      </c>
      <c r="Q800" s="22" t="str">
        <f aca="false">IF($B800="","",G800*P800)</f>
        <v/>
      </c>
      <c r="R800" s="22" t="str">
        <f aca="false">IF($B800="","",O800-Q800-L800)</f>
        <v/>
      </c>
      <c r="S800" s="21" t="str">
        <f aca="false">IF(OR($B800="",N(O800)=0),"",R800/O800)</f>
        <v/>
      </c>
      <c r="T800" s="14"/>
      <c r="U800" s="19" t="n">
        <f aca="false">IF(OR($B800="",$A800=""),0,IF(COUNTIFS($A$5:$A800,$A800,$B$5:$B800,$B800)=1,1,0))</f>
        <v>0</v>
      </c>
    </row>
    <row r="801" customFormat="false" ht="15" hidden="false" customHeight="false" outlineLevel="0" collapsed="false">
      <c r="A801" s="17"/>
      <c r="B801" s="13"/>
      <c r="C801" s="20" t="str">
        <f aca="false">IF($B801="","",IFERROR(INDEX(고객사!$B$5:$B$104,MATCH($B801,고객사!$A$5:$A$104,0)),"코드 확인"))</f>
        <v/>
      </c>
      <c r="D801" s="15"/>
      <c r="E801" s="15"/>
      <c r="F801" s="16"/>
      <c r="G801" s="16"/>
      <c r="H801" s="21" t="str">
        <f aca="false">IF(OR($B801="",F801=0),"",G801/F801)</f>
        <v/>
      </c>
      <c r="I801" s="22" t="str">
        <f aca="false">IF($B801="","",MAX(F801-G801,0))</f>
        <v/>
      </c>
      <c r="J801" s="23" t="str">
        <f aca="false">IF($B801="","",IFERROR(INDEX(고객사!$G$5:$G$104,MATCH($B801,고객사!$A$5:$A$104,0)),""))</f>
        <v/>
      </c>
      <c r="K801" s="16"/>
      <c r="L801" s="22" t="str">
        <f aca="false">IF($B801="","",K801*IFERROR(INDEX(고객사!$L$5:$L$104,MATCH($B801,고객사!$A$5:$A$104,0)),0))</f>
        <v/>
      </c>
      <c r="M801" s="23" t="str">
        <f aca="false">IF($B801="","",IF(AND(J801="N",G801&gt;0,K801=0,IFERROR(INDEX(고객사!$H$5:$H$104,MATCH($B801,고객사!$A$5:$A$104,0)),"")="자사 차량 운행"),"차량 미배정",""))</f>
        <v/>
      </c>
      <c r="N801" s="22" t="str">
        <f aca="false">IF($B801="","",IFERROR(INDEX(고객사!$J$5:$J$104,MATCH($B801,고객사!$A$5:$A$104,0)),0))</f>
        <v/>
      </c>
      <c r="O801" s="22" t="str">
        <f aca="false">IF($B801="","",G801*N801)</f>
        <v/>
      </c>
      <c r="P801" s="22" t="str">
        <f aca="false">IF($B801="","",IFERROR(INDEX(고객사!$K$5:$K$104,MATCH($B801,고객사!$A$5:$A$104,0)),0))</f>
        <v/>
      </c>
      <c r="Q801" s="22" t="str">
        <f aca="false">IF($B801="","",G801*P801)</f>
        <v/>
      </c>
      <c r="R801" s="22" t="str">
        <f aca="false">IF($B801="","",O801-Q801-L801)</f>
        <v/>
      </c>
      <c r="S801" s="21" t="str">
        <f aca="false">IF(OR($B801="",N(O801)=0),"",R801/O801)</f>
        <v/>
      </c>
      <c r="T801" s="14"/>
      <c r="U801" s="19" t="n">
        <f aca="false">IF(OR($B801="",$A801=""),0,IF(COUNTIFS($A$5:$A801,$A801,$B$5:$B801,$B801)=1,1,0))</f>
        <v>0</v>
      </c>
    </row>
    <row r="802" customFormat="false" ht="15" hidden="false" customHeight="false" outlineLevel="0" collapsed="false">
      <c r="A802" s="17"/>
      <c r="B802" s="13"/>
      <c r="C802" s="20" t="str">
        <f aca="false">IF($B802="","",IFERROR(INDEX(고객사!$B$5:$B$104,MATCH($B802,고객사!$A$5:$A$104,0)),"코드 확인"))</f>
        <v/>
      </c>
      <c r="D802" s="15"/>
      <c r="E802" s="15"/>
      <c r="F802" s="16"/>
      <c r="G802" s="16"/>
      <c r="H802" s="21" t="str">
        <f aca="false">IF(OR($B802="",F802=0),"",G802/F802)</f>
        <v/>
      </c>
      <c r="I802" s="22" t="str">
        <f aca="false">IF($B802="","",MAX(F802-G802,0))</f>
        <v/>
      </c>
      <c r="J802" s="23" t="str">
        <f aca="false">IF($B802="","",IFERROR(INDEX(고객사!$G$5:$G$104,MATCH($B802,고객사!$A$5:$A$104,0)),""))</f>
        <v/>
      </c>
      <c r="K802" s="16"/>
      <c r="L802" s="22" t="str">
        <f aca="false">IF($B802="","",K802*IFERROR(INDEX(고객사!$L$5:$L$104,MATCH($B802,고객사!$A$5:$A$104,0)),0))</f>
        <v/>
      </c>
      <c r="M802" s="23" t="str">
        <f aca="false">IF($B802="","",IF(AND(J802="N",G802&gt;0,K802=0,IFERROR(INDEX(고객사!$H$5:$H$104,MATCH($B802,고객사!$A$5:$A$104,0)),"")="자사 차량 운행"),"차량 미배정",""))</f>
        <v/>
      </c>
      <c r="N802" s="22" t="str">
        <f aca="false">IF($B802="","",IFERROR(INDEX(고객사!$J$5:$J$104,MATCH($B802,고객사!$A$5:$A$104,0)),0))</f>
        <v/>
      </c>
      <c r="O802" s="22" t="str">
        <f aca="false">IF($B802="","",G802*N802)</f>
        <v/>
      </c>
      <c r="P802" s="22" t="str">
        <f aca="false">IF($B802="","",IFERROR(INDEX(고객사!$K$5:$K$104,MATCH($B802,고객사!$A$5:$A$104,0)),0))</f>
        <v/>
      </c>
      <c r="Q802" s="22" t="str">
        <f aca="false">IF($B802="","",G802*P802)</f>
        <v/>
      </c>
      <c r="R802" s="22" t="str">
        <f aca="false">IF($B802="","",O802-Q802-L802)</f>
        <v/>
      </c>
      <c r="S802" s="21" t="str">
        <f aca="false">IF(OR($B802="",N(O802)=0),"",R802/O802)</f>
        <v/>
      </c>
      <c r="T802" s="14"/>
      <c r="U802" s="19" t="n">
        <f aca="false">IF(OR($B802="",$A802=""),0,IF(COUNTIFS($A$5:$A802,$A802,$B$5:$B802,$B802)=1,1,0))</f>
        <v>0</v>
      </c>
    </row>
    <row r="803" customFormat="false" ht="15" hidden="false" customHeight="false" outlineLevel="0" collapsed="false">
      <c r="A803" s="17"/>
      <c r="B803" s="13"/>
      <c r="C803" s="20" t="str">
        <f aca="false">IF($B803="","",IFERROR(INDEX(고객사!$B$5:$B$104,MATCH($B803,고객사!$A$5:$A$104,0)),"코드 확인"))</f>
        <v/>
      </c>
      <c r="D803" s="15"/>
      <c r="E803" s="15"/>
      <c r="F803" s="16"/>
      <c r="G803" s="16"/>
      <c r="H803" s="21" t="str">
        <f aca="false">IF(OR($B803="",F803=0),"",G803/F803)</f>
        <v/>
      </c>
      <c r="I803" s="22" t="str">
        <f aca="false">IF($B803="","",MAX(F803-G803,0))</f>
        <v/>
      </c>
      <c r="J803" s="23" t="str">
        <f aca="false">IF($B803="","",IFERROR(INDEX(고객사!$G$5:$G$104,MATCH($B803,고객사!$A$5:$A$104,0)),""))</f>
        <v/>
      </c>
      <c r="K803" s="16"/>
      <c r="L803" s="22" t="str">
        <f aca="false">IF($B803="","",K803*IFERROR(INDEX(고객사!$L$5:$L$104,MATCH($B803,고객사!$A$5:$A$104,0)),0))</f>
        <v/>
      </c>
      <c r="M803" s="23" t="str">
        <f aca="false">IF($B803="","",IF(AND(J803="N",G803&gt;0,K803=0,IFERROR(INDEX(고객사!$H$5:$H$104,MATCH($B803,고객사!$A$5:$A$104,0)),"")="자사 차량 운행"),"차량 미배정",""))</f>
        <v/>
      </c>
      <c r="N803" s="22" t="str">
        <f aca="false">IF($B803="","",IFERROR(INDEX(고객사!$J$5:$J$104,MATCH($B803,고객사!$A$5:$A$104,0)),0))</f>
        <v/>
      </c>
      <c r="O803" s="22" t="str">
        <f aca="false">IF($B803="","",G803*N803)</f>
        <v/>
      </c>
      <c r="P803" s="22" t="str">
        <f aca="false">IF($B803="","",IFERROR(INDEX(고객사!$K$5:$K$104,MATCH($B803,고객사!$A$5:$A$104,0)),0))</f>
        <v/>
      </c>
      <c r="Q803" s="22" t="str">
        <f aca="false">IF($B803="","",G803*P803)</f>
        <v/>
      </c>
      <c r="R803" s="22" t="str">
        <f aca="false">IF($B803="","",O803-Q803-L803)</f>
        <v/>
      </c>
      <c r="S803" s="21" t="str">
        <f aca="false">IF(OR($B803="",N(O803)=0),"",R803/O803)</f>
        <v/>
      </c>
      <c r="T803" s="14"/>
      <c r="U803" s="19" t="n">
        <f aca="false">IF(OR($B803="",$A803=""),0,IF(COUNTIFS($A$5:$A803,$A803,$B$5:$B803,$B803)=1,1,0))</f>
        <v>0</v>
      </c>
    </row>
    <row r="804" customFormat="false" ht="15" hidden="false" customHeight="false" outlineLevel="0" collapsed="false">
      <c r="A804" s="17"/>
      <c r="B804" s="13"/>
      <c r="C804" s="20" t="str">
        <f aca="false">IF($B804="","",IFERROR(INDEX(고객사!$B$5:$B$104,MATCH($B804,고객사!$A$5:$A$104,0)),"코드 확인"))</f>
        <v/>
      </c>
      <c r="D804" s="15"/>
      <c r="E804" s="15"/>
      <c r="F804" s="16"/>
      <c r="G804" s="16"/>
      <c r="H804" s="21" t="str">
        <f aca="false">IF(OR($B804="",F804=0),"",G804/F804)</f>
        <v/>
      </c>
      <c r="I804" s="22" t="str">
        <f aca="false">IF($B804="","",MAX(F804-G804,0))</f>
        <v/>
      </c>
      <c r="J804" s="23" t="str">
        <f aca="false">IF($B804="","",IFERROR(INDEX(고객사!$G$5:$G$104,MATCH($B804,고객사!$A$5:$A$104,0)),""))</f>
        <v/>
      </c>
      <c r="K804" s="16"/>
      <c r="L804" s="22" t="str">
        <f aca="false">IF($B804="","",K804*IFERROR(INDEX(고객사!$L$5:$L$104,MATCH($B804,고객사!$A$5:$A$104,0)),0))</f>
        <v/>
      </c>
      <c r="M804" s="23" t="str">
        <f aca="false">IF($B804="","",IF(AND(J804="N",G804&gt;0,K804=0,IFERROR(INDEX(고객사!$H$5:$H$104,MATCH($B804,고객사!$A$5:$A$104,0)),"")="자사 차량 운행"),"차량 미배정",""))</f>
        <v/>
      </c>
      <c r="N804" s="22" t="str">
        <f aca="false">IF($B804="","",IFERROR(INDEX(고객사!$J$5:$J$104,MATCH($B804,고객사!$A$5:$A$104,0)),0))</f>
        <v/>
      </c>
      <c r="O804" s="22" t="str">
        <f aca="false">IF($B804="","",G804*N804)</f>
        <v/>
      </c>
      <c r="P804" s="22" t="str">
        <f aca="false">IF($B804="","",IFERROR(INDEX(고객사!$K$5:$K$104,MATCH($B804,고객사!$A$5:$A$104,0)),0))</f>
        <v/>
      </c>
      <c r="Q804" s="22" t="str">
        <f aca="false">IF($B804="","",G804*P804)</f>
        <v/>
      </c>
      <c r="R804" s="22" t="str">
        <f aca="false">IF($B804="","",O804-Q804-L804)</f>
        <v/>
      </c>
      <c r="S804" s="21" t="str">
        <f aca="false">IF(OR($B804="",N(O804)=0),"",R804/O804)</f>
        <v/>
      </c>
      <c r="T804" s="14"/>
      <c r="U804" s="19" t="n">
        <f aca="false">IF(OR($B804="",$A804=""),0,IF(COUNTIFS($A$5:$A804,$A804,$B$5:$B804,$B804)=1,1,0))</f>
        <v>0</v>
      </c>
    </row>
    <row r="805" customFormat="false" ht="15" hidden="false" customHeight="false" outlineLevel="0" collapsed="false">
      <c r="A805" s="17"/>
      <c r="B805" s="13"/>
      <c r="C805" s="20" t="str">
        <f aca="false">IF($B805="","",IFERROR(INDEX(고객사!$B$5:$B$104,MATCH($B805,고객사!$A$5:$A$104,0)),"코드 확인"))</f>
        <v/>
      </c>
      <c r="D805" s="15"/>
      <c r="E805" s="15"/>
      <c r="F805" s="16"/>
      <c r="G805" s="16"/>
      <c r="H805" s="21" t="str">
        <f aca="false">IF(OR($B805="",F805=0),"",G805/F805)</f>
        <v/>
      </c>
      <c r="I805" s="22" t="str">
        <f aca="false">IF($B805="","",MAX(F805-G805,0))</f>
        <v/>
      </c>
      <c r="J805" s="23" t="str">
        <f aca="false">IF($B805="","",IFERROR(INDEX(고객사!$G$5:$G$104,MATCH($B805,고객사!$A$5:$A$104,0)),""))</f>
        <v/>
      </c>
      <c r="K805" s="16"/>
      <c r="L805" s="22" t="str">
        <f aca="false">IF($B805="","",K805*IFERROR(INDEX(고객사!$L$5:$L$104,MATCH($B805,고객사!$A$5:$A$104,0)),0))</f>
        <v/>
      </c>
      <c r="M805" s="23" t="str">
        <f aca="false">IF($B805="","",IF(AND(J805="N",G805&gt;0,K805=0,IFERROR(INDEX(고객사!$H$5:$H$104,MATCH($B805,고객사!$A$5:$A$104,0)),"")="자사 차량 운행"),"차량 미배정",""))</f>
        <v/>
      </c>
      <c r="N805" s="22" t="str">
        <f aca="false">IF($B805="","",IFERROR(INDEX(고객사!$J$5:$J$104,MATCH($B805,고객사!$A$5:$A$104,0)),0))</f>
        <v/>
      </c>
      <c r="O805" s="22" t="str">
        <f aca="false">IF($B805="","",G805*N805)</f>
        <v/>
      </c>
      <c r="P805" s="22" t="str">
        <f aca="false">IF($B805="","",IFERROR(INDEX(고객사!$K$5:$K$104,MATCH($B805,고객사!$A$5:$A$104,0)),0))</f>
        <v/>
      </c>
      <c r="Q805" s="22" t="str">
        <f aca="false">IF($B805="","",G805*P805)</f>
        <v/>
      </c>
      <c r="R805" s="22" t="str">
        <f aca="false">IF($B805="","",O805-Q805-L805)</f>
        <v/>
      </c>
      <c r="S805" s="21" t="str">
        <f aca="false">IF(OR($B805="",N(O805)=0),"",R805/O805)</f>
        <v/>
      </c>
      <c r="T805" s="14"/>
      <c r="U805" s="19" t="n">
        <f aca="false">IF(OR($B805="",$A805=""),0,IF(COUNTIFS($A$5:$A805,$A805,$B$5:$B805,$B805)=1,1,0))</f>
        <v>0</v>
      </c>
    </row>
    <row r="806" customFormat="false" ht="15" hidden="false" customHeight="false" outlineLevel="0" collapsed="false">
      <c r="A806" s="17"/>
      <c r="B806" s="13"/>
      <c r="C806" s="20" t="str">
        <f aca="false">IF($B806="","",IFERROR(INDEX(고객사!$B$5:$B$104,MATCH($B806,고객사!$A$5:$A$104,0)),"코드 확인"))</f>
        <v/>
      </c>
      <c r="D806" s="15"/>
      <c r="E806" s="15"/>
      <c r="F806" s="16"/>
      <c r="G806" s="16"/>
      <c r="H806" s="21" t="str">
        <f aca="false">IF(OR($B806="",F806=0),"",G806/F806)</f>
        <v/>
      </c>
      <c r="I806" s="22" t="str">
        <f aca="false">IF($B806="","",MAX(F806-G806,0))</f>
        <v/>
      </c>
      <c r="J806" s="23" t="str">
        <f aca="false">IF($B806="","",IFERROR(INDEX(고객사!$G$5:$G$104,MATCH($B806,고객사!$A$5:$A$104,0)),""))</f>
        <v/>
      </c>
      <c r="K806" s="16"/>
      <c r="L806" s="22" t="str">
        <f aca="false">IF($B806="","",K806*IFERROR(INDEX(고객사!$L$5:$L$104,MATCH($B806,고객사!$A$5:$A$104,0)),0))</f>
        <v/>
      </c>
      <c r="M806" s="23" t="str">
        <f aca="false">IF($B806="","",IF(AND(J806="N",G806&gt;0,K806=0,IFERROR(INDEX(고객사!$H$5:$H$104,MATCH($B806,고객사!$A$5:$A$104,0)),"")="자사 차량 운행"),"차량 미배정",""))</f>
        <v/>
      </c>
      <c r="N806" s="22" t="str">
        <f aca="false">IF($B806="","",IFERROR(INDEX(고객사!$J$5:$J$104,MATCH($B806,고객사!$A$5:$A$104,0)),0))</f>
        <v/>
      </c>
      <c r="O806" s="22" t="str">
        <f aca="false">IF($B806="","",G806*N806)</f>
        <v/>
      </c>
      <c r="P806" s="22" t="str">
        <f aca="false">IF($B806="","",IFERROR(INDEX(고객사!$K$5:$K$104,MATCH($B806,고객사!$A$5:$A$104,0)),0))</f>
        <v/>
      </c>
      <c r="Q806" s="22" t="str">
        <f aca="false">IF($B806="","",G806*P806)</f>
        <v/>
      </c>
      <c r="R806" s="22" t="str">
        <f aca="false">IF($B806="","",O806-Q806-L806)</f>
        <v/>
      </c>
      <c r="S806" s="21" t="str">
        <f aca="false">IF(OR($B806="",N(O806)=0),"",R806/O806)</f>
        <v/>
      </c>
      <c r="T806" s="14"/>
      <c r="U806" s="19" t="n">
        <f aca="false">IF(OR($B806="",$A806=""),0,IF(COUNTIFS($A$5:$A806,$A806,$B$5:$B806,$B806)=1,1,0))</f>
        <v>0</v>
      </c>
    </row>
    <row r="807" customFormat="false" ht="15" hidden="false" customHeight="false" outlineLevel="0" collapsed="false">
      <c r="A807" s="17"/>
      <c r="B807" s="13"/>
      <c r="C807" s="20" t="str">
        <f aca="false">IF($B807="","",IFERROR(INDEX(고객사!$B$5:$B$104,MATCH($B807,고객사!$A$5:$A$104,0)),"코드 확인"))</f>
        <v/>
      </c>
      <c r="D807" s="15"/>
      <c r="E807" s="15"/>
      <c r="F807" s="16"/>
      <c r="G807" s="16"/>
      <c r="H807" s="21" t="str">
        <f aca="false">IF(OR($B807="",F807=0),"",G807/F807)</f>
        <v/>
      </c>
      <c r="I807" s="22" t="str">
        <f aca="false">IF($B807="","",MAX(F807-G807,0))</f>
        <v/>
      </c>
      <c r="J807" s="23" t="str">
        <f aca="false">IF($B807="","",IFERROR(INDEX(고객사!$G$5:$G$104,MATCH($B807,고객사!$A$5:$A$104,0)),""))</f>
        <v/>
      </c>
      <c r="K807" s="16"/>
      <c r="L807" s="22" t="str">
        <f aca="false">IF($B807="","",K807*IFERROR(INDEX(고객사!$L$5:$L$104,MATCH($B807,고객사!$A$5:$A$104,0)),0))</f>
        <v/>
      </c>
      <c r="M807" s="23" t="str">
        <f aca="false">IF($B807="","",IF(AND(J807="N",G807&gt;0,K807=0,IFERROR(INDEX(고객사!$H$5:$H$104,MATCH($B807,고객사!$A$5:$A$104,0)),"")="자사 차량 운행"),"차량 미배정",""))</f>
        <v/>
      </c>
      <c r="N807" s="22" t="str">
        <f aca="false">IF($B807="","",IFERROR(INDEX(고객사!$J$5:$J$104,MATCH($B807,고객사!$A$5:$A$104,0)),0))</f>
        <v/>
      </c>
      <c r="O807" s="22" t="str">
        <f aca="false">IF($B807="","",G807*N807)</f>
        <v/>
      </c>
      <c r="P807" s="22" t="str">
        <f aca="false">IF($B807="","",IFERROR(INDEX(고객사!$K$5:$K$104,MATCH($B807,고객사!$A$5:$A$104,0)),0))</f>
        <v/>
      </c>
      <c r="Q807" s="22" t="str">
        <f aca="false">IF($B807="","",G807*P807)</f>
        <v/>
      </c>
      <c r="R807" s="22" t="str">
        <f aca="false">IF($B807="","",O807-Q807-L807)</f>
        <v/>
      </c>
      <c r="S807" s="21" t="str">
        <f aca="false">IF(OR($B807="",N(O807)=0),"",R807/O807)</f>
        <v/>
      </c>
      <c r="T807" s="14"/>
      <c r="U807" s="19" t="n">
        <f aca="false">IF(OR($B807="",$A807=""),0,IF(COUNTIFS($A$5:$A807,$A807,$B$5:$B807,$B807)=1,1,0))</f>
        <v>0</v>
      </c>
    </row>
    <row r="808" customFormat="false" ht="15" hidden="false" customHeight="false" outlineLevel="0" collapsed="false">
      <c r="A808" s="17"/>
      <c r="B808" s="13"/>
      <c r="C808" s="20" t="str">
        <f aca="false">IF($B808="","",IFERROR(INDEX(고객사!$B$5:$B$104,MATCH($B808,고객사!$A$5:$A$104,0)),"코드 확인"))</f>
        <v/>
      </c>
      <c r="D808" s="15"/>
      <c r="E808" s="15"/>
      <c r="F808" s="16"/>
      <c r="G808" s="16"/>
      <c r="H808" s="21" t="str">
        <f aca="false">IF(OR($B808="",F808=0),"",G808/F808)</f>
        <v/>
      </c>
      <c r="I808" s="22" t="str">
        <f aca="false">IF($B808="","",MAX(F808-G808,0))</f>
        <v/>
      </c>
      <c r="J808" s="23" t="str">
        <f aca="false">IF($B808="","",IFERROR(INDEX(고객사!$G$5:$G$104,MATCH($B808,고객사!$A$5:$A$104,0)),""))</f>
        <v/>
      </c>
      <c r="K808" s="16"/>
      <c r="L808" s="22" t="str">
        <f aca="false">IF($B808="","",K808*IFERROR(INDEX(고객사!$L$5:$L$104,MATCH($B808,고객사!$A$5:$A$104,0)),0))</f>
        <v/>
      </c>
      <c r="M808" s="23" t="str">
        <f aca="false">IF($B808="","",IF(AND(J808="N",G808&gt;0,K808=0,IFERROR(INDEX(고객사!$H$5:$H$104,MATCH($B808,고객사!$A$5:$A$104,0)),"")="자사 차량 운행"),"차량 미배정",""))</f>
        <v/>
      </c>
      <c r="N808" s="22" t="str">
        <f aca="false">IF($B808="","",IFERROR(INDEX(고객사!$J$5:$J$104,MATCH($B808,고객사!$A$5:$A$104,0)),0))</f>
        <v/>
      </c>
      <c r="O808" s="22" t="str">
        <f aca="false">IF($B808="","",G808*N808)</f>
        <v/>
      </c>
      <c r="P808" s="22" t="str">
        <f aca="false">IF($B808="","",IFERROR(INDEX(고객사!$K$5:$K$104,MATCH($B808,고객사!$A$5:$A$104,0)),0))</f>
        <v/>
      </c>
      <c r="Q808" s="22" t="str">
        <f aca="false">IF($B808="","",G808*P808)</f>
        <v/>
      </c>
      <c r="R808" s="22" t="str">
        <f aca="false">IF($B808="","",O808-Q808-L808)</f>
        <v/>
      </c>
      <c r="S808" s="21" t="str">
        <f aca="false">IF(OR($B808="",N(O808)=0),"",R808/O808)</f>
        <v/>
      </c>
      <c r="T808" s="14"/>
      <c r="U808" s="19" t="n">
        <f aca="false">IF(OR($B808="",$A808=""),0,IF(COUNTIFS($A$5:$A808,$A808,$B$5:$B808,$B808)=1,1,0))</f>
        <v>0</v>
      </c>
    </row>
    <row r="809" customFormat="false" ht="15" hidden="false" customHeight="false" outlineLevel="0" collapsed="false">
      <c r="A809" s="17"/>
      <c r="B809" s="13"/>
      <c r="C809" s="20" t="str">
        <f aca="false">IF($B809="","",IFERROR(INDEX(고객사!$B$5:$B$104,MATCH($B809,고객사!$A$5:$A$104,0)),"코드 확인"))</f>
        <v/>
      </c>
      <c r="D809" s="15"/>
      <c r="E809" s="15"/>
      <c r="F809" s="16"/>
      <c r="G809" s="16"/>
      <c r="H809" s="21" t="str">
        <f aca="false">IF(OR($B809="",F809=0),"",G809/F809)</f>
        <v/>
      </c>
      <c r="I809" s="22" t="str">
        <f aca="false">IF($B809="","",MAX(F809-G809,0))</f>
        <v/>
      </c>
      <c r="J809" s="23" t="str">
        <f aca="false">IF($B809="","",IFERROR(INDEX(고객사!$G$5:$G$104,MATCH($B809,고객사!$A$5:$A$104,0)),""))</f>
        <v/>
      </c>
      <c r="K809" s="16"/>
      <c r="L809" s="22" t="str">
        <f aca="false">IF($B809="","",K809*IFERROR(INDEX(고객사!$L$5:$L$104,MATCH($B809,고객사!$A$5:$A$104,0)),0))</f>
        <v/>
      </c>
      <c r="M809" s="23" t="str">
        <f aca="false">IF($B809="","",IF(AND(J809="N",G809&gt;0,K809=0,IFERROR(INDEX(고객사!$H$5:$H$104,MATCH($B809,고객사!$A$5:$A$104,0)),"")="자사 차량 운행"),"차량 미배정",""))</f>
        <v/>
      </c>
      <c r="N809" s="22" t="str">
        <f aca="false">IF($B809="","",IFERROR(INDEX(고객사!$J$5:$J$104,MATCH($B809,고객사!$A$5:$A$104,0)),0))</f>
        <v/>
      </c>
      <c r="O809" s="22" t="str">
        <f aca="false">IF($B809="","",G809*N809)</f>
        <v/>
      </c>
      <c r="P809" s="22" t="str">
        <f aca="false">IF($B809="","",IFERROR(INDEX(고객사!$K$5:$K$104,MATCH($B809,고객사!$A$5:$A$104,0)),0))</f>
        <v/>
      </c>
      <c r="Q809" s="22" t="str">
        <f aca="false">IF($B809="","",G809*P809)</f>
        <v/>
      </c>
      <c r="R809" s="22" t="str">
        <f aca="false">IF($B809="","",O809-Q809-L809)</f>
        <v/>
      </c>
      <c r="S809" s="21" t="str">
        <f aca="false">IF(OR($B809="",N(O809)=0),"",R809/O809)</f>
        <v/>
      </c>
      <c r="T809" s="14"/>
      <c r="U809" s="19" t="n">
        <f aca="false">IF(OR($B809="",$A809=""),0,IF(COUNTIFS($A$5:$A809,$A809,$B$5:$B809,$B809)=1,1,0))</f>
        <v>0</v>
      </c>
    </row>
    <row r="810" customFormat="false" ht="15" hidden="false" customHeight="false" outlineLevel="0" collapsed="false">
      <c r="A810" s="17"/>
      <c r="B810" s="13"/>
      <c r="C810" s="20" t="str">
        <f aca="false">IF($B810="","",IFERROR(INDEX(고객사!$B$5:$B$104,MATCH($B810,고객사!$A$5:$A$104,0)),"코드 확인"))</f>
        <v/>
      </c>
      <c r="D810" s="15"/>
      <c r="E810" s="15"/>
      <c r="F810" s="16"/>
      <c r="G810" s="16"/>
      <c r="H810" s="21" t="str">
        <f aca="false">IF(OR($B810="",F810=0),"",G810/F810)</f>
        <v/>
      </c>
      <c r="I810" s="22" t="str">
        <f aca="false">IF($B810="","",MAX(F810-G810,0))</f>
        <v/>
      </c>
      <c r="J810" s="23" t="str">
        <f aca="false">IF($B810="","",IFERROR(INDEX(고객사!$G$5:$G$104,MATCH($B810,고객사!$A$5:$A$104,0)),""))</f>
        <v/>
      </c>
      <c r="K810" s="16"/>
      <c r="L810" s="22" t="str">
        <f aca="false">IF($B810="","",K810*IFERROR(INDEX(고객사!$L$5:$L$104,MATCH($B810,고객사!$A$5:$A$104,0)),0))</f>
        <v/>
      </c>
      <c r="M810" s="23" t="str">
        <f aca="false">IF($B810="","",IF(AND(J810="N",G810&gt;0,K810=0,IFERROR(INDEX(고객사!$H$5:$H$104,MATCH($B810,고객사!$A$5:$A$104,0)),"")="자사 차량 운행"),"차량 미배정",""))</f>
        <v/>
      </c>
      <c r="N810" s="22" t="str">
        <f aca="false">IF($B810="","",IFERROR(INDEX(고객사!$J$5:$J$104,MATCH($B810,고객사!$A$5:$A$104,0)),0))</f>
        <v/>
      </c>
      <c r="O810" s="22" t="str">
        <f aca="false">IF($B810="","",G810*N810)</f>
        <v/>
      </c>
      <c r="P810" s="22" t="str">
        <f aca="false">IF($B810="","",IFERROR(INDEX(고객사!$K$5:$K$104,MATCH($B810,고객사!$A$5:$A$104,0)),0))</f>
        <v/>
      </c>
      <c r="Q810" s="22" t="str">
        <f aca="false">IF($B810="","",G810*P810)</f>
        <v/>
      </c>
      <c r="R810" s="22" t="str">
        <f aca="false">IF($B810="","",O810-Q810-L810)</f>
        <v/>
      </c>
      <c r="S810" s="21" t="str">
        <f aca="false">IF(OR($B810="",N(O810)=0),"",R810/O810)</f>
        <v/>
      </c>
      <c r="T810" s="14"/>
      <c r="U810" s="19" t="n">
        <f aca="false">IF(OR($B810="",$A810=""),0,IF(COUNTIFS($A$5:$A810,$A810,$B$5:$B810,$B810)=1,1,0))</f>
        <v>0</v>
      </c>
    </row>
    <row r="811" customFormat="false" ht="15" hidden="false" customHeight="false" outlineLevel="0" collapsed="false">
      <c r="A811" s="17"/>
      <c r="B811" s="13"/>
      <c r="C811" s="20" t="str">
        <f aca="false">IF($B811="","",IFERROR(INDEX(고객사!$B$5:$B$104,MATCH($B811,고객사!$A$5:$A$104,0)),"코드 확인"))</f>
        <v/>
      </c>
      <c r="D811" s="15"/>
      <c r="E811" s="15"/>
      <c r="F811" s="16"/>
      <c r="G811" s="16"/>
      <c r="H811" s="21" t="str">
        <f aca="false">IF(OR($B811="",F811=0),"",G811/F811)</f>
        <v/>
      </c>
      <c r="I811" s="22" t="str">
        <f aca="false">IF($B811="","",MAX(F811-G811,0))</f>
        <v/>
      </c>
      <c r="J811" s="23" t="str">
        <f aca="false">IF($B811="","",IFERROR(INDEX(고객사!$G$5:$G$104,MATCH($B811,고객사!$A$5:$A$104,0)),""))</f>
        <v/>
      </c>
      <c r="K811" s="16"/>
      <c r="L811" s="22" t="str">
        <f aca="false">IF($B811="","",K811*IFERROR(INDEX(고객사!$L$5:$L$104,MATCH($B811,고객사!$A$5:$A$104,0)),0))</f>
        <v/>
      </c>
      <c r="M811" s="23" t="str">
        <f aca="false">IF($B811="","",IF(AND(J811="N",G811&gt;0,K811=0,IFERROR(INDEX(고객사!$H$5:$H$104,MATCH($B811,고객사!$A$5:$A$104,0)),"")="자사 차량 운행"),"차량 미배정",""))</f>
        <v/>
      </c>
      <c r="N811" s="22" t="str">
        <f aca="false">IF($B811="","",IFERROR(INDEX(고객사!$J$5:$J$104,MATCH($B811,고객사!$A$5:$A$104,0)),0))</f>
        <v/>
      </c>
      <c r="O811" s="22" t="str">
        <f aca="false">IF($B811="","",G811*N811)</f>
        <v/>
      </c>
      <c r="P811" s="22" t="str">
        <f aca="false">IF($B811="","",IFERROR(INDEX(고객사!$K$5:$K$104,MATCH($B811,고객사!$A$5:$A$104,0)),0))</f>
        <v/>
      </c>
      <c r="Q811" s="22" t="str">
        <f aca="false">IF($B811="","",G811*P811)</f>
        <v/>
      </c>
      <c r="R811" s="22" t="str">
        <f aca="false">IF($B811="","",O811-Q811-L811)</f>
        <v/>
      </c>
      <c r="S811" s="21" t="str">
        <f aca="false">IF(OR($B811="",N(O811)=0),"",R811/O811)</f>
        <v/>
      </c>
      <c r="T811" s="14"/>
      <c r="U811" s="19" t="n">
        <f aca="false">IF(OR($B811="",$A811=""),0,IF(COUNTIFS($A$5:$A811,$A811,$B$5:$B811,$B811)=1,1,0))</f>
        <v>0</v>
      </c>
    </row>
    <row r="812" customFormat="false" ht="15" hidden="false" customHeight="false" outlineLevel="0" collapsed="false">
      <c r="A812" s="17"/>
      <c r="B812" s="13"/>
      <c r="C812" s="20" t="str">
        <f aca="false">IF($B812="","",IFERROR(INDEX(고객사!$B$5:$B$104,MATCH($B812,고객사!$A$5:$A$104,0)),"코드 확인"))</f>
        <v/>
      </c>
      <c r="D812" s="15"/>
      <c r="E812" s="15"/>
      <c r="F812" s="16"/>
      <c r="G812" s="16"/>
      <c r="H812" s="21" t="str">
        <f aca="false">IF(OR($B812="",F812=0),"",G812/F812)</f>
        <v/>
      </c>
      <c r="I812" s="22" t="str">
        <f aca="false">IF($B812="","",MAX(F812-G812,0))</f>
        <v/>
      </c>
      <c r="J812" s="23" t="str">
        <f aca="false">IF($B812="","",IFERROR(INDEX(고객사!$G$5:$G$104,MATCH($B812,고객사!$A$5:$A$104,0)),""))</f>
        <v/>
      </c>
      <c r="K812" s="16"/>
      <c r="L812" s="22" t="str">
        <f aca="false">IF($B812="","",K812*IFERROR(INDEX(고객사!$L$5:$L$104,MATCH($B812,고객사!$A$5:$A$104,0)),0))</f>
        <v/>
      </c>
      <c r="M812" s="23" t="str">
        <f aca="false">IF($B812="","",IF(AND(J812="N",G812&gt;0,K812=0,IFERROR(INDEX(고객사!$H$5:$H$104,MATCH($B812,고객사!$A$5:$A$104,0)),"")="자사 차량 운행"),"차량 미배정",""))</f>
        <v/>
      </c>
      <c r="N812" s="22" t="str">
        <f aca="false">IF($B812="","",IFERROR(INDEX(고객사!$J$5:$J$104,MATCH($B812,고객사!$A$5:$A$104,0)),0))</f>
        <v/>
      </c>
      <c r="O812" s="22" t="str">
        <f aca="false">IF($B812="","",G812*N812)</f>
        <v/>
      </c>
      <c r="P812" s="22" t="str">
        <f aca="false">IF($B812="","",IFERROR(INDEX(고객사!$K$5:$K$104,MATCH($B812,고객사!$A$5:$A$104,0)),0))</f>
        <v/>
      </c>
      <c r="Q812" s="22" t="str">
        <f aca="false">IF($B812="","",G812*P812)</f>
        <v/>
      </c>
      <c r="R812" s="22" t="str">
        <f aca="false">IF($B812="","",O812-Q812-L812)</f>
        <v/>
      </c>
      <c r="S812" s="21" t="str">
        <f aca="false">IF(OR($B812="",N(O812)=0),"",R812/O812)</f>
        <v/>
      </c>
      <c r="T812" s="14"/>
      <c r="U812" s="19" t="n">
        <f aca="false">IF(OR($B812="",$A812=""),0,IF(COUNTIFS($A$5:$A812,$A812,$B$5:$B812,$B812)=1,1,0))</f>
        <v>0</v>
      </c>
    </row>
    <row r="813" customFormat="false" ht="15" hidden="false" customHeight="false" outlineLevel="0" collapsed="false">
      <c r="A813" s="17"/>
      <c r="B813" s="13"/>
      <c r="C813" s="20" t="str">
        <f aca="false">IF($B813="","",IFERROR(INDEX(고객사!$B$5:$B$104,MATCH($B813,고객사!$A$5:$A$104,0)),"코드 확인"))</f>
        <v/>
      </c>
      <c r="D813" s="15"/>
      <c r="E813" s="15"/>
      <c r="F813" s="16"/>
      <c r="G813" s="16"/>
      <c r="H813" s="21" t="str">
        <f aca="false">IF(OR($B813="",F813=0),"",G813/F813)</f>
        <v/>
      </c>
      <c r="I813" s="22" t="str">
        <f aca="false">IF($B813="","",MAX(F813-G813,0))</f>
        <v/>
      </c>
      <c r="J813" s="23" t="str">
        <f aca="false">IF($B813="","",IFERROR(INDEX(고객사!$G$5:$G$104,MATCH($B813,고객사!$A$5:$A$104,0)),""))</f>
        <v/>
      </c>
      <c r="K813" s="16"/>
      <c r="L813" s="22" t="str">
        <f aca="false">IF($B813="","",K813*IFERROR(INDEX(고객사!$L$5:$L$104,MATCH($B813,고객사!$A$5:$A$104,0)),0))</f>
        <v/>
      </c>
      <c r="M813" s="23" t="str">
        <f aca="false">IF($B813="","",IF(AND(J813="N",G813&gt;0,K813=0,IFERROR(INDEX(고객사!$H$5:$H$104,MATCH($B813,고객사!$A$5:$A$104,0)),"")="자사 차량 운행"),"차량 미배정",""))</f>
        <v/>
      </c>
      <c r="N813" s="22" t="str">
        <f aca="false">IF($B813="","",IFERROR(INDEX(고객사!$J$5:$J$104,MATCH($B813,고객사!$A$5:$A$104,0)),0))</f>
        <v/>
      </c>
      <c r="O813" s="22" t="str">
        <f aca="false">IF($B813="","",G813*N813)</f>
        <v/>
      </c>
      <c r="P813" s="22" t="str">
        <f aca="false">IF($B813="","",IFERROR(INDEX(고객사!$K$5:$K$104,MATCH($B813,고객사!$A$5:$A$104,0)),0))</f>
        <v/>
      </c>
      <c r="Q813" s="22" t="str">
        <f aca="false">IF($B813="","",G813*P813)</f>
        <v/>
      </c>
      <c r="R813" s="22" t="str">
        <f aca="false">IF($B813="","",O813-Q813-L813)</f>
        <v/>
      </c>
      <c r="S813" s="21" t="str">
        <f aca="false">IF(OR($B813="",N(O813)=0),"",R813/O813)</f>
        <v/>
      </c>
      <c r="T813" s="14"/>
      <c r="U813" s="19" t="n">
        <f aca="false">IF(OR($B813="",$A813=""),0,IF(COUNTIFS($A$5:$A813,$A813,$B$5:$B813,$B813)=1,1,0))</f>
        <v>0</v>
      </c>
    </row>
    <row r="814" customFormat="false" ht="15" hidden="false" customHeight="false" outlineLevel="0" collapsed="false">
      <c r="A814" s="17"/>
      <c r="B814" s="13"/>
      <c r="C814" s="20" t="str">
        <f aca="false">IF($B814="","",IFERROR(INDEX(고객사!$B$5:$B$104,MATCH($B814,고객사!$A$5:$A$104,0)),"코드 확인"))</f>
        <v/>
      </c>
      <c r="D814" s="15"/>
      <c r="E814" s="15"/>
      <c r="F814" s="16"/>
      <c r="G814" s="16"/>
      <c r="H814" s="21" t="str">
        <f aca="false">IF(OR($B814="",F814=0),"",G814/F814)</f>
        <v/>
      </c>
      <c r="I814" s="22" t="str">
        <f aca="false">IF($B814="","",MAX(F814-G814,0))</f>
        <v/>
      </c>
      <c r="J814" s="23" t="str">
        <f aca="false">IF($B814="","",IFERROR(INDEX(고객사!$G$5:$G$104,MATCH($B814,고객사!$A$5:$A$104,0)),""))</f>
        <v/>
      </c>
      <c r="K814" s="16"/>
      <c r="L814" s="22" t="str">
        <f aca="false">IF($B814="","",K814*IFERROR(INDEX(고객사!$L$5:$L$104,MATCH($B814,고객사!$A$5:$A$104,0)),0))</f>
        <v/>
      </c>
      <c r="M814" s="23" t="str">
        <f aca="false">IF($B814="","",IF(AND(J814="N",G814&gt;0,K814=0,IFERROR(INDEX(고객사!$H$5:$H$104,MATCH($B814,고객사!$A$5:$A$104,0)),"")="자사 차량 운행"),"차량 미배정",""))</f>
        <v/>
      </c>
      <c r="N814" s="22" t="str">
        <f aca="false">IF($B814="","",IFERROR(INDEX(고객사!$J$5:$J$104,MATCH($B814,고객사!$A$5:$A$104,0)),0))</f>
        <v/>
      </c>
      <c r="O814" s="22" t="str">
        <f aca="false">IF($B814="","",G814*N814)</f>
        <v/>
      </c>
      <c r="P814" s="22" t="str">
        <f aca="false">IF($B814="","",IFERROR(INDEX(고객사!$K$5:$K$104,MATCH($B814,고객사!$A$5:$A$104,0)),0))</f>
        <v/>
      </c>
      <c r="Q814" s="22" t="str">
        <f aca="false">IF($B814="","",G814*P814)</f>
        <v/>
      </c>
      <c r="R814" s="22" t="str">
        <f aca="false">IF($B814="","",O814-Q814-L814)</f>
        <v/>
      </c>
      <c r="S814" s="21" t="str">
        <f aca="false">IF(OR($B814="",N(O814)=0),"",R814/O814)</f>
        <v/>
      </c>
      <c r="T814" s="14"/>
      <c r="U814" s="19" t="n">
        <f aca="false">IF(OR($B814="",$A814=""),0,IF(COUNTIFS($A$5:$A814,$A814,$B$5:$B814,$B814)=1,1,0))</f>
        <v>0</v>
      </c>
    </row>
    <row r="815" customFormat="false" ht="15" hidden="false" customHeight="false" outlineLevel="0" collapsed="false">
      <c r="A815" s="17"/>
      <c r="B815" s="13"/>
      <c r="C815" s="20" t="str">
        <f aca="false">IF($B815="","",IFERROR(INDEX(고객사!$B$5:$B$104,MATCH($B815,고객사!$A$5:$A$104,0)),"코드 확인"))</f>
        <v/>
      </c>
      <c r="D815" s="15"/>
      <c r="E815" s="15"/>
      <c r="F815" s="16"/>
      <c r="G815" s="16"/>
      <c r="H815" s="21" t="str">
        <f aca="false">IF(OR($B815="",F815=0),"",G815/F815)</f>
        <v/>
      </c>
      <c r="I815" s="22" t="str">
        <f aca="false">IF($B815="","",MAX(F815-G815,0))</f>
        <v/>
      </c>
      <c r="J815" s="23" t="str">
        <f aca="false">IF($B815="","",IFERROR(INDEX(고객사!$G$5:$G$104,MATCH($B815,고객사!$A$5:$A$104,0)),""))</f>
        <v/>
      </c>
      <c r="K815" s="16"/>
      <c r="L815" s="22" t="str">
        <f aca="false">IF($B815="","",K815*IFERROR(INDEX(고객사!$L$5:$L$104,MATCH($B815,고객사!$A$5:$A$104,0)),0))</f>
        <v/>
      </c>
      <c r="M815" s="23" t="str">
        <f aca="false">IF($B815="","",IF(AND(J815="N",G815&gt;0,K815=0,IFERROR(INDEX(고객사!$H$5:$H$104,MATCH($B815,고객사!$A$5:$A$104,0)),"")="자사 차량 운행"),"차량 미배정",""))</f>
        <v/>
      </c>
      <c r="N815" s="22" t="str">
        <f aca="false">IF($B815="","",IFERROR(INDEX(고객사!$J$5:$J$104,MATCH($B815,고객사!$A$5:$A$104,0)),0))</f>
        <v/>
      </c>
      <c r="O815" s="22" t="str">
        <f aca="false">IF($B815="","",G815*N815)</f>
        <v/>
      </c>
      <c r="P815" s="22" t="str">
        <f aca="false">IF($B815="","",IFERROR(INDEX(고객사!$K$5:$K$104,MATCH($B815,고객사!$A$5:$A$104,0)),0))</f>
        <v/>
      </c>
      <c r="Q815" s="22" t="str">
        <f aca="false">IF($B815="","",G815*P815)</f>
        <v/>
      </c>
      <c r="R815" s="22" t="str">
        <f aca="false">IF($B815="","",O815-Q815-L815)</f>
        <v/>
      </c>
      <c r="S815" s="21" t="str">
        <f aca="false">IF(OR($B815="",N(O815)=0),"",R815/O815)</f>
        <v/>
      </c>
      <c r="T815" s="14"/>
      <c r="U815" s="19" t="n">
        <f aca="false">IF(OR($B815="",$A815=""),0,IF(COUNTIFS($A$5:$A815,$A815,$B$5:$B815,$B815)=1,1,0))</f>
        <v>0</v>
      </c>
    </row>
    <row r="816" customFormat="false" ht="15" hidden="false" customHeight="false" outlineLevel="0" collapsed="false">
      <c r="A816" s="17"/>
      <c r="B816" s="13"/>
      <c r="C816" s="20" t="str">
        <f aca="false">IF($B816="","",IFERROR(INDEX(고객사!$B$5:$B$104,MATCH($B816,고객사!$A$5:$A$104,0)),"코드 확인"))</f>
        <v/>
      </c>
      <c r="D816" s="15"/>
      <c r="E816" s="15"/>
      <c r="F816" s="16"/>
      <c r="G816" s="16"/>
      <c r="H816" s="21" t="str">
        <f aca="false">IF(OR($B816="",F816=0),"",G816/F816)</f>
        <v/>
      </c>
      <c r="I816" s="22" t="str">
        <f aca="false">IF($B816="","",MAX(F816-G816,0))</f>
        <v/>
      </c>
      <c r="J816" s="23" t="str">
        <f aca="false">IF($B816="","",IFERROR(INDEX(고객사!$G$5:$G$104,MATCH($B816,고객사!$A$5:$A$104,0)),""))</f>
        <v/>
      </c>
      <c r="K816" s="16"/>
      <c r="L816" s="22" t="str">
        <f aca="false">IF($B816="","",K816*IFERROR(INDEX(고객사!$L$5:$L$104,MATCH($B816,고객사!$A$5:$A$104,0)),0))</f>
        <v/>
      </c>
      <c r="M816" s="23" t="str">
        <f aca="false">IF($B816="","",IF(AND(J816="N",G816&gt;0,K816=0,IFERROR(INDEX(고객사!$H$5:$H$104,MATCH($B816,고객사!$A$5:$A$104,0)),"")="자사 차량 운행"),"차량 미배정",""))</f>
        <v/>
      </c>
      <c r="N816" s="22" t="str">
        <f aca="false">IF($B816="","",IFERROR(INDEX(고객사!$J$5:$J$104,MATCH($B816,고객사!$A$5:$A$104,0)),0))</f>
        <v/>
      </c>
      <c r="O816" s="22" t="str">
        <f aca="false">IF($B816="","",G816*N816)</f>
        <v/>
      </c>
      <c r="P816" s="22" t="str">
        <f aca="false">IF($B816="","",IFERROR(INDEX(고객사!$K$5:$K$104,MATCH($B816,고객사!$A$5:$A$104,0)),0))</f>
        <v/>
      </c>
      <c r="Q816" s="22" t="str">
        <f aca="false">IF($B816="","",G816*P816)</f>
        <v/>
      </c>
      <c r="R816" s="22" t="str">
        <f aca="false">IF($B816="","",O816-Q816-L816)</f>
        <v/>
      </c>
      <c r="S816" s="21" t="str">
        <f aca="false">IF(OR($B816="",N(O816)=0),"",R816/O816)</f>
        <v/>
      </c>
      <c r="T816" s="14"/>
      <c r="U816" s="19" t="n">
        <f aca="false">IF(OR($B816="",$A816=""),0,IF(COUNTIFS($A$5:$A816,$A816,$B$5:$B816,$B816)=1,1,0))</f>
        <v>0</v>
      </c>
    </row>
    <row r="817" customFormat="false" ht="15" hidden="false" customHeight="false" outlineLevel="0" collapsed="false">
      <c r="A817" s="17"/>
      <c r="B817" s="13"/>
      <c r="C817" s="20" t="str">
        <f aca="false">IF($B817="","",IFERROR(INDEX(고객사!$B$5:$B$104,MATCH($B817,고객사!$A$5:$A$104,0)),"코드 확인"))</f>
        <v/>
      </c>
      <c r="D817" s="15"/>
      <c r="E817" s="15"/>
      <c r="F817" s="16"/>
      <c r="G817" s="16"/>
      <c r="H817" s="21" t="str">
        <f aca="false">IF(OR($B817="",F817=0),"",G817/F817)</f>
        <v/>
      </c>
      <c r="I817" s="22" t="str">
        <f aca="false">IF($B817="","",MAX(F817-G817,0))</f>
        <v/>
      </c>
      <c r="J817" s="23" t="str">
        <f aca="false">IF($B817="","",IFERROR(INDEX(고객사!$G$5:$G$104,MATCH($B817,고객사!$A$5:$A$104,0)),""))</f>
        <v/>
      </c>
      <c r="K817" s="16"/>
      <c r="L817" s="22" t="str">
        <f aca="false">IF($B817="","",K817*IFERROR(INDEX(고객사!$L$5:$L$104,MATCH($B817,고객사!$A$5:$A$104,0)),0))</f>
        <v/>
      </c>
      <c r="M817" s="23" t="str">
        <f aca="false">IF($B817="","",IF(AND(J817="N",G817&gt;0,K817=0,IFERROR(INDEX(고객사!$H$5:$H$104,MATCH($B817,고객사!$A$5:$A$104,0)),"")="자사 차량 운행"),"차량 미배정",""))</f>
        <v/>
      </c>
      <c r="N817" s="22" t="str">
        <f aca="false">IF($B817="","",IFERROR(INDEX(고객사!$J$5:$J$104,MATCH($B817,고객사!$A$5:$A$104,0)),0))</f>
        <v/>
      </c>
      <c r="O817" s="22" t="str">
        <f aca="false">IF($B817="","",G817*N817)</f>
        <v/>
      </c>
      <c r="P817" s="22" t="str">
        <f aca="false">IF($B817="","",IFERROR(INDEX(고객사!$K$5:$K$104,MATCH($B817,고객사!$A$5:$A$104,0)),0))</f>
        <v/>
      </c>
      <c r="Q817" s="22" t="str">
        <f aca="false">IF($B817="","",G817*P817)</f>
        <v/>
      </c>
      <c r="R817" s="22" t="str">
        <f aca="false">IF($B817="","",O817-Q817-L817)</f>
        <v/>
      </c>
      <c r="S817" s="21" t="str">
        <f aca="false">IF(OR($B817="",N(O817)=0),"",R817/O817)</f>
        <v/>
      </c>
      <c r="T817" s="14"/>
      <c r="U817" s="19" t="n">
        <f aca="false">IF(OR($B817="",$A817=""),0,IF(COUNTIFS($A$5:$A817,$A817,$B$5:$B817,$B817)=1,1,0))</f>
        <v>0</v>
      </c>
    </row>
    <row r="818" customFormat="false" ht="15" hidden="false" customHeight="false" outlineLevel="0" collapsed="false">
      <c r="A818" s="17"/>
      <c r="B818" s="13"/>
      <c r="C818" s="20" t="str">
        <f aca="false">IF($B818="","",IFERROR(INDEX(고객사!$B$5:$B$104,MATCH($B818,고객사!$A$5:$A$104,0)),"코드 확인"))</f>
        <v/>
      </c>
      <c r="D818" s="15"/>
      <c r="E818" s="15"/>
      <c r="F818" s="16"/>
      <c r="G818" s="16"/>
      <c r="H818" s="21" t="str">
        <f aca="false">IF(OR($B818="",F818=0),"",G818/F818)</f>
        <v/>
      </c>
      <c r="I818" s="22" t="str">
        <f aca="false">IF($B818="","",MAX(F818-G818,0))</f>
        <v/>
      </c>
      <c r="J818" s="23" t="str">
        <f aca="false">IF($B818="","",IFERROR(INDEX(고객사!$G$5:$G$104,MATCH($B818,고객사!$A$5:$A$104,0)),""))</f>
        <v/>
      </c>
      <c r="K818" s="16"/>
      <c r="L818" s="22" t="str">
        <f aca="false">IF($B818="","",K818*IFERROR(INDEX(고객사!$L$5:$L$104,MATCH($B818,고객사!$A$5:$A$104,0)),0))</f>
        <v/>
      </c>
      <c r="M818" s="23" t="str">
        <f aca="false">IF($B818="","",IF(AND(J818="N",G818&gt;0,K818=0,IFERROR(INDEX(고객사!$H$5:$H$104,MATCH($B818,고객사!$A$5:$A$104,0)),"")="자사 차량 운행"),"차량 미배정",""))</f>
        <v/>
      </c>
      <c r="N818" s="22" t="str">
        <f aca="false">IF($B818="","",IFERROR(INDEX(고객사!$J$5:$J$104,MATCH($B818,고객사!$A$5:$A$104,0)),0))</f>
        <v/>
      </c>
      <c r="O818" s="22" t="str">
        <f aca="false">IF($B818="","",G818*N818)</f>
        <v/>
      </c>
      <c r="P818" s="22" t="str">
        <f aca="false">IF($B818="","",IFERROR(INDEX(고객사!$K$5:$K$104,MATCH($B818,고객사!$A$5:$A$104,0)),0))</f>
        <v/>
      </c>
      <c r="Q818" s="22" t="str">
        <f aca="false">IF($B818="","",G818*P818)</f>
        <v/>
      </c>
      <c r="R818" s="22" t="str">
        <f aca="false">IF($B818="","",O818-Q818-L818)</f>
        <v/>
      </c>
      <c r="S818" s="21" t="str">
        <f aca="false">IF(OR($B818="",N(O818)=0),"",R818/O818)</f>
        <v/>
      </c>
      <c r="T818" s="14"/>
      <c r="U818" s="19" t="n">
        <f aca="false">IF(OR($B818="",$A818=""),0,IF(COUNTIFS($A$5:$A818,$A818,$B$5:$B818,$B818)=1,1,0))</f>
        <v>0</v>
      </c>
    </row>
    <row r="819" customFormat="false" ht="15" hidden="false" customHeight="false" outlineLevel="0" collapsed="false">
      <c r="A819" s="17"/>
      <c r="B819" s="13"/>
      <c r="C819" s="20" t="str">
        <f aca="false">IF($B819="","",IFERROR(INDEX(고객사!$B$5:$B$104,MATCH($B819,고객사!$A$5:$A$104,0)),"코드 확인"))</f>
        <v/>
      </c>
      <c r="D819" s="15"/>
      <c r="E819" s="15"/>
      <c r="F819" s="16"/>
      <c r="G819" s="16"/>
      <c r="H819" s="21" t="str">
        <f aca="false">IF(OR($B819="",F819=0),"",G819/F819)</f>
        <v/>
      </c>
      <c r="I819" s="22" t="str">
        <f aca="false">IF($B819="","",MAX(F819-G819,0))</f>
        <v/>
      </c>
      <c r="J819" s="23" t="str">
        <f aca="false">IF($B819="","",IFERROR(INDEX(고객사!$G$5:$G$104,MATCH($B819,고객사!$A$5:$A$104,0)),""))</f>
        <v/>
      </c>
      <c r="K819" s="16"/>
      <c r="L819" s="22" t="str">
        <f aca="false">IF($B819="","",K819*IFERROR(INDEX(고객사!$L$5:$L$104,MATCH($B819,고객사!$A$5:$A$104,0)),0))</f>
        <v/>
      </c>
      <c r="M819" s="23" t="str">
        <f aca="false">IF($B819="","",IF(AND(J819="N",G819&gt;0,K819=0,IFERROR(INDEX(고객사!$H$5:$H$104,MATCH($B819,고객사!$A$5:$A$104,0)),"")="자사 차량 운행"),"차량 미배정",""))</f>
        <v/>
      </c>
      <c r="N819" s="22" t="str">
        <f aca="false">IF($B819="","",IFERROR(INDEX(고객사!$J$5:$J$104,MATCH($B819,고객사!$A$5:$A$104,0)),0))</f>
        <v/>
      </c>
      <c r="O819" s="22" t="str">
        <f aca="false">IF($B819="","",G819*N819)</f>
        <v/>
      </c>
      <c r="P819" s="22" t="str">
        <f aca="false">IF($B819="","",IFERROR(INDEX(고객사!$K$5:$K$104,MATCH($B819,고객사!$A$5:$A$104,0)),0))</f>
        <v/>
      </c>
      <c r="Q819" s="22" t="str">
        <f aca="false">IF($B819="","",G819*P819)</f>
        <v/>
      </c>
      <c r="R819" s="22" t="str">
        <f aca="false">IF($B819="","",O819-Q819-L819)</f>
        <v/>
      </c>
      <c r="S819" s="21" t="str">
        <f aca="false">IF(OR($B819="",N(O819)=0),"",R819/O819)</f>
        <v/>
      </c>
      <c r="T819" s="14"/>
      <c r="U819" s="19" t="n">
        <f aca="false">IF(OR($B819="",$A819=""),0,IF(COUNTIFS($A$5:$A819,$A819,$B$5:$B819,$B819)=1,1,0))</f>
        <v>0</v>
      </c>
    </row>
    <row r="820" customFormat="false" ht="15" hidden="false" customHeight="false" outlineLevel="0" collapsed="false">
      <c r="A820" s="17"/>
      <c r="B820" s="13"/>
      <c r="C820" s="20" t="str">
        <f aca="false">IF($B820="","",IFERROR(INDEX(고객사!$B$5:$B$104,MATCH($B820,고객사!$A$5:$A$104,0)),"코드 확인"))</f>
        <v/>
      </c>
      <c r="D820" s="15"/>
      <c r="E820" s="15"/>
      <c r="F820" s="16"/>
      <c r="G820" s="16"/>
      <c r="H820" s="21" t="str">
        <f aca="false">IF(OR($B820="",F820=0),"",G820/F820)</f>
        <v/>
      </c>
      <c r="I820" s="22" t="str">
        <f aca="false">IF($B820="","",MAX(F820-G820,0))</f>
        <v/>
      </c>
      <c r="J820" s="23" t="str">
        <f aca="false">IF($B820="","",IFERROR(INDEX(고객사!$G$5:$G$104,MATCH($B820,고객사!$A$5:$A$104,0)),""))</f>
        <v/>
      </c>
      <c r="K820" s="16"/>
      <c r="L820" s="22" t="str">
        <f aca="false">IF($B820="","",K820*IFERROR(INDEX(고객사!$L$5:$L$104,MATCH($B820,고객사!$A$5:$A$104,0)),0))</f>
        <v/>
      </c>
      <c r="M820" s="23" t="str">
        <f aca="false">IF($B820="","",IF(AND(J820="N",G820&gt;0,K820=0,IFERROR(INDEX(고객사!$H$5:$H$104,MATCH($B820,고객사!$A$5:$A$104,0)),"")="자사 차량 운행"),"차량 미배정",""))</f>
        <v/>
      </c>
      <c r="N820" s="22" t="str">
        <f aca="false">IF($B820="","",IFERROR(INDEX(고객사!$J$5:$J$104,MATCH($B820,고객사!$A$5:$A$104,0)),0))</f>
        <v/>
      </c>
      <c r="O820" s="22" t="str">
        <f aca="false">IF($B820="","",G820*N820)</f>
        <v/>
      </c>
      <c r="P820" s="22" t="str">
        <f aca="false">IF($B820="","",IFERROR(INDEX(고객사!$K$5:$K$104,MATCH($B820,고객사!$A$5:$A$104,0)),0))</f>
        <v/>
      </c>
      <c r="Q820" s="22" t="str">
        <f aca="false">IF($B820="","",G820*P820)</f>
        <v/>
      </c>
      <c r="R820" s="22" t="str">
        <f aca="false">IF($B820="","",O820-Q820-L820)</f>
        <v/>
      </c>
      <c r="S820" s="21" t="str">
        <f aca="false">IF(OR($B820="",N(O820)=0),"",R820/O820)</f>
        <v/>
      </c>
      <c r="T820" s="14"/>
      <c r="U820" s="19" t="n">
        <f aca="false">IF(OR($B820="",$A820=""),0,IF(COUNTIFS($A$5:$A820,$A820,$B$5:$B820,$B820)=1,1,0))</f>
        <v>0</v>
      </c>
    </row>
    <row r="821" customFormat="false" ht="15" hidden="false" customHeight="false" outlineLevel="0" collapsed="false">
      <c r="A821" s="17"/>
      <c r="B821" s="13"/>
      <c r="C821" s="20" t="str">
        <f aca="false">IF($B821="","",IFERROR(INDEX(고객사!$B$5:$B$104,MATCH($B821,고객사!$A$5:$A$104,0)),"코드 확인"))</f>
        <v/>
      </c>
      <c r="D821" s="15"/>
      <c r="E821" s="15"/>
      <c r="F821" s="16"/>
      <c r="G821" s="16"/>
      <c r="H821" s="21" t="str">
        <f aca="false">IF(OR($B821="",F821=0),"",G821/F821)</f>
        <v/>
      </c>
      <c r="I821" s="22" t="str">
        <f aca="false">IF($B821="","",MAX(F821-G821,0))</f>
        <v/>
      </c>
      <c r="J821" s="23" t="str">
        <f aca="false">IF($B821="","",IFERROR(INDEX(고객사!$G$5:$G$104,MATCH($B821,고객사!$A$5:$A$104,0)),""))</f>
        <v/>
      </c>
      <c r="K821" s="16"/>
      <c r="L821" s="22" t="str">
        <f aca="false">IF($B821="","",K821*IFERROR(INDEX(고객사!$L$5:$L$104,MATCH($B821,고객사!$A$5:$A$104,0)),0))</f>
        <v/>
      </c>
      <c r="M821" s="23" t="str">
        <f aca="false">IF($B821="","",IF(AND(J821="N",G821&gt;0,K821=0,IFERROR(INDEX(고객사!$H$5:$H$104,MATCH($B821,고객사!$A$5:$A$104,0)),"")="자사 차량 운행"),"차량 미배정",""))</f>
        <v/>
      </c>
      <c r="N821" s="22" t="str">
        <f aca="false">IF($B821="","",IFERROR(INDEX(고객사!$J$5:$J$104,MATCH($B821,고객사!$A$5:$A$104,0)),0))</f>
        <v/>
      </c>
      <c r="O821" s="22" t="str">
        <f aca="false">IF($B821="","",G821*N821)</f>
        <v/>
      </c>
      <c r="P821" s="22" t="str">
        <f aca="false">IF($B821="","",IFERROR(INDEX(고객사!$K$5:$K$104,MATCH($B821,고객사!$A$5:$A$104,0)),0))</f>
        <v/>
      </c>
      <c r="Q821" s="22" t="str">
        <f aca="false">IF($B821="","",G821*P821)</f>
        <v/>
      </c>
      <c r="R821" s="22" t="str">
        <f aca="false">IF($B821="","",O821-Q821-L821)</f>
        <v/>
      </c>
      <c r="S821" s="21" t="str">
        <f aca="false">IF(OR($B821="",N(O821)=0),"",R821/O821)</f>
        <v/>
      </c>
      <c r="T821" s="14"/>
      <c r="U821" s="19" t="n">
        <f aca="false">IF(OR($B821="",$A821=""),0,IF(COUNTIFS($A$5:$A821,$A821,$B$5:$B821,$B821)=1,1,0))</f>
        <v>0</v>
      </c>
    </row>
    <row r="822" customFormat="false" ht="15" hidden="false" customHeight="false" outlineLevel="0" collapsed="false">
      <c r="A822" s="17"/>
      <c r="B822" s="13"/>
      <c r="C822" s="20" t="str">
        <f aca="false">IF($B822="","",IFERROR(INDEX(고객사!$B$5:$B$104,MATCH($B822,고객사!$A$5:$A$104,0)),"코드 확인"))</f>
        <v/>
      </c>
      <c r="D822" s="15"/>
      <c r="E822" s="15"/>
      <c r="F822" s="16"/>
      <c r="G822" s="16"/>
      <c r="H822" s="21" t="str">
        <f aca="false">IF(OR($B822="",F822=0),"",G822/F822)</f>
        <v/>
      </c>
      <c r="I822" s="22" t="str">
        <f aca="false">IF($B822="","",MAX(F822-G822,0))</f>
        <v/>
      </c>
      <c r="J822" s="23" t="str">
        <f aca="false">IF($B822="","",IFERROR(INDEX(고객사!$G$5:$G$104,MATCH($B822,고객사!$A$5:$A$104,0)),""))</f>
        <v/>
      </c>
      <c r="K822" s="16"/>
      <c r="L822" s="22" t="str">
        <f aca="false">IF($B822="","",K822*IFERROR(INDEX(고객사!$L$5:$L$104,MATCH($B822,고객사!$A$5:$A$104,0)),0))</f>
        <v/>
      </c>
      <c r="M822" s="23" t="str">
        <f aca="false">IF($B822="","",IF(AND(J822="N",G822&gt;0,K822=0,IFERROR(INDEX(고객사!$H$5:$H$104,MATCH($B822,고객사!$A$5:$A$104,0)),"")="자사 차량 운행"),"차량 미배정",""))</f>
        <v/>
      </c>
      <c r="N822" s="22" t="str">
        <f aca="false">IF($B822="","",IFERROR(INDEX(고객사!$J$5:$J$104,MATCH($B822,고객사!$A$5:$A$104,0)),0))</f>
        <v/>
      </c>
      <c r="O822" s="22" t="str">
        <f aca="false">IF($B822="","",G822*N822)</f>
        <v/>
      </c>
      <c r="P822" s="22" t="str">
        <f aca="false">IF($B822="","",IFERROR(INDEX(고객사!$K$5:$K$104,MATCH($B822,고객사!$A$5:$A$104,0)),0))</f>
        <v/>
      </c>
      <c r="Q822" s="22" t="str">
        <f aca="false">IF($B822="","",G822*P822)</f>
        <v/>
      </c>
      <c r="R822" s="22" t="str">
        <f aca="false">IF($B822="","",O822-Q822-L822)</f>
        <v/>
      </c>
      <c r="S822" s="21" t="str">
        <f aca="false">IF(OR($B822="",N(O822)=0),"",R822/O822)</f>
        <v/>
      </c>
      <c r="T822" s="14"/>
      <c r="U822" s="19" t="n">
        <f aca="false">IF(OR($B822="",$A822=""),0,IF(COUNTIFS($A$5:$A822,$A822,$B$5:$B822,$B822)=1,1,0))</f>
        <v>0</v>
      </c>
    </row>
    <row r="823" customFormat="false" ht="15" hidden="false" customHeight="false" outlineLevel="0" collapsed="false">
      <c r="A823" s="17"/>
      <c r="B823" s="13"/>
      <c r="C823" s="20" t="str">
        <f aca="false">IF($B823="","",IFERROR(INDEX(고객사!$B$5:$B$104,MATCH($B823,고객사!$A$5:$A$104,0)),"코드 확인"))</f>
        <v/>
      </c>
      <c r="D823" s="15"/>
      <c r="E823" s="15"/>
      <c r="F823" s="16"/>
      <c r="G823" s="16"/>
      <c r="H823" s="21" t="str">
        <f aca="false">IF(OR($B823="",F823=0),"",G823/F823)</f>
        <v/>
      </c>
      <c r="I823" s="22" t="str">
        <f aca="false">IF($B823="","",MAX(F823-G823,0))</f>
        <v/>
      </c>
      <c r="J823" s="23" t="str">
        <f aca="false">IF($B823="","",IFERROR(INDEX(고객사!$G$5:$G$104,MATCH($B823,고객사!$A$5:$A$104,0)),""))</f>
        <v/>
      </c>
      <c r="K823" s="16"/>
      <c r="L823" s="22" t="str">
        <f aca="false">IF($B823="","",K823*IFERROR(INDEX(고객사!$L$5:$L$104,MATCH($B823,고객사!$A$5:$A$104,0)),0))</f>
        <v/>
      </c>
      <c r="M823" s="23" t="str">
        <f aca="false">IF($B823="","",IF(AND(J823="N",G823&gt;0,K823=0,IFERROR(INDEX(고객사!$H$5:$H$104,MATCH($B823,고객사!$A$5:$A$104,0)),"")="자사 차량 운행"),"차량 미배정",""))</f>
        <v/>
      </c>
      <c r="N823" s="22" t="str">
        <f aca="false">IF($B823="","",IFERROR(INDEX(고객사!$J$5:$J$104,MATCH($B823,고객사!$A$5:$A$104,0)),0))</f>
        <v/>
      </c>
      <c r="O823" s="22" t="str">
        <f aca="false">IF($B823="","",G823*N823)</f>
        <v/>
      </c>
      <c r="P823" s="22" t="str">
        <f aca="false">IF($B823="","",IFERROR(INDEX(고객사!$K$5:$K$104,MATCH($B823,고객사!$A$5:$A$104,0)),0))</f>
        <v/>
      </c>
      <c r="Q823" s="22" t="str">
        <f aca="false">IF($B823="","",G823*P823)</f>
        <v/>
      </c>
      <c r="R823" s="22" t="str">
        <f aca="false">IF($B823="","",O823-Q823-L823)</f>
        <v/>
      </c>
      <c r="S823" s="21" t="str">
        <f aca="false">IF(OR($B823="",N(O823)=0),"",R823/O823)</f>
        <v/>
      </c>
      <c r="T823" s="14"/>
      <c r="U823" s="19" t="n">
        <f aca="false">IF(OR($B823="",$A823=""),0,IF(COUNTIFS($A$5:$A823,$A823,$B$5:$B823,$B823)=1,1,0))</f>
        <v>0</v>
      </c>
    </row>
    <row r="824" customFormat="false" ht="15" hidden="false" customHeight="false" outlineLevel="0" collapsed="false">
      <c r="A824" s="17"/>
      <c r="B824" s="13"/>
      <c r="C824" s="20" t="str">
        <f aca="false">IF($B824="","",IFERROR(INDEX(고객사!$B$5:$B$104,MATCH($B824,고객사!$A$5:$A$104,0)),"코드 확인"))</f>
        <v/>
      </c>
      <c r="D824" s="15"/>
      <c r="E824" s="15"/>
      <c r="F824" s="16"/>
      <c r="G824" s="16"/>
      <c r="H824" s="21" t="str">
        <f aca="false">IF(OR($B824="",F824=0),"",G824/F824)</f>
        <v/>
      </c>
      <c r="I824" s="22" t="str">
        <f aca="false">IF($B824="","",MAX(F824-G824,0))</f>
        <v/>
      </c>
      <c r="J824" s="23" t="str">
        <f aca="false">IF($B824="","",IFERROR(INDEX(고객사!$G$5:$G$104,MATCH($B824,고객사!$A$5:$A$104,0)),""))</f>
        <v/>
      </c>
      <c r="K824" s="16"/>
      <c r="L824" s="22" t="str">
        <f aca="false">IF($B824="","",K824*IFERROR(INDEX(고객사!$L$5:$L$104,MATCH($B824,고객사!$A$5:$A$104,0)),0))</f>
        <v/>
      </c>
      <c r="M824" s="23" t="str">
        <f aca="false">IF($B824="","",IF(AND(J824="N",G824&gt;0,K824=0,IFERROR(INDEX(고객사!$H$5:$H$104,MATCH($B824,고객사!$A$5:$A$104,0)),"")="자사 차량 운행"),"차량 미배정",""))</f>
        <v/>
      </c>
      <c r="N824" s="22" t="str">
        <f aca="false">IF($B824="","",IFERROR(INDEX(고객사!$J$5:$J$104,MATCH($B824,고객사!$A$5:$A$104,0)),0))</f>
        <v/>
      </c>
      <c r="O824" s="22" t="str">
        <f aca="false">IF($B824="","",G824*N824)</f>
        <v/>
      </c>
      <c r="P824" s="22" t="str">
        <f aca="false">IF($B824="","",IFERROR(INDEX(고객사!$K$5:$K$104,MATCH($B824,고객사!$A$5:$A$104,0)),0))</f>
        <v/>
      </c>
      <c r="Q824" s="22" t="str">
        <f aca="false">IF($B824="","",G824*P824)</f>
        <v/>
      </c>
      <c r="R824" s="22" t="str">
        <f aca="false">IF($B824="","",O824-Q824-L824)</f>
        <v/>
      </c>
      <c r="S824" s="21" t="str">
        <f aca="false">IF(OR($B824="",N(O824)=0),"",R824/O824)</f>
        <v/>
      </c>
      <c r="T824" s="14"/>
      <c r="U824" s="19" t="n">
        <f aca="false">IF(OR($B824="",$A824=""),0,IF(COUNTIFS($A$5:$A824,$A824,$B$5:$B824,$B824)=1,1,0))</f>
        <v>0</v>
      </c>
    </row>
    <row r="825" customFormat="false" ht="15" hidden="false" customHeight="false" outlineLevel="0" collapsed="false">
      <c r="A825" s="17"/>
      <c r="B825" s="13"/>
      <c r="C825" s="20" t="str">
        <f aca="false">IF($B825="","",IFERROR(INDEX(고객사!$B$5:$B$104,MATCH($B825,고객사!$A$5:$A$104,0)),"코드 확인"))</f>
        <v/>
      </c>
      <c r="D825" s="15"/>
      <c r="E825" s="15"/>
      <c r="F825" s="16"/>
      <c r="G825" s="16"/>
      <c r="H825" s="21" t="str">
        <f aca="false">IF(OR($B825="",F825=0),"",G825/F825)</f>
        <v/>
      </c>
      <c r="I825" s="22" t="str">
        <f aca="false">IF($B825="","",MAX(F825-G825,0))</f>
        <v/>
      </c>
      <c r="J825" s="23" t="str">
        <f aca="false">IF($B825="","",IFERROR(INDEX(고객사!$G$5:$G$104,MATCH($B825,고객사!$A$5:$A$104,0)),""))</f>
        <v/>
      </c>
      <c r="K825" s="16"/>
      <c r="L825" s="22" t="str">
        <f aca="false">IF($B825="","",K825*IFERROR(INDEX(고객사!$L$5:$L$104,MATCH($B825,고객사!$A$5:$A$104,0)),0))</f>
        <v/>
      </c>
      <c r="M825" s="23" t="str">
        <f aca="false">IF($B825="","",IF(AND(J825="N",G825&gt;0,K825=0,IFERROR(INDEX(고객사!$H$5:$H$104,MATCH($B825,고객사!$A$5:$A$104,0)),"")="자사 차량 운행"),"차량 미배정",""))</f>
        <v/>
      </c>
      <c r="N825" s="22" t="str">
        <f aca="false">IF($B825="","",IFERROR(INDEX(고객사!$J$5:$J$104,MATCH($B825,고객사!$A$5:$A$104,0)),0))</f>
        <v/>
      </c>
      <c r="O825" s="22" t="str">
        <f aca="false">IF($B825="","",G825*N825)</f>
        <v/>
      </c>
      <c r="P825" s="22" t="str">
        <f aca="false">IF($B825="","",IFERROR(INDEX(고객사!$K$5:$K$104,MATCH($B825,고객사!$A$5:$A$104,0)),0))</f>
        <v/>
      </c>
      <c r="Q825" s="22" t="str">
        <f aca="false">IF($B825="","",G825*P825)</f>
        <v/>
      </c>
      <c r="R825" s="22" t="str">
        <f aca="false">IF($B825="","",O825-Q825-L825)</f>
        <v/>
      </c>
      <c r="S825" s="21" t="str">
        <f aca="false">IF(OR($B825="",N(O825)=0),"",R825/O825)</f>
        <v/>
      </c>
      <c r="T825" s="14"/>
      <c r="U825" s="19" t="n">
        <f aca="false">IF(OR($B825="",$A825=""),0,IF(COUNTIFS($A$5:$A825,$A825,$B$5:$B825,$B825)=1,1,0))</f>
        <v>0</v>
      </c>
    </row>
    <row r="826" customFormat="false" ht="15" hidden="false" customHeight="false" outlineLevel="0" collapsed="false">
      <c r="A826" s="17"/>
      <c r="B826" s="13"/>
      <c r="C826" s="20" t="str">
        <f aca="false">IF($B826="","",IFERROR(INDEX(고객사!$B$5:$B$104,MATCH($B826,고객사!$A$5:$A$104,0)),"코드 확인"))</f>
        <v/>
      </c>
      <c r="D826" s="15"/>
      <c r="E826" s="15"/>
      <c r="F826" s="16"/>
      <c r="G826" s="16"/>
      <c r="H826" s="21" t="str">
        <f aca="false">IF(OR($B826="",F826=0),"",G826/F826)</f>
        <v/>
      </c>
      <c r="I826" s="22" t="str">
        <f aca="false">IF($B826="","",MAX(F826-G826,0))</f>
        <v/>
      </c>
      <c r="J826" s="23" t="str">
        <f aca="false">IF($B826="","",IFERROR(INDEX(고객사!$G$5:$G$104,MATCH($B826,고객사!$A$5:$A$104,0)),""))</f>
        <v/>
      </c>
      <c r="K826" s="16"/>
      <c r="L826" s="22" t="str">
        <f aca="false">IF($B826="","",K826*IFERROR(INDEX(고객사!$L$5:$L$104,MATCH($B826,고객사!$A$5:$A$104,0)),0))</f>
        <v/>
      </c>
      <c r="M826" s="23" t="str">
        <f aca="false">IF($B826="","",IF(AND(J826="N",G826&gt;0,K826=0,IFERROR(INDEX(고객사!$H$5:$H$104,MATCH($B826,고객사!$A$5:$A$104,0)),"")="자사 차량 운행"),"차량 미배정",""))</f>
        <v/>
      </c>
      <c r="N826" s="22" t="str">
        <f aca="false">IF($B826="","",IFERROR(INDEX(고객사!$J$5:$J$104,MATCH($B826,고객사!$A$5:$A$104,0)),0))</f>
        <v/>
      </c>
      <c r="O826" s="22" t="str">
        <f aca="false">IF($B826="","",G826*N826)</f>
        <v/>
      </c>
      <c r="P826" s="22" t="str">
        <f aca="false">IF($B826="","",IFERROR(INDEX(고객사!$K$5:$K$104,MATCH($B826,고객사!$A$5:$A$104,0)),0))</f>
        <v/>
      </c>
      <c r="Q826" s="22" t="str">
        <f aca="false">IF($B826="","",G826*P826)</f>
        <v/>
      </c>
      <c r="R826" s="22" t="str">
        <f aca="false">IF($B826="","",O826-Q826-L826)</f>
        <v/>
      </c>
      <c r="S826" s="21" t="str">
        <f aca="false">IF(OR($B826="",N(O826)=0),"",R826/O826)</f>
        <v/>
      </c>
      <c r="T826" s="14"/>
      <c r="U826" s="19" t="n">
        <f aca="false">IF(OR($B826="",$A826=""),0,IF(COUNTIFS($A$5:$A826,$A826,$B$5:$B826,$B826)=1,1,0))</f>
        <v>0</v>
      </c>
    </row>
    <row r="827" customFormat="false" ht="15" hidden="false" customHeight="false" outlineLevel="0" collapsed="false">
      <c r="A827" s="17"/>
      <c r="B827" s="13"/>
      <c r="C827" s="20" t="str">
        <f aca="false">IF($B827="","",IFERROR(INDEX(고객사!$B$5:$B$104,MATCH($B827,고객사!$A$5:$A$104,0)),"코드 확인"))</f>
        <v/>
      </c>
      <c r="D827" s="15"/>
      <c r="E827" s="15"/>
      <c r="F827" s="16"/>
      <c r="G827" s="16"/>
      <c r="H827" s="21" t="str">
        <f aca="false">IF(OR($B827="",F827=0),"",G827/F827)</f>
        <v/>
      </c>
      <c r="I827" s="22" t="str">
        <f aca="false">IF($B827="","",MAX(F827-G827,0))</f>
        <v/>
      </c>
      <c r="J827" s="23" t="str">
        <f aca="false">IF($B827="","",IFERROR(INDEX(고객사!$G$5:$G$104,MATCH($B827,고객사!$A$5:$A$104,0)),""))</f>
        <v/>
      </c>
      <c r="K827" s="16"/>
      <c r="L827" s="22" t="str">
        <f aca="false">IF($B827="","",K827*IFERROR(INDEX(고객사!$L$5:$L$104,MATCH($B827,고객사!$A$5:$A$104,0)),0))</f>
        <v/>
      </c>
      <c r="M827" s="23" t="str">
        <f aca="false">IF($B827="","",IF(AND(J827="N",G827&gt;0,K827=0,IFERROR(INDEX(고객사!$H$5:$H$104,MATCH($B827,고객사!$A$5:$A$104,0)),"")="자사 차량 운행"),"차량 미배정",""))</f>
        <v/>
      </c>
      <c r="N827" s="22" t="str">
        <f aca="false">IF($B827="","",IFERROR(INDEX(고객사!$J$5:$J$104,MATCH($B827,고객사!$A$5:$A$104,0)),0))</f>
        <v/>
      </c>
      <c r="O827" s="22" t="str">
        <f aca="false">IF($B827="","",G827*N827)</f>
        <v/>
      </c>
      <c r="P827" s="22" t="str">
        <f aca="false">IF($B827="","",IFERROR(INDEX(고객사!$K$5:$K$104,MATCH($B827,고객사!$A$5:$A$104,0)),0))</f>
        <v/>
      </c>
      <c r="Q827" s="22" t="str">
        <f aca="false">IF($B827="","",G827*P827)</f>
        <v/>
      </c>
      <c r="R827" s="22" t="str">
        <f aca="false">IF($B827="","",O827-Q827-L827)</f>
        <v/>
      </c>
      <c r="S827" s="21" t="str">
        <f aca="false">IF(OR($B827="",N(O827)=0),"",R827/O827)</f>
        <v/>
      </c>
      <c r="T827" s="14"/>
      <c r="U827" s="19" t="n">
        <f aca="false">IF(OR($B827="",$A827=""),0,IF(COUNTIFS($A$5:$A827,$A827,$B$5:$B827,$B827)=1,1,0))</f>
        <v>0</v>
      </c>
    </row>
    <row r="828" customFormat="false" ht="15" hidden="false" customHeight="false" outlineLevel="0" collapsed="false">
      <c r="A828" s="17"/>
      <c r="B828" s="13"/>
      <c r="C828" s="20" t="str">
        <f aca="false">IF($B828="","",IFERROR(INDEX(고객사!$B$5:$B$104,MATCH($B828,고객사!$A$5:$A$104,0)),"코드 확인"))</f>
        <v/>
      </c>
      <c r="D828" s="15"/>
      <c r="E828" s="15"/>
      <c r="F828" s="16"/>
      <c r="G828" s="16"/>
      <c r="H828" s="21" t="str">
        <f aca="false">IF(OR($B828="",F828=0),"",G828/F828)</f>
        <v/>
      </c>
      <c r="I828" s="22" t="str">
        <f aca="false">IF($B828="","",MAX(F828-G828,0))</f>
        <v/>
      </c>
      <c r="J828" s="23" t="str">
        <f aca="false">IF($B828="","",IFERROR(INDEX(고객사!$G$5:$G$104,MATCH($B828,고객사!$A$5:$A$104,0)),""))</f>
        <v/>
      </c>
      <c r="K828" s="16"/>
      <c r="L828" s="22" t="str">
        <f aca="false">IF($B828="","",K828*IFERROR(INDEX(고객사!$L$5:$L$104,MATCH($B828,고객사!$A$5:$A$104,0)),0))</f>
        <v/>
      </c>
      <c r="M828" s="23" t="str">
        <f aca="false">IF($B828="","",IF(AND(J828="N",G828&gt;0,K828=0,IFERROR(INDEX(고객사!$H$5:$H$104,MATCH($B828,고객사!$A$5:$A$104,0)),"")="자사 차량 운행"),"차량 미배정",""))</f>
        <v/>
      </c>
      <c r="N828" s="22" t="str">
        <f aca="false">IF($B828="","",IFERROR(INDEX(고객사!$J$5:$J$104,MATCH($B828,고객사!$A$5:$A$104,0)),0))</f>
        <v/>
      </c>
      <c r="O828" s="22" t="str">
        <f aca="false">IF($B828="","",G828*N828)</f>
        <v/>
      </c>
      <c r="P828" s="22" t="str">
        <f aca="false">IF($B828="","",IFERROR(INDEX(고객사!$K$5:$K$104,MATCH($B828,고객사!$A$5:$A$104,0)),0))</f>
        <v/>
      </c>
      <c r="Q828" s="22" t="str">
        <f aca="false">IF($B828="","",G828*P828)</f>
        <v/>
      </c>
      <c r="R828" s="22" t="str">
        <f aca="false">IF($B828="","",O828-Q828-L828)</f>
        <v/>
      </c>
      <c r="S828" s="21" t="str">
        <f aca="false">IF(OR($B828="",N(O828)=0),"",R828/O828)</f>
        <v/>
      </c>
      <c r="T828" s="14"/>
      <c r="U828" s="19" t="n">
        <f aca="false">IF(OR($B828="",$A828=""),0,IF(COUNTIFS($A$5:$A828,$A828,$B$5:$B828,$B828)=1,1,0))</f>
        <v>0</v>
      </c>
    </row>
    <row r="829" customFormat="false" ht="15" hidden="false" customHeight="false" outlineLevel="0" collapsed="false">
      <c r="A829" s="17"/>
      <c r="B829" s="13"/>
      <c r="C829" s="20" t="str">
        <f aca="false">IF($B829="","",IFERROR(INDEX(고객사!$B$5:$B$104,MATCH($B829,고객사!$A$5:$A$104,0)),"코드 확인"))</f>
        <v/>
      </c>
      <c r="D829" s="15"/>
      <c r="E829" s="15"/>
      <c r="F829" s="16"/>
      <c r="G829" s="16"/>
      <c r="H829" s="21" t="str">
        <f aca="false">IF(OR($B829="",F829=0),"",G829/F829)</f>
        <v/>
      </c>
      <c r="I829" s="22" t="str">
        <f aca="false">IF($B829="","",MAX(F829-G829,0))</f>
        <v/>
      </c>
      <c r="J829" s="23" t="str">
        <f aca="false">IF($B829="","",IFERROR(INDEX(고객사!$G$5:$G$104,MATCH($B829,고객사!$A$5:$A$104,0)),""))</f>
        <v/>
      </c>
      <c r="K829" s="16"/>
      <c r="L829" s="22" t="str">
        <f aca="false">IF($B829="","",K829*IFERROR(INDEX(고객사!$L$5:$L$104,MATCH($B829,고객사!$A$5:$A$104,0)),0))</f>
        <v/>
      </c>
      <c r="M829" s="23" t="str">
        <f aca="false">IF($B829="","",IF(AND(J829="N",G829&gt;0,K829=0,IFERROR(INDEX(고객사!$H$5:$H$104,MATCH($B829,고객사!$A$5:$A$104,0)),"")="자사 차량 운행"),"차량 미배정",""))</f>
        <v/>
      </c>
      <c r="N829" s="22" t="str">
        <f aca="false">IF($B829="","",IFERROR(INDEX(고객사!$J$5:$J$104,MATCH($B829,고객사!$A$5:$A$104,0)),0))</f>
        <v/>
      </c>
      <c r="O829" s="22" t="str">
        <f aca="false">IF($B829="","",G829*N829)</f>
        <v/>
      </c>
      <c r="P829" s="22" t="str">
        <f aca="false">IF($B829="","",IFERROR(INDEX(고객사!$K$5:$K$104,MATCH($B829,고객사!$A$5:$A$104,0)),0))</f>
        <v/>
      </c>
      <c r="Q829" s="22" t="str">
        <f aca="false">IF($B829="","",G829*P829)</f>
        <v/>
      </c>
      <c r="R829" s="22" t="str">
        <f aca="false">IF($B829="","",O829-Q829-L829)</f>
        <v/>
      </c>
      <c r="S829" s="21" t="str">
        <f aca="false">IF(OR($B829="",N(O829)=0),"",R829/O829)</f>
        <v/>
      </c>
      <c r="T829" s="14"/>
      <c r="U829" s="19" t="n">
        <f aca="false">IF(OR($B829="",$A829=""),0,IF(COUNTIFS($A$5:$A829,$A829,$B$5:$B829,$B829)=1,1,0))</f>
        <v>0</v>
      </c>
    </row>
    <row r="830" customFormat="false" ht="15" hidden="false" customHeight="false" outlineLevel="0" collapsed="false">
      <c r="A830" s="17"/>
      <c r="B830" s="13"/>
      <c r="C830" s="20" t="str">
        <f aca="false">IF($B830="","",IFERROR(INDEX(고객사!$B$5:$B$104,MATCH($B830,고객사!$A$5:$A$104,0)),"코드 확인"))</f>
        <v/>
      </c>
      <c r="D830" s="15"/>
      <c r="E830" s="15"/>
      <c r="F830" s="16"/>
      <c r="G830" s="16"/>
      <c r="H830" s="21" t="str">
        <f aca="false">IF(OR($B830="",F830=0),"",G830/F830)</f>
        <v/>
      </c>
      <c r="I830" s="22" t="str">
        <f aca="false">IF($B830="","",MAX(F830-G830,0))</f>
        <v/>
      </c>
      <c r="J830" s="23" t="str">
        <f aca="false">IF($B830="","",IFERROR(INDEX(고객사!$G$5:$G$104,MATCH($B830,고객사!$A$5:$A$104,0)),""))</f>
        <v/>
      </c>
      <c r="K830" s="16"/>
      <c r="L830" s="22" t="str">
        <f aca="false">IF($B830="","",K830*IFERROR(INDEX(고객사!$L$5:$L$104,MATCH($B830,고객사!$A$5:$A$104,0)),0))</f>
        <v/>
      </c>
      <c r="M830" s="23" t="str">
        <f aca="false">IF($B830="","",IF(AND(J830="N",G830&gt;0,K830=0,IFERROR(INDEX(고객사!$H$5:$H$104,MATCH($B830,고객사!$A$5:$A$104,0)),"")="자사 차량 운행"),"차량 미배정",""))</f>
        <v/>
      </c>
      <c r="N830" s="22" t="str">
        <f aca="false">IF($B830="","",IFERROR(INDEX(고객사!$J$5:$J$104,MATCH($B830,고객사!$A$5:$A$104,0)),0))</f>
        <v/>
      </c>
      <c r="O830" s="22" t="str">
        <f aca="false">IF($B830="","",G830*N830)</f>
        <v/>
      </c>
      <c r="P830" s="22" t="str">
        <f aca="false">IF($B830="","",IFERROR(INDEX(고객사!$K$5:$K$104,MATCH($B830,고객사!$A$5:$A$104,0)),0))</f>
        <v/>
      </c>
      <c r="Q830" s="22" t="str">
        <f aca="false">IF($B830="","",G830*P830)</f>
        <v/>
      </c>
      <c r="R830" s="22" t="str">
        <f aca="false">IF($B830="","",O830-Q830-L830)</f>
        <v/>
      </c>
      <c r="S830" s="21" t="str">
        <f aca="false">IF(OR($B830="",N(O830)=0),"",R830/O830)</f>
        <v/>
      </c>
      <c r="T830" s="14"/>
      <c r="U830" s="19" t="n">
        <f aca="false">IF(OR($B830="",$A830=""),0,IF(COUNTIFS($A$5:$A830,$A830,$B$5:$B830,$B830)=1,1,0))</f>
        <v>0</v>
      </c>
    </row>
    <row r="831" customFormat="false" ht="15" hidden="false" customHeight="false" outlineLevel="0" collapsed="false">
      <c r="A831" s="17"/>
      <c r="B831" s="13"/>
      <c r="C831" s="20" t="str">
        <f aca="false">IF($B831="","",IFERROR(INDEX(고객사!$B$5:$B$104,MATCH($B831,고객사!$A$5:$A$104,0)),"코드 확인"))</f>
        <v/>
      </c>
      <c r="D831" s="15"/>
      <c r="E831" s="15"/>
      <c r="F831" s="16"/>
      <c r="G831" s="16"/>
      <c r="H831" s="21" t="str">
        <f aca="false">IF(OR($B831="",F831=0),"",G831/F831)</f>
        <v/>
      </c>
      <c r="I831" s="22" t="str">
        <f aca="false">IF($B831="","",MAX(F831-G831,0))</f>
        <v/>
      </c>
      <c r="J831" s="23" t="str">
        <f aca="false">IF($B831="","",IFERROR(INDEX(고객사!$G$5:$G$104,MATCH($B831,고객사!$A$5:$A$104,0)),""))</f>
        <v/>
      </c>
      <c r="K831" s="16"/>
      <c r="L831" s="22" t="str">
        <f aca="false">IF($B831="","",K831*IFERROR(INDEX(고객사!$L$5:$L$104,MATCH($B831,고객사!$A$5:$A$104,0)),0))</f>
        <v/>
      </c>
      <c r="M831" s="23" t="str">
        <f aca="false">IF($B831="","",IF(AND(J831="N",G831&gt;0,K831=0,IFERROR(INDEX(고객사!$H$5:$H$104,MATCH($B831,고객사!$A$5:$A$104,0)),"")="자사 차량 운행"),"차량 미배정",""))</f>
        <v/>
      </c>
      <c r="N831" s="22" t="str">
        <f aca="false">IF($B831="","",IFERROR(INDEX(고객사!$J$5:$J$104,MATCH($B831,고객사!$A$5:$A$104,0)),0))</f>
        <v/>
      </c>
      <c r="O831" s="22" t="str">
        <f aca="false">IF($B831="","",G831*N831)</f>
        <v/>
      </c>
      <c r="P831" s="22" t="str">
        <f aca="false">IF($B831="","",IFERROR(INDEX(고객사!$K$5:$K$104,MATCH($B831,고객사!$A$5:$A$104,0)),0))</f>
        <v/>
      </c>
      <c r="Q831" s="22" t="str">
        <f aca="false">IF($B831="","",G831*P831)</f>
        <v/>
      </c>
      <c r="R831" s="22" t="str">
        <f aca="false">IF($B831="","",O831-Q831-L831)</f>
        <v/>
      </c>
      <c r="S831" s="21" t="str">
        <f aca="false">IF(OR($B831="",N(O831)=0),"",R831/O831)</f>
        <v/>
      </c>
      <c r="T831" s="14"/>
      <c r="U831" s="19" t="n">
        <f aca="false">IF(OR($B831="",$A831=""),0,IF(COUNTIFS($A$5:$A831,$A831,$B$5:$B831,$B831)=1,1,0))</f>
        <v>0</v>
      </c>
    </row>
    <row r="832" customFormat="false" ht="15" hidden="false" customHeight="false" outlineLevel="0" collapsed="false">
      <c r="A832" s="17"/>
      <c r="B832" s="13"/>
      <c r="C832" s="20" t="str">
        <f aca="false">IF($B832="","",IFERROR(INDEX(고객사!$B$5:$B$104,MATCH($B832,고객사!$A$5:$A$104,0)),"코드 확인"))</f>
        <v/>
      </c>
      <c r="D832" s="15"/>
      <c r="E832" s="15"/>
      <c r="F832" s="16"/>
      <c r="G832" s="16"/>
      <c r="H832" s="21" t="str">
        <f aca="false">IF(OR($B832="",F832=0),"",G832/F832)</f>
        <v/>
      </c>
      <c r="I832" s="22" t="str">
        <f aca="false">IF($B832="","",MAX(F832-G832,0))</f>
        <v/>
      </c>
      <c r="J832" s="23" t="str">
        <f aca="false">IF($B832="","",IFERROR(INDEX(고객사!$G$5:$G$104,MATCH($B832,고객사!$A$5:$A$104,0)),""))</f>
        <v/>
      </c>
      <c r="K832" s="16"/>
      <c r="L832" s="22" t="str">
        <f aca="false">IF($B832="","",K832*IFERROR(INDEX(고객사!$L$5:$L$104,MATCH($B832,고객사!$A$5:$A$104,0)),0))</f>
        <v/>
      </c>
      <c r="M832" s="23" t="str">
        <f aca="false">IF($B832="","",IF(AND(J832="N",G832&gt;0,K832=0,IFERROR(INDEX(고객사!$H$5:$H$104,MATCH($B832,고객사!$A$5:$A$104,0)),"")="자사 차량 운행"),"차량 미배정",""))</f>
        <v/>
      </c>
      <c r="N832" s="22" t="str">
        <f aca="false">IF($B832="","",IFERROR(INDEX(고객사!$J$5:$J$104,MATCH($B832,고객사!$A$5:$A$104,0)),0))</f>
        <v/>
      </c>
      <c r="O832" s="22" t="str">
        <f aca="false">IF($B832="","",G832*N832)</f>
        <v/>
      </c>
      <c r="P832" s="22" t="str">
        <f aca="false">IF($B832="","",IFERROR(INDEX(고객사!$K$5:$K$104,MATCH($B832,고객사!$A$5:$A$104,0)),0))</f>
        <v/>
      </c>
      <c r="Q832" s="22" t="str">
        <f aca="false">IF($B832="","",G832*P832)</f>
        <v/>
      </c>
      <c r="R832" s="22" t="str">
        <f aca="false">IF($B832="","",O832-Q832-L832)</f>
        <v/>
      </c>
      <c r="S832" s="21" t="str">
        <f aca="false">IF(OR($B832="",N(O832)=0),"",R832/O832)</f>
        <v/>
      </c>
      <c r="T832" s="14"/>
      <c r="U832" s="19" t="n">
        <f aca="false">IF(OR($B832="",$A832=""),0,IF(COUNTIFS($A$5:$A832,$A832,$B$5:$B832,$B832)=1,1,0))</f>
        <v>0</v>
      </c>
    </row>
    <row r="833" customFormat="false" ht="15" hidden="false" customHeight="false" outlineLevel="0" collapsed="false">
      <c r="A833" s="17"/>
      <c r="B833" s="13"/>
      <c r="C833" s="20" t="str">
        <f aca="false">IF($B833="","",IFERROR(INDEX(고객사!$B$5:$B$104,MATCH($B833,고객사!$A$5:$A$104,0)),"코드 확인"))</f>
        <v/>
      </c>
      <c r="D833" s="15"/>
      <c r="E833" s="15"/>
      <c r="F833" s="16"/>
      <c r="G833" s="16"/>
      <c r="H833" s="21" t="str">
        <f aca="false">IF(OR($B833="",F833=0),"",G833/F833)</f>
        <v/>
      </c>
      <c r="I833" s="22" t="str">
        <f aca="false">IF($B833="","",MAX(F833-G833,0))</f>
        <v/>
      </c>
      <c r="J833" s="23" t="str">
        <f aca="false">IF($B833="","",IFERROR(INDEX(고객사!$G$5:$G$104,MATCH($B833,고객사!$A$5:$A$104,0)),""))</f>
        <v/>
      </c>
      <c r="K833" s="16"/>
      <c r="L833" s="22" t="str">
        <f aca="false">IF($B833="","",K833*IFERROR(INDEX(고객사!$L$5:$L$104,MATCH($B833,고객사!$A$5:$A$104,0)),0))</f>
        <v/>
      </c>
      <c r="M833" s="23" t="str">
        <f aca="false">IF($B833="","",IF(AND(J833="N",G833&gt;0,K833=0,IFERROR(INDEX(고객사!$H$5:$H$104,MATCH($B833,고객사!$A$5:$A$104,0)),"")="자사 차량 운행"),"차량 미배정",""))</f>
        <v/>
      </c>
      <c r="N833" s="22" t="str">
        <f aca="false">IF($B833="","",IFERROR(INDEX(고객사!$J$5:$J$104,MATCH($B833,고객사!$A$5:$A$104,0)),0))</f>
        <v/>
      </c>
      <c r="O833" s="22" t="str">
        <f aca="false">IF($B833="","",G833*N833)</f>
        <v/>
      </c>
      <c r="P833" s="22" t="str">
        <f aca="false">IF($B833="","",IFERROR(INDEX(고객사!$K$5:$K$104,MATCH($B833,고객사!$A$5:$A$104,0)),0))</f>
        <v/>
      </c>
      <c r="Q833" s="22" t="str">
        <f aca="false">IF($B833="","",G833*P833)</f>
        <v/>
      </c>
      <c r="R833" s="22" t="str">
        <f aca="false">IF($B833="","",O833-Q833-L833)</f>
        <v/>
      </c>
      <c r="S833" s="21" t="str">
        <f aca="false">IF(OR($B833="",N(O833)=0),"",R833/O833)</f>
        <v/>
      </c>
      <c r="T833" s="14"/>
      <c r="U833" s="19" t="n">
        <f aca="false">IF(OR($B833="",$A833=""),0,IF(COUNTIFS($A$5:$A833,$A833,$B$5:$B833,$B833)=1,1,0))</f>
        <v>0</v>
      </c>
    </row>
    <row r="834" customFormat="false" ht="15" hidden="false" customHeight="false" outlineLevel="0" collapsed="false">
      <c r="A834" s="17"/>
      <c r="B834" s="13"/>
      <c r="C834" s="20" t="str">
        <f aca="false">IF($B834="","",IFERROR(INDEX(고객사!$B$5:$B$104,MATCH($B834,고객사!$A$5:$A$104,0)),"코드 확인"))</f>
        <v/>
      </c>
      <c r="D834" s="15"/>
      <c r="E834" s="15"/>
      <c r="F834" s="16"/>
      <c r="G834" s="16"/>
      <c r="H834" s="21" t="str">
        <f aca="false">IF(OR($B834="",F834=0),"",G834/F834)</f>
        <v/>
      </c>
      <c r="I834" s="22" t="str">
        <f aca="false">IF($B834="","",MAX(F834-G834,0))</f>
        <v/>
      </c>
      <c r="J834" s="23" t="str">
        <f aca="false">IF($B834="","",IFERROR(INDEX(고객사!$G$5:$G$104,MATCH($B834,고객사!$A$5:$A$104,0)),""))</f>
        <v/>
      </c>
      <c r="K834" s="16"/>
      <c r="L834" s="22" t="str">
        <f aca="false">IF($B834="","",K834*IFERROR(INDEX(고객사!$L$5:$L$104,MATCH($B834,고객사!$A$5:$A$104,0)),0))</f>
        <v/>
      </c>
      <c r="M834" s="23" t="str">
        <f aca="false">IF($B834="","",IF(AND(J834="N",G834&gt;0,K834=0,IFERROR(INDEX(고객사!$H$5:$H$104,MATCH($B834,고객사!$A$5:$A$104,0)),"")="자사 차량 운행"),"차량 미배정",""))</f>
        <v/>
      </c>
      <c r="N834" s="22" t="str">
        <f aca="false">IF($B834="","",IFERROR(INDEX(고객사!$J$5:$J$104,MATCH($B834,고객사!$A$5:$A$104,0)),0))</f>
        <v/>
      </c>
      <c r="O834" s="22" t="str">
        <f aca="false">IF($B834="","",G834*N834)</f>
        <v/>
      </c>
      <c r="P834" s="22" t="str">
        <f aca="false">IF($B834="","",IFERROR(INDEX(고객사!$K$5:$K$104,MATCH($B834,고객사!$A$5:$A$104,0)),0))</f>
        <v/>
      </c>
      <c r="Q834" s="22" t="str">
        <f aca="false">IF($B834="","",G834*P834)</f>
        <v/>
      </c>
      <c r="R834" s="22" t="str">
        <f aca="false">IF($B834="","",O834-Q834-L834)</f>
        <v/>
      </c>
      <c r="S834" s="21" t="str">
        <f aca="false">IF(OR($B834="",N(O834)=0),"",R834/O834)</f>
        <v/>
      </c>
      <c r="T834" s="14"/>
      <c r="U834" s="19" t="n">
        <f aca="false">IF(OR($B834="",$A834=""),0,IF(COUNTIFS($A$5:$A834,$A834,$B$5:$B834,$B834)=1,1,0))</f>
        <v>0</v>
      </c>
    </row>
    <row r="835" customFormat="false" ht="15" hidden="false" customHeight="false" outlineLevel="0" collapsed="false">
      <c r="A835" s="17"/>
      <c r="B835" s="13"/>
      <c r="C835" s="20" t="str">
        <f aca="false">IF($B835="","",IFERROR(INDEX(고객사!$B$5:$B$104,MATCH($B835,고객사!$A$5:$A$104,0)),"코드 확인"))</f>
        <v/>
      </c>
      <c r="D835" s="15"/>
      <c r="E835" s="15"/>
      <c r="F835" s="16"/>
      <c r="G835" s="16"/>
      <c r="H835" s="21" t="str">
        <f aca="false">IF(OR($B835="",F835=0),"",G835/F835)</f>
        <v/>
      </c>
      <c r="I835" s="22" t="str">
        <f aca="false">IF($B835="","",MAX(F835-G835,0))</f>
        <v/>
      </c>
      <c r="J835" s="23" t="str">
        <f aca="false">IF($B835="","",IFERROR(INDEX(고객사!$G$5:$G$104,MATCH($B835,고객사!$A$5:$A$104,0)),""))</f>
        <v/>
      </c>
      <c r="K835" s="16"/>
      <c r="L835" s="22" t="str">
        <f aca="false">IF($B835="","",K835*IFERROR(INDEX(고객사!$L$5:$L$104,MATCH($B835,고객사!$A$5:$A$104,0)),0))</f>
        <v/>
      </c>
      <c r="M835" s="23" t="str">
        <f aca="false">IF($B835="","",IF(AND(J835="N",G835&gt;0,K835=0,IFERROR(INDEX(고객사!$H$5:$H$104,MATCH($B835,고객사!$A$5:$A$104,0)),"")="자사 차량 운행"),"차량 미배정",""))</f>
        <v/>
      </c>
      <c r="N835" s="22" t="str">
        <f aca="false">IF($B835="","",IFERROR(INDEX(고객사!$J$5:$J$104,MATCH($B835,고객사!$A$5:$A$104,0)),0))</f>
        <v/>
      </c>
      <c r="O835" s="22" t="str">
        <f aca="false">IF($B835="","",G835*N835)</f>
        <v/>
      </c>
      <c r="P835" s="22" t="str">
        <f aca="false">IF($B835="","",IFERROR(INDEX(고객사!$K$5:$K$104,MATCH($B835,고객사!$A$5:$A$104,0)),0))</f>
        <v/>
      </c>
      <c r="Q835" s="22" t="str">
        <f aca="false">IF($B835="","",G835*P835)</f>
        <v/>
      </c>
      <c r="R835" s="22" t="str">
        <f aca="false">IF($B835="","",O835-Q835-L835)</f>
        <v/>
      </c>
      <c r="S835" s="21" t="str">
        <f aca="false">IF(OR($B835="",N(O835)=0),"",R835/O835)</f>
        <v/>
      </c>
      <c r="T835" s="14"/>
      <c r="U835" s="19" t="n">
        <f aca="false">IF(OR($B835="",$A835=""),0,IF(COUNTIFS($A$5:$A835,$A835,$B$5:$B835,$B835)=1,1,0))</f>
        <v>0</v>
      </c>
    </row>
    <row r="836" customFormat="false" ht="15" hidden="false" customHeight="false" outlineLevel="0" collapsed="false">
      <c r="A836" s="17"/>
      <c r="B836" s="13"/>
      <c r="C836" s="20" t="str">
        <f aca="false">IF($B836="","",IFERROR(INDEX(고객사!$B$5:$B$104,MATCH($B836,고객사!$A$5:$A$104,0)),"코드 확인"))</f>
        <v/>
      </c>
      <c r="D836" s="15"/>
      <c r="E836" s="15"/>
      <c r="F836" s="16"/>
      <c r="G836" s="16"/>
      <c r="H836" s="21" t="str">
        <f aca="false">IF(OR($B836="",F836=0),"",G836/F836)</f>
        <v/>
      </c>
      <c r="I836" s="22" t="str">
        <f aca="false">IF($B836="","",MAX(F836-G836,0))</f>
        <v/>
      </c>
      <c r="J836" s="23" t="str">
        <f aca="false">IF($B836="","",IFERROR(INDEX(고객사!$G$5:$G$104,MATCH($B836,고객사!$A$5:$A$104,0)),""))</f>
        <v/>
      </c>
      <c r="K836" s="16"/>
      <c r="L836" s="22" t="str">
        <f aca="false">IF($B836="","",K836*IFERROR(INDEX(고객사!$L$5:$L$104,MATCH($B836,고객사!$A$5:$A$104,0)),0))</f>
        <v/>
      </c>
      <c r="M836" s="23" t="str">
        <f aca="false">IF($B836="","",IF(AND(J836="N",G836&gt;0,K836=0,IFERROR(INDEX(고객사!$H$5:$H$104,MATCH($B836,고객사!$A$5:$A$104,0)),"")="자사 차량 운행"),"차량 미배정",""))</f>
        <v/>
      </c>
      <c r="N836" s="22" t="str">
        <f aca="false">IF($B836="","",IFERROR(INDEX(고객사!$J$5:$J$104,MATCH($B836,고객사!$A$5:$A$104,0)),0))</f>
        <v/>
      </c>
      <c r="O836" s="22" t="str">
        <f aca="false">IF($B836="","",G836*N836)</f>
        <v/>
      </c>
      <c r="P836" s="22" t="str">
        <f aca="false">IF($B836="","",IFERROR(INDEX(고객사!$K$5:$K$104,MATCH($B836,고객사!$A$5:$A$104,0)),0))</f>
        <v/>
      </c>
      <c r="Q836" s="22" t="str">
        <f aca="false">IF($B836="","",G836*P836)</f>
        <v/>
      </c>
      <c r="R836" s="22" t="str">
        <f aca="false">IF($B836="","",O836-Q836-L836)</f>
        <v/>
      </c>
      <c r="S836" s="21" t="str">
        <f aca="false">IF(OR($B836="",N(O836)=0),"",R836/O836)</f>
        <v/>
      </c>
      <c r="T836" s="14"/>
      <c r="U836" s="19" t="n">
        <f aca="false">IF(OR($B836="",$A836=""),0,IF(COUNTIFS($A$5:$A836,$A836,$B$5:$B836,$B836)=1,1,0))</f>
        <v>0</v>
      </c>
    </row>
    <row r="837" customFormat="false" ht="15" hidden="false" customHeight="false" outlineLevel="0" collapsed="false">
      <c r="A837" s="17"/>
      <c r="B837" s="13"/>
      <c r="C837" s="20" t="str">
        <f aca="false">IF($B837="","",IFERROR(INDEX(고객사!$B$5:$B$104,MATCH($B837,고객사!$A$5:$A$104,0)),"코드 확인"))</f>
        <v/>
      </c>
      <c r="D837" s="15"/>
      <c r="E837" s="15"/>
      <c r="F837" s="16"/>
      <c r="G837" s="16"/>
      <c r="H837" s="21" t="str">
        <f aca="false">IF(OR($B837="",F837=0),"",G837/F837)</f>
        <v/>
      </c>
      <c r="I837" s="22" t="str">
        <f aca="false">IF($B837="","",MAX(F837-G837,0))</f>
        <v/>
      </c>
      <c r="J837" s="23" t="str">
        <f aca="false">IF($B837="","",IFERROR(INDEX(고객사!$G$5:$G$104,MATCH($B837,고객사!$A$5:$A$104,0)),""))</f>
        <v/>
      </c>
      <c r="K837" s="16"/>
      <c r="L837" s="22" t="str">
        <f aca="false">IF($B837="","",K837*IFERROR(INDEX(고객사!$L$5:$L$104,MATCH($B837,고객사!$A$5:$A$104,0)),0))</f>
        <v/>
      </c>
      <c r="M837" s="23" t="str">
        <f aca="false">IF($B837="","",IF(AND(J837="N",G837&gt;0,K837=0,IFERROR(INDEX(고객사!$H$5:$H$104,MATCH($B837,고객사!$A$5:$A$104,0)),"")="자사 차량 운행"),"차량 미배정",""))</f>
        <v/>
      </c>
      <c r="N837" s="22" t="str">
        <f aca="false">IF($B837="","",IFERROR(INDEX(고객사!$J$5:$J$104,MATCH($B837,고객사!$A$5:$A$104,0)),0))</f>
        <v/>
      </c>
      <c r="O837" s="22" t="str">
        <f aca="false">IF($B837="","",G837*N837)</f>
        <v/>
      </c>
      <c r="P837" s="22" t="str">
        <f aca="false">IF($B837="","",IFERROR(INDEX(고객사!$K$5:$K$104,MATCH($B837,고객사!$A$5:$A$104,0)),0))</f>
        <v/>
      </c>
      <c r="Q837" s="22" t="str">
        <f aca="false">IF($B837="","",G837*P837)</f>
        <v/>
      </c>
      <c r="R837" s="22" t="str">
        <f aca="false">IF($B837="","",O837-Q837-L837)</f>
        <v/>
      </c>
      <c r="S837" s="21" t="str">
        <f aca="false">IF(OR($B837="",N(O837)=0),"",R837/O837)</f>
        <v/>
      </c>
      <c r="T837" s="14"/>
      <c r="U837" s="19" t="n">
        <f aca="false">IF(OR($B837="",$A837=""),0,IF(COUNTIFS($A$5:$A837,$A837,$B$5:$B837,$B837)=1,1,0))</f>
        <v>0</v>
      </c>
    </row>
    <row r="838" customFormat="false" ht="15" hidden="false" customHeight="false" outlineLevel="0" collapsed="false">
      <c r="A838" s="17"/>
      <c r="B838" s="13"/>
      <c r="C838" s="20" t="str">
        <f aca="false">IF($B838="","",IFERROR(INDEX(고객사!$B$5:$B$104,MATCH($B838,고객사!$A$5:$A$104,0)),"코드 확인"))</f>
        <v/>
      </c>
      <c r="D838" s="15"/>
      <c r="E838" s="15"/>
      <c r="F838" s="16"/>
      <c r="G838" s="16"/>
      <c r="H838" s="21" t="str">
        <f aca="false">IF(OR($B838="",F838=0),"",G838/F838)</f>
        <v/>
      </c>
      <c r="I838" s="22" t="str">
        <f aca="false">IF($B838="","",MAX(F838-G838,0))</f>
        <v/>
      </c>
      <c r="J838" s="23" t="str">
        <f aca="false">IF($B838="","",IFERROR(INDEX(고객사!$G$5:$G$104,MATCH($B838,고객사!$A$5:$A$104,0)),""))</f>
        <v/>
      </c>
      <c r="K838" s="16"/>
      <c r="L838" s="22" t="str">
        <f aca="false">IF($B838="","",K838*IFERROR(INDEX(고객사!$L$5:$L$104,MATCH($B838,고객사!$A$5:$A$104,0)),0))</f>
        <v/>
      </c>
      <c r="M838" s="23" t="str">
        <f aca="false">IF($B838="","",IF(AND(J838="N",G838&gt;0,K838=0,IFERROR(INDEX(고객사!$H$5:$H$104,MATCH($B838,고객사!$A$5:$A$104,0)),"")="자사 차량 운행"),"차량 미배정",""))</f>
        <v/>
      </c>
      <c r="N838" s="22" t="str">
        <f aca="false">IF($B838="","",IFERROR(INDEX(고객사!$J$5:$J$104,MATCH($B838,고객사!$A$5:$A$104,0)),0))</f>
        <v/>
      </c>
      <c r="O838" s="22" t="str">
        <f aca="false">IF($B838="","",G838*N838)</f>
        <v/>
      </c>
      <c r="P838" s="22" t="str">
        <f aca="false">IF($B838="","",IFERROR(INDEX(고객사!$K$5:$K$104,MATCH($B838,고객사!$A$5:$A$104,0)),0))</f>
        <v/>
      </c>
      <c r="Q838" s="22" t="str">
        <f aca="false">IF($B838="","",G838*P838)</f>
        <v/>
      </c>
      <c r="R838" s="22" t="str">
        <f aca="false">IF($B838="","",O838-Q838-L838)</f>
        <v/>
      </c>
      <c r="S838" s="21" t="str">
        <f aca="false">IF(OR($B838="",N(O838)=0),"",R838/O838)</f>
        <v/>
      </c>
      <c r="T838" s="14"/>
      <c r="U838" s="19" t="n">
        <f aca="false">IF(OR($B838="",$A838=""),0,IF(COUNTIFS($A$5:$A838,$A838,$B$5:$B838,$B838)=1,1,0))</f>
        <v>0</v>
      </c>
    </row>
    <row r="839" customFormat="false" ht="15" hidden="false" customHeight="false" outlineLevel="0" collapsed="false">
      <c r="A839" s="17"/>
      <c r="B839" s="13"/>
      <c r="C839" s="20" t="str">
        <f aca="false">IF($B839="","",IFERROR(INDEX(고객사!$B$5:$B$104,MATCH($B839,고객사!$A$5:$A$104,0)),"코드 확인"))</f>
        <v/>
      </c>
      <c r="D839" s="15"/>
      <c r="E839" s="15"/>
      <c r="F839" s="16"/>
      <c r="G839" s="16"/>
      <c r="H839" s="21" t="str">
        <f aca="false">IF(OR($B839="",F839=0),"",G839/F839)</f>
        <v/>
      </c>
      <c r="I839" s="22" t="str">
        <f aca="false">IF($B839="","",MAX(F839-G839,0))</f>
        <v/>
      </c>
      <c r="J839" s="23" t="str">
        <f aca="false">IF($B839="","",IFERROR(INDEX(고객사!$G$5:$G$104,MATCH($B839,고객사!$A$5:$A$104,0)),""))</f>
        <v/>
      </c>
      <c r="K839" s="16"/>
      <c r="L839" s="22" t="str">
        <f aca="false">IF($B839="","",K839*IFERROR(INDEX(고객사!$L$5:$L$104,MATCH($B839,고객사!$A$5:$A$104,0)),0))</f>
        <v/>
      </c>
      <c r="M839" s="23" t="str">
        <f aca="false">IF($B839="","",IF(AND(J839="N",G839&gt;0,K839=0,IFERROR(INDEX(고객사!$H$5:$H$104,MATCH($B839,고객사!$A$5:$A$104,0)),"")="자사 차량 운행"),"차량 미배정",""))</f>
        <v/>
      </c>
      <c r="N839" s="22" t="str">
        <f aca="false">IF($B839="","",IFERROR(INDEX(고객사!$J$5:$J$104,MATCH($B839,고객사!$A$5:$A$104,0)),0))</f>
        <v/>
      </c>
      <c r="O839" s="22" t="str">
        <f aca="false">IF($B839="","",G839*N839)</f>
        <v/>
      </c>
      <c r="P839" s="22" t="str">
        <f aca="false">IF($B839="","",IFERROR(INDEX(고객사!$K$5:$K$104,MATCH($B839,고객사!$A$5:$A$104,0)),0))</f>
        <v/>
      </c>
      <c r="Q839" s="22" t="str">
        <f aca="false">IF($B839="","",G839*P839)</f>
        <v/>
      </c>
      <c r="R839" s="22" t="str">
        <f aca="false">IF($B839="","",O839-Q839-L839)</f>
        <v/>
      </c>
      <c r="S839" s="21" t="str">
        <f aca="false">IF(OR($B839="",N(O839)=0),"",R839/O839)</f>
        <v/>
      </c>
      <c r="T839" s="14"/>
      <c r="U839" s="19" t="n">
        <f aca="false">IF(OR($B839="",$A839=""),0,IF(COUNTIFS($A$5:$A839,$A839,$B$5:$B839,$B839)=1,1,0))</f>
        <v>0</v>
      </c>
    </row>
    <row r="840" customFormat="false" ht="15" hidden="false" customHeight="false" outlineLevel="0" collapsed="false">
      <c r="A840" s="17"/>
      <c r="B840" s="13"/>
      <c r="C840" s="20" t="str">
        <f aca="false">IF($B840="","",IFERROR(INDEX(고객사!$B$5:$B$104,MATCH($B840,고객사!$A$5:$A$104,0)),"코드 확인"))</f>
        <v/>
      </c>
      <c r="D840" s="15"/>
      <c r="E840" s="15"/>
      <c r="F840" s="16"/>
      <c r="G840" s="16"/>
      <c r="H840" s="21" t="str">
        <f aca="false">IF(OR($B840="",F840=0),"",G840/F840)</f>
        <v/>
      </c>
      <c r="I840" s="22" t="str">
        <f aca="false">IF($B840="","",MAX(F840-G840,0))</f>
        <v/>
      </c>
      <c r="J840" s="23" t="str">
        <f aca="false">IF($B840="","",IFERROR(INDEX(고객사!$G$5:$G$104,MATCH($B840,고객사!$A$5:$A$104,0)),""))</f>
        <v/>
      </c>
      <c r="K840" s="16"/>
      <c r="L840" s="22" t="str">
        <f aca="false">IF($B840="","",K840*IFERROR(INDEX(고객사!$L$5:$L$104,MATCH($B840,고객사!$A$5:$A$104,0)),0))</f>
        <v/>
      </c>
      <c r="M840" s="23" t="str">
        <f aca="false">IF($B840="","",IF(AND(J840="N",G840&gt;0,K840=0,IFERROR(INDEX(고객사!$H$5:$H$104,MATCH($B840,고객사!$A$5:$A$104,0)),"")="자사 차량 운행"),"차량 미배정",""))</f>
        <v/>
      </c>
      <c r="N840" s="22" t="str">
        <f aca="false">IF($B840="","",IFERROR(INDEX(고객사!$J$5:$J$104,MATCH($B840,고객사!$A$5:$A$104,0)),0))</f>
        <v/>
      </c>
      <c r="O840" s="22" t="str">
        <f aca="false">IF($B840="","",G840*N840)</f>
        <v/>
      </c>
      <c r="P840" s="22" t="str">
        <f aca="false">IF($B840="","",IFERROR(INDEX(고객사!$K$5:$K$104,MATCH($B840,고객사!$A$5:$A$104,0)),0))</f>
        <v/>
      </c>
      <c r="Q840" s="22" t="str">
        <f aca="false">IF($B840="","",G840*P840)</f>
        <v/>
      </c>
      <c r="R840" s="22" t="str">
        <f aca="false">IF($B840="","",O840-Q840-L840)</f>
        <v/>
      </c>
      <c r="S840" s="21" t="str">
        <f aca="false">IF(OR($B840="",N(O840)=0),"",R840/O840)</f>
        <v/>
      </c>
      <c r="T840" s="14"/>
      <c r="U840" s="19" t="n">
        <f aca="false">IF(OR($B840="",$A840=""),0,IF(COUNTIFS($A$5:$A840,$A840,$B$5:$B840,$B840)=1,1,0))</f>
        <v>0</v>
      </c>
    </row>
    <row r="841" customFormat="false" ht="15" hidden="false" customHeight="false" outlineLevel="0" collapsed="false">
      <c r="A841" s="17"/>
      <c r="B841" s="13"/>
      <c r="C841" s="20" t="str">
        <f aca="false">IF($B841="","",IFERROR(INDEX(고객사!$B$5:$B$104,MATCH($B841,고객사!$A$5:$A$104,0)),"코드 확인"))</f>
        <v/>
      </c>
      <c r="D841" s="15"/>
      <c r="E841" s="15"/>
      <c r="F841" s="16"/>
      <c r="G841" s="16"/>
      <c r="H841" s="21" t="str">
        <f aca="false">IF(OR($B841="",F841=0),"",G841/F841)</f>
        <v/>
      </c>
      <c r="I841" s="22" t="str">
        <f aca="false">IF($B841="","",MAX(F841-G841,0))</f>
        <v/>
      </c>
      <c r="J841" s="23" t="str">
        <f aca="false">IF($B841="","",IFERROR(INDEX(고객사!$G$5:$G$104,MATCH($B841,고객사!$A$5:$A$104,0)),""))</f>
        <v/>
      </c>
      <c r="K841" s="16"/>
      <c r="L841" s="22" t="str">
        <f aca="false">IF($B841="","",K841*IFERROR(INDEX(고객사!$L$5:$L$104,MATCH($B841,고객사!$A$5:$A$104,0)),0))</f>
        <v/>
      </c>
      <c r="M841" s="23" t="str">
        <f aca="false">IF($B841="","",IF(AND(J841="N",G841&gt;0,K841=0,IFERROR(INDEX(고객사!$H$5:$H$104,MATCH($B841,고객사!$A$5:$A$104,0)),"")="자사 차량 운행"),"차량 미배정",""))</f>
        <v/>
      </c>
      <c r="N841" s="22" t="str">
        <f aca="false">IF($B841="","",IFERROR(INDEX(고객사!$J$5:$J$104,MATCH($B841,고객사!$A$5:$A$104,0)),0))</f>
        <v/>
      </c>
      <c r="O841" s="22" t="str">
        <f aca="false">IF($B841="","",G841*N841)</f>
        <v/>
      </c>
      <c r="P841" s="22" t="str">
        <f aca="false">IF($B841="","",IFERROR(INDEX(고객사!$K$5:$K$104,MATCH($B841,고객사!$A$5:$A$104,0)),0))</f>
        <v/>
      </c>
      <c r="Q841" s="22" t="str">
        <f aca="false">IF($B841="","",G841*P841)</f>
        <v/>
      </c>
      <c r="R841" s="22" t="str">
        <f aca="false">IF($B841="","",O841-Q841-L841)</f>
        <v/>
      </c>
      <c r="S841" s="21" t="str">
        <f aca="false">IF(OR($B841="",N(O841)=0),"",R841/O841)</f>
        <v/>
      </c>
      <c r="T841" s="14"/>
      <c r="U841" s="19" t="n">
        <f aca="false">IF(OR($B841="",$A841=""),0,IF(COUNTIFS($A$5:$A841,$A841,$B$5:$B841,$B841)=1,1,0))</f>
        <v>0</v>
      </c>
    </row>
    <row r="842" customFormat="false" ht="15" hidden="false" customHeight="false" outlineLevel="0" collapsed="false">
      <c r="A842" s="17"/>
      <c r="B842" s="13"/>
      <c r="C842" s="20" t="str">
        <f aca="false">IF($B842="","",IFERROR(INDEX(고객사!$B$5:$B$104,MATCH($B842,고객사!$A$5:$A$104,0)),"코드 확인"))</f>
        <v/>
      </c>
      <c r="D842" s="15"/>
      <c r="E842" s="15"/>
      <c r="F842" s="16"/>
      <c r="G842" s="16"/>
      <c r="H842" s="21" t="str">
        <f aca="false">IF(OR($B842="",F842=0),"",G842/F842)</f>
        <v/>
      </c>
      <c r="I842" s="22" t="str">
        <f aca="false">IF($B842="","",MAX(F842-G842,0))</f>
        <v/>
      </c>
      <c r="J842" s="23" t="str">
        <f aca="false">IF($B842="","",IFERROR(INDEX(고객사!$G$5:$G$104,MATCH($B842,고객사!$A$5:$A$104,0)),""))</f>
        <v/>
      </c>
      <c r="K842" s="16"/>
      <c r="L842" s="22" t="str">
        <f aca="false">IF($B842="","",K842*IFERROR(INDEX(고객사!$L$5:$L$104,MATCH($B842,고객사!$A$5:$A$104,0)),0))</f>
        <v/>
      </c>
      <c r="M842" s="23" t="str">
        <f aca="false">IF($B842="","",IF(AND(J842="N",G842&gt;0,K842=0,IFERROR(INDEX(고객사!$H$5:$H$104,MATCH($B842,고객사!$A$5:$A$104,0)),"")="자사 차량 운행"),"차량 미배정",""))</f>
        <v/>
      </c>
      <c r="N842" s="22" t="str">
        <f aca="false">IF($B842="","",IFERROR(INDEX(고객사!$J$5:$J$104,MATCH($B842,고객사!$A$5:$A$104,0)),0))</f>
        <v/>
      </c>
      <c r="O842" s="22" t="str">
        <f aca="false">IF($B842="","",G842*N842)</f>
        <v/>
      </c>
      <c r="P842" s="22" t="str">
        <f aca="false">IF($B842="","",IFERROR(INDEX(고객사!$K$5:$K$104,MATCH($B842,고객사!$A$5:$A$104,0)),0))</f>
        <v/>
      </c>
      <c r="Q842" s="22" t="str">
        <f aca="false">IF($B842="","",G842*P842)</f>
        <v/>
      </c>
      <c r="R842" s="22" t="str">
        <f aca="false">IF($B842="","",O842-Q842-L842)</f>
        <v/>
      </c>
      <c r="S842" s="21" t="str">
        <f aca="false">IF(OR($B842="",N(O842)=0),"",R842/O842)</f>
        <v/>
      </c>
      <c r="T842" s="14"/>
      <c r="U842" s="19" t="n">
        <f aca="false">IF(OR($B842="",$A842=""),0,IF(COUNTIFS($A$5:$A842,$A842,$B$5:$B842,$B842)=1,1,0))</f>
        <v>0</v>
      </c>
    </row>
    <row r="843" customFormat="false" ht="15" hidden="false" customHeight="false" outlineLevel="0" collapsed="false">
      <c r="A843" s="17"/>
      <c r="B843" s="13"/>
      <c r="C843" s="20" t="str">
        <f aca="false">IF($B843="","",IFERROR(INDEX(고객사!$B$5:$B$104,MATCH($B843,고객사!$A$5:$A$104,0)),"코드 확인"))</f>
        <v/>
      </c>
      <c r="D843" s="15"/>
      <c r="E843" s="15"/>
      <c r="F843" s="16"/>
      <c r="G843" s="16"/>
      <c r="H843" s="21" t="str">
        <f aca="false">IF(OR($B843="",F843=0),"",G843/F843)</f>
        <v/>
      </c>
      <c r="I843" s="22" t="str">
        <f aca="false">IF($B843="","",MAX(F843-G843,0))</f>
        <v/>
      </c>
      <c r="J843" s="23" t="str">
        <f aca="false">IF($B843="","",IFERROR(INDEX(고객사!$G$5:$G$104,MATCH($B843,고객사!$A$5:$A$104,0)),""))</f>
        <v/>
      </c>
      <c r="K843" s="16"/>
      <c r="L843" s="22" t="str">
        <f aca="false">IF($B843="","",K843*IFERROR(INDEX(고객사!$L$5:$L$104,MATCH($B843,고객사!$A$5:$A$104,0)),0))</f>
        <v/>
      </c>
      <c r="M843" s="23" t="str">
        <f aca="false">IF($B843="","",IF(AND(J843="N",G843&gt;0,K843=0,IFERROR(INDEX(고객사!$H$5:$H$104,MATCH($B843,고객사!$A$5:$A$104,0)),"")="자사 차량 운행"),"차량 미배정",""))</f>
        <v/>
      </c>
      <c r="N843" s="22" t="str">
        <f aca="false">IF($B843="","",IFERROR(INDEX(고객사!$J$5:$J$104,MATCH($B843,고객사!$A$5:$A$104,0)),0))</f>
        <v/>
      </c>
      <c r="O843" s="22" t="str">
        <f aca="false">IF($B843="","",G843*N843)</f>
        <v/>
      </c>
      <c r="P843" s="22" t="str">
        <f aca="false">IF($B843="","",IFERROR(INDEX(고객사!$K$5:$K$104,MATCH($B843,고객사!$A$5:$A$104,0)),0))</f>
        <v/>
      </c>
      <c r="Q843" s="22" t="str">
        <f aca="false">IF($B843="","",G843*P843)</f>
        <v/>
      </c>
      <c r="R843" s="22" t="str">
        <f aca="false">IF($B843="","",O843-Q843-L843)</f>
        <v/>
      </c>
      <c r="S843" s="21" t="str">
        <f aca="false">IF(OR($B843="",N(O843)=0),"",R843/O843)</f>
        <v/>
      </c>
      <c r="T843" s="14"/>
      <c r="U843" s="19" t="n">
        <f aca="false">IF(OR($B843="",$A843=""),0,IF(COUNTIFS($A$5:$A843,$A843,$B$5:$B843,$B843)=1,1,0))</f>
        <v>0</v>
      </c>
    </row>
    <row r="844" customFormat="false" ht="15" hidden="false" customHeight="false" outlineLevel="0" collapsed="false">
      <c r="A844" s="17"/>
      <c r="B844" s="13"/>
      <c r="C844" s="20" t="str">
        <f aca="false">IF($B844="","",IFERROR(INDEX(고객사!$B$5:$B$104,MATCH($B844,고객사!$A$5:$A$104,0)),"코드 확인"))</f>
        <v/>
      </c>
      <c r="D844" s="15"/>
      <c r="E844" s="15"/>
      <c r="F844" s="16"/>
      <c r="G844" s="16"/>
      <c r="H844" s="21" t="str">
        <f aca="false">IF(OR($B844="",F844=0),"",G844/F844)</f>
        <v/>
      </c>
      <c r="I844" s="22" t="str">
        <f aca="false">IF($B844="","",MAX(F844-G844,0))</f>
        <v/>
      </c>
      <c r="J844" s="23" t="str">
        <f aca="false">IF($B844="","",IFERROR(INDEX(고객사!$G$5:$G$104,MATCH($B844,고객사!$A$5:$A$104,0)),""))</f>
        <v/>
      </c>
      <c r="K844" s="16"/>
      <c r="L844" s="22" t="str">
        <f aca="false">IF($B844="","",K844*IFERROR(INDEX(고객사!$L$5:$L$104,MATCH($B844,고객사!$A$5:$A$104,0)),0))</f>
        <v/>
      </c>
      <c r="M844" s="23" t="str">
        <f aca="false">IF($B844="","",IF(AND(J844="N",G844&gt;0,K844=0,IFERROR(INDEX(고객사!$H$5:$H$104,MATCH($B844,고객사!$A$5:$A$104,0)),"")="자사 차량 운행"),"차량 미배정",""))</f>
        <v/>
      </c>
      <c r="N844" s="22" t="str">
        <f aca="false">IF($B844="","",IFERROR(INDEX(고객사!$J$5:$J$104,MATCH($B844,고객사!$A$5:$A$104,0)),0))</f>
        <v/>
      </c>
      <c r="O844" s="22" t="str">
        <f aca="false">IF($B844="","",G844*N844)</f>
        <v/>
      </c>
      <c r="P844" s="22" t="str">
        <f aca="false">IF($B844="","",IFERROR(INDEX(고객사!$K$5:$K$104,MATCH($B844,고객사!$A$5:$A$104,0)),0))</f>
        <v/>
      </c>
      <c r="Q844" s="22" t="str">
        <f aca="false">IF($B844="","",G844*P844)</f>
        <v/>
      </c>
      <c r="R844" s="22" t="str">
        <f aca="false">IF($B844="","",O844-Q844-L844)</f>
        <v/>
      </c>
      <c r="S844" s="21" t="str">
        <f aca="false">IF(OR($B844="",N(O844)=0),"",R844/O844)</f>
        <v/>
      </c>
      <c r="T844" s="14"/>
      <c r="U844" s="19" t="n">
        <f aca="false">IF(OR($B844="",$A844=""),0,IF(COUNTIFS($A$5:$A844,$A844,$B$5:$B844,$B844)=1,1,0))</f>
        <v>0</v>
      </c>
    </row>
    <row r="845" customFormat="false" ht="15" hidden="false" customHeight="false" outlineLevel="0" collapsed="false">
      <c r="A845" s="17"/>
      <c r="B845" s="13"/>
      <c r="C845" s="20" t="str">
        <f aca="false">IF($B845="","",IFERROR(INDEX(고객사!$B$5:$B$104,MATCH($B845,고객사!$A$5:$A$104,0)),"코드 확인"))</f>
        <v/>
      </c>
      <c r="D845" s="15"/>
      <c r="E845" s="15"/>
      <c r="F845" s="16"/>
      <c r="G845" s="16"/>
      <c r="H845" s="21" t="str">
        <f aca="false">IF(OR($B845="",F845=0),"",G845/F845)</f>
        <v/>
      </c>
      <c r="I845" s="22" t="str">
        <f aca="false">IF($B845="","",MAX(F845-G845,0))</f>
        <v/>
      </c>
      <c r="J845" s="23" t="str">
        <f aca="false">IF($B845="","",IFERROR(INDEX(고객사!$G$5:$G$104,MATCH($B845,고객사!$A$5:$A$104,0)),""))</f>
        <v/>
      </c>
      <c r="K845" s="16"/>
      <c r="L845" s="22" t="str">
        <f aca="false">IF($B845="","",K845*IFERROR(INDEX(고객사!$L$5:$L$104,MATCH($B845,고객사!$A$5:$A$104,0)),0))</f>
        <v/>
      </c>
      <c r="M845" s="23" t="str">
        <f aca="false">IF($B845="","",IF(AND(J845="N",G845&gt;0,K845=0,IFERROR(INDEX(고객사!$H$5:$H$104,MATCH($B845,고객사!$A$5:$A$104,0)),"")="자사 차량 운행"),"차량 미배정",""))</f>
        <v/>
      </c>
      <c r="N845" s="22" t="str">
        <f aca="false">IF($B845="","",IFERROR(INDEX(고객사!$J$5:$J$104,MATCH($B845,고객사!$A$5:$A$104,0)),0))</f>
        <v/>
      </c>
      <c r="O845" s="22" t="str">
        <f aca="false">IF($B845="","",G845*N845)</f>
        <v/>
      </c>
      <c r="P845" s="22" t="str">
        <f aca="false">IF($B845="","",IFERROR(INDEX(고객사!$K$5:$K$104,MATCH($B845,고객사!$A$5:$A$104,0)),0))</f>
        <v/>
      </c>
      <c r="Q845" s="22" t="str">
        <f aca="false">IF($B845="","",G845*P845)</f>
        <v/>
      </c>
      <c r="R845" s="22" t="str">
        <f aca="false">IF($B845="","",O845-Q845-L845)</f>
        <v/>
      </c>
      <c r="S845" s="21" t="str">
        <f aca="false">IF(OR($B845="",N(O845)=0),"",R845/O845)</f>
        <v/>
      </c>
      <c r="T845" s="14"/>
      <c r="U845" s="19" t="n">
        <f aca="false">IF(OR($B845="",$A845=""),0,IF(COUNTIFS($A$5:$A845,$A845,$B$5:$B845,$B845)=1,1,0))</f>
        <v>0</v>
      </c>
    </row>
    <row r="846" customFormat="false" ht="15" hidden="false" customHeight="false" outlineLevel="0" collapsed="false">
      <c r="A846" s="17"/>
      <c r="B846" s="13"/>
      <c r="C846" s="20" t="str">
        <f aca="false">IF($B846="","",IFERROR(INDEX(고객사!$B$5:$B$104,MATCH($B846,고객사!$A$5:$A$104,0)),"코드 확인"))</f>
        <v/>
      </c>
      <c r="D846" s="15"/>
      <c r="E846" s="15"/>
      <c r="F846" s="16"/>
      <c r="G846" s="16"/>
      <c r="H846" s="21" t="str">
        <f aca="false">IF(OR($B846="",F846=0),"",G846/F846)</f>
        <v/>
      </c>
      <c r="I846" s="22" t="str">
        <f aca="false">IF($B846="","",MAX(F846-G846,0))</f>
        <v/>
      </c>
      <c r="J846" s="23" t="str">
        <f aca="false">IF($B846="","",IFERROR(INDEX(고객사!$G$5:$G$104,MATCH($B846,고객사!$A$5:$A$104,0)),""))</f>
        <v/>
      </c>
      <c r="K846" s="16"/>
      <c r="L846" s="22" t="str">
        <f aca="false">IF($B846="","",K846*IFERROR(INDEX(고객사!$L$5:$L$104,MATCH($B846,고객사!$A$5:$A$104,0)),0))</f>
        <v/>
      </c>
      <c r="M846" s="23" t="str">
        <f aca="false">IF($B846="","",IF(AND(J846="N",G846&gt;0,K846=0,IFERROR(INDEX(고객사!$H$5:$H$104,MATCH($B846,고객사!$A$5:$A$104,0)),"")="자사 차량 운행"),"차량 미배정",""))</f>
        <v/>
      </c>
      <c r="N846" s="22" t="str">
        <f aca="false">IF($B846="","",IFERROR(INDEX(고객사!$J$5:$J$104,MATCH($B846,고객사!$A$5:$A$104,0)),0))</f>
        <v/>
      </c>
      <c r="O846" s="22" t="str">
        <f aca="false">IF($B846="","",G846*N846)</f>
        <v/>
      </c>
      <c r="P846" s="22" t="str">
        <f aca="false">IF($B846="","",IFERROR(INDEX(고객사!$K$5:$K$104,MATCH($B846,고객사!$A$5:$A$104,0)),0))</f>
        <v/>
      </c>
      <c r="Q846" s="22" t="str">
        <f aca="false">IF($B846="","",G846*P846)</f>
        <v/>
      </c>
      <c r="R846" s="22" t="str">
        <f aca="false">IF($B846="","",O846-Q846-L846)</f>
        <v/>
      </c>
      <c r="S846" s="21" t="str">
        <f aca="false">IF(OR($B846="",N(O846)=0),"",R846/O846)</f>
        <v/>
      </c>
      <c r="T846" s="14"/>
      <c r="U846" s="19" t="n">
        <f aca="false">IF(OR($B846="",$A846=""),0,IF(COUNTIFS($A$5:$A846,$A846,$B$5:$B846,$B846)=1,1,0))</f>
        <v>0</v>
      </c>
    </row>
    <row r="847" customFormat="false" ht="15" hidden="false" customHeight="false" outlineLevel="0" collapsed="false">
      <c r="A847" s="17"/>
      <c r="B847" s="13"/>
      <c r="C847" s="20" t="str">
        <f aca="false">IF($B847="","",IFERROR(INDEX(고객사!$B$5:$B$104,MATCH($B847,고객사!$A$5:$A$104,0)),"코드 확인"))</f>
        <v/>
      </c>
      <c r="D847" s="15"/>
      <c r="E847" s="15"/>
      <c r="F847" s="16"/>
      <c r="G847" s="16"/>
      <c r="H847" s="21" t="str">
        <f aca="false">IF(OR($B847="",F847=0),"",G847/F847)</f>
        <v/>
      </c>
      <c r="I847" s="22" t="str">
        <f aca="false">IF($B847="","",MAX(F847-G847,0))</f>
        <v/>
      </c>
      <c r="J847" s="23" t="str">
        <f aca="false">IF($B847="","",IFERROR(INDEX(고객사!$G$5:$G$104,MATCH($B847,고객사!$A$5:$A$104,0)),""))</f>
        <v/>
      </c>
      <c r="K847" s="16"/>
      <c r="L847" s="22" t="str">
        <f aca="false">IF($B847="","",K847*IFERROR(INDEX(고객사!$L$5:$L$104,MATCH($B847,고객사!$A$5:$A$104,0)),0))</f>
        <v/>
      </c>
      <c r="M847" s="23" t="str">
        <f aca="false">IF($B847="","",IF(AND(J847="N",G847&gt;0,K847=0,IFERROR(INDEX(고객사!$H$5:$H$104,MATCH($B847,고객사!$A$5:$A$104,0)),"")="자사 차량 운행"),"차량 미배정",""))</f>
        <v/>
      </c>
      <c r="N847" s="22" t="str">
        <f aca="false">IF($B847="","",IFERROR(INDEX(고객사!$J$5:$J$104,MATCH($B847,고객사!$A$5:$A$104,0)),0))</f>
        <v/>
      </c>
      <c r="O847" s="22" t="str">
        <f aca="false">IF($B847="","",G847*N847)</f>
        <v/>
      </c>
      <c r="P847" s="22" t="str">
        <f aca="false">IF($B847="","",IFERROR(INDEX(고객사!$K$5:$K$104,MATCH($B847,고객사!$A$5:$A$104,0)),0))</f>
        <v/>
      </c>
      <c r="Q847" s="22" t="str">
        <f aca="false">IF($B847="","",G847*P847)</f>
        <v/>
      </c>
      <c r="R847" s="22" t="str">
        <f aca="false">IF($B847="","",O847-Q847-L847)</f>
        <v/>
      </c>
      <c r="S847" s="21" t="str">
        <f aca="false">IF(OR($B847="",N(O847)=0),"",R847/O847)</f>
        <v/>
      </c>
      <c r="T847" s="14"/>
      <c r="U847" s="19" t="n">
        <f aca="false">IF(OR($B847="",$A847=""),0,IF(COUNTIFS($A$5:$A847,$A847,$B$5:$B847,$B847)=1,1,0))</f>
        <v>0</v>
      </c>
    </row>
    <row r="848" customFormat="false" ht="15" hidden="false" customHeight="false" outlineLevel="0" collapsed="false">
      <c r="A848" s="17"/>
      <c r="B848" s="13"/>
      <c r="C848" s="20" t="str">
        <f aca="false">IF($B848="","",IFERROR(INDEX(고객사!$B$5:$B$104,MATCH($B848,고객사!$A$5:$A$104,0)),"코드 확인"))</f>
        <v/>
      </c>
      <c r="D848" s="15"/>
      <c r="E848" s="15"/>
      <c r="F848" s="16"/>
      <c r="G848" s="16"/>
      <c r="H848" s="21" t="str">
        <f aca="false">IF(OR($B848="",F848=0),"",G848/F848)</f>
        <v/>
      </c>
      <c r="I848" s="22" t="str">
        <f aca="false">IF($B848="","",MAX(F848-G848,0))</f>
        <v/>
      </c>
      <c r="J848" s="23" t="str">
        <f aca="false">IF($B848="","",IFERROR(INDEX(고객사!$G$5:$G$104,MATCH($B848,고객사!$A$5:$A$104,0)),""))</f>
        <v/>
      </c>
      <c r="K848" s="16"/>
      <c r="L848" s="22" t="str">
        <f aca="false">IF($B848="","",K848*IFERROR(INDEX(고객사!$L$5:$L$104,MATCH($B848,고객사!$A$5:$A$104,0)),0))</f>
        <v/>
      </c>
      <c r="M848" s="23" t="str">
        <f aca="false">IF($B848="","",IF(AND(J848="N",G848&gt;0,K848=0,IFERROR(INDEX(고객사!$H$5:$H$104,MATCH($B848,고객사!$A$5:$A$104,0)),"")="자사 차량 운행"),"차량 미배정",""))</f>
        <v/>
      </c>
      <c r="N848" s="22" t="str">
        <f aca="false">IF($B848="","",IFERROR(INDEX(고객사!$J$5:$J$104,MATCH($B848,고객사!$A$5:$A$104,0)),0))</f>
        <v/>
      </c>
      <c r="O848" s="22" t="str">
        <f aca="false">IF($B848="","",G848*N848)</f>
        <v/>
      </c>
      <c r="P848" s="22" t="str">
        <f aca="false">IF($B848="","",IFERROR(INDEX(고객사!$K$5:$K$104,MATCH($B848,고객사!$A$5:$A$104,0)),0))</f>
        <v/>
      </c>
      <c r="Q848" s="22" t="str">
        <f aca="false">IF($B848="","",G848*P848)</f>
        <v/>
      </c>
      <c r="R848" s="22" t="str">
        <f aca="false">IF($B848="","",O848-Q848-L848)</f>
        <v/>
      </c>
      <c r="S848" s="21" t="str">
        <f aca="false">IF(OR($B848="",N(O848)=0),"",R848/O848)</f>
        <v/>
      </c>
      <c r="T848" s="14"/>
      <c r="U848" s="19" t="n">
        <f aca="false">IF(OR($B848="",$A848=""),0,IF(COUNTIFS($A$5:$A848,$A848,$B$5:$B848,$B848)=1,1,0))</f>
        <v>0</v>
      </c>
    </row>
    <row r="849" customFormat="false" ht="15" hidden="false" customHeight="false" outlineLevel="0" collapsed="false">
      <c r="A849" s="17"/>
      <c r="B849" s="13"/>
      <c r="C849" s="20" t="str">
        <f aca="false">IF($B849="","",IFERROR(INDEX(고객사!$B$5:$B$104,MATCH($B849,고객사!$A$5:$A$104,0)),"코드 확인"))</f>
        <v/>
      </c>
      <c r="D849" s="15"/>
      <c r="E849" s="15"/>
      <c r="F849" s="16"/>
      <c r="G849" s="16"/>
      <c r="H849" s="21" t="str">
        <f aca="false">IF(OR($B849="",F849=0),"",G849/F849)</f>
        <v/>
      </c>
      <c r="I849" s="22" t="str">
        <f aca="false">IF($B849="","",MAX(F849-G849,0))</f>
        <v/>
      </c>
      <c r="J849" s="23" t="str">
        <f aca="false">IF($B849="","",IFERROR(INDEX(고객사!$G$5:$G$104,MATCH($B849,고객사!$A$5:$A$104,0)),""))</f>
        <v/>
      </c>
      <c r="K849" s="16"/>
      <c r="L849" s="22" t="str">
        <f aca="false">IF($B849="","",K849*IFERROR(INDEX(고객사!$L$5:$L$104,MATCH($B849,고객사!$A$5:$A$104,0)),0))</f>
        <v/>
      </c>
      <c r="M849" s="23" t="str">
        <f aca="false">IF($B849="","",IF(AND(J849="N",G849&gt;0,K849=0,IFERROR(INDEX(고객사!$H$5:$H$104,MATCH($B849,고객사!$A$5:$A$104,0)),"")="자사 차량 운행"),"차량 미배정",""))</f>
        <v/>
      </c>
      <c r="N849" s="22" t="str">
        <f aca="false">IF($B849="","",IFERROR(INDEX(고객사!$J$5:$J$104,MATCH($B849,고객사!$A$5:$A$104,0)),0))</f>
        <v/>
      </c>
      <c r="O849" s="22" t="str">
        <f aca="false">IF($B849="","",G849*N849)</f>
        <v/>
      </c>
      <c r="P849" s="22" t="str">
        <f aca="false">IF($B849="","",IFERROR(INDEX(고객사!$K$5:$K$104,MATCH($B849,고객사!$A$5:$A$104,0)),0))</f>
        <v/>
      </c>
      <c r="Q849" s="22" t="str">
        <f aca="false">IF($B849="","",G849*P849)</f>
        <v/>
      </c>
      <c r="R849" s="22" t="str">
        <f aca="false">IF($B849="","",O849-Q849-L849)</f>
        <v/>
      </c>
      <c r="S849" s="21" t="str">
        <f aca="false">IF(OR($B849="",N(O849)=0),"",R849/O849)</f>
        <v/>
      </c>
      <c r="T849" s="14"/>
      <c r="U849" s="19" t="n">
        <f aca="false">IF(OR($B849="",$A849=""),0,IF(COUNTIFS($A$5:$A849,$A849,$B$5:$B849,$B849)=1,1,0))</f>
        <v>0</v>
      </c>
    </row>
    <row r="850" customFormat="false" ht="15" hidden="false" customHeight="false" outlineLevel="0" collapsed="false">
      <c r="A850" s="17"/>
      <c r="B850" s="13"/>
      <c r="C850" s="20" t="str">
        <f aca="false">IF($B850="","",IFERROR(INDEX(고객사!$B$5:$B$104,MATCH($B850,고객사!$A$5:$A$104,0)),"코드 확인"))</f>
        <v/>
      </c>
      <c r="D850" s="15"/>
      <c r="E850" s="15"/>
      <c r="F850" s="16"/>
      <c r="G850" s="16"/>
      <c r="H850" s="21" t="str">
        <f aca="false">IF(OR($B850="",F850=0),"",G850/F850)</f>
        <v/>
      </c>
      <c r="I850" s="22" t="str">
        <f aca="false">IF($B850="","",MAX(F850-G850,0))</f>
        <v/>
      </c>
      <c r="J850" s="23" t="str">
        <f aca="false">IF($B850="","",IFERROR(INDEX(고객사!$G$5:$G$104,MATCH($B850,고객사!$A$5:$A$104,0)),""))</f>
        <v/>
      </c>
      <c r="K850" s="16"/>
      <c r="L850" s="22" t="str">
        <f aca="false">IF($B850="","",K850*IFERROR(INDEX(고객사!$L$5:$L$104,MATCH($B850,고객사!$A$5:$A$104,0)),0))</f>
        <v/>
      </c>
      <c r="M850" s="23" t="str">
        <f aca="false">IF($B850="","",IF(AND(J850="N",G850&gt;0,K850=0,IFERROR(INDEX(고객사!$H$5:$H$104,MATCH($B850,고객사!$A$5:$A$104,0)),"")="자사 차량 운행"),"차량 미배정",""))</f>
        <v/>
      </c>
      <c r="N850" s="22" t="str">
        <f aca="false">IF($B850="","",IFERROR(INDEX(고객사!$J$5:$J$104,MATCH($B850,고객사!$A$5:$A$104,0)),0))</f>
        <v/>
      </c>
      <c r="O850" s="22" t="str">
        <f aca="false">IF($B850="","",G850*N850)</f>
        <v/>
      </c>
      <c r="P850" s="22" t="str">
        <f aca="false">IF($B850="","",IFERROR(INDEX(고객사!$K$5:$K$104,MATCH($B850,고객사!$A$5:$A$104,0)),0))</f>
        <v/>
      </c>
      <c r="Q850" s="22" t="str">
        <f aca="false">IF($B850="","",G850*P850)</f>
        <v/>
      </c>
      <c r="R850" s="22" t="str">
        <f aca="false">IF($B850="","",O850-Q850-L850)</f>
        <v/>
      </c>
      <c r="S850" s="21" t="str">
        <f aca="false">IF(OR($B850="",N(O850)=0),"",R850/O850)</f>
        <v/>
      </c>
      <c r="T850" s="14"/>
      <c r="U850" s="19" t="n">
        <f aca="false">IF(OR($B850="",$A850=""),0,IF(COUNTIFS($A$5:$A850,$A850,$B$5:$B850,$B850)=1,1,0))</f>
        <v>0</v>
      </c>
    </row>
    <row r="851" customFormat="false" ht="15" hidden="false" customHeight="false" outlineLevel="0" collapsed="false">
      <c r="A851" s="17"/>
      <c r="B851" s="13"/>
      <c r="C851" s="20" t="str">
        <f aca="false">IF($B851="","",IFERROR(INDEX(고객사!$B$5:$B$104,MATCH($B851,고객사!$A$5:$A$104,0)),"코드 확인"))</f>
        <v/>
      </c>
      <c r="D851" s="15"/>
      <c r="E851" s="15"/>
      <c r="F851" s="16"/>
      <c r="G851" s="16"/>
      <c r="H851" s="21" t="str">
        <f aca="false">IF(OR($B851="",F851=0),"",G851/F851)</f>
        <v/>
      </c>
      <c r="I851" s="22" t="str">
        <f aca="false">IF($B851="","",MAX(F851-G851,0))</f>
        <v/>
      </c>
      <c r="J851" s="23" t="str">
        <f aca="false">IF($B851="","",IFERROR(INDEX(고객사!$G$5:$G$104,MATCH($B851,고객사!$A$5:$A$104,0)),""))</f>
        <v/>
      </c>
      <c r="K851" s="16"/>
      <c r="L851" s="22" t="str">
        <f aca="false">IF($B851="","",K851*IFERROR(INDEX(고객사!$L$5:$L$104,MATCH($B851,고객사!$A$5:$A$104,0)),0))</f>
        <v/>
      </c>
      <c r="M851" s="23" t="str">
        <f aca="false">IF($B851="","",IF(AND(J851="N",G851&gt;0,K851=0,IFERROR(INDEX(고객사!$H$5:$H$104,MATCH($B851,고객사!$A$5:$A$104,0)),"")="자사 차량 운행"),"차량 미배정",""))</f>
        <v/>
      </c>
      <c r="N851" s="22" t="str">
        <f aca="false">IF($B851="","",IFERROR(INDEX(고객사!$J$5:$J$104,MATCH($B851,고객사!$A$5:$A$104,0)),0))</f>
        <v/>
      </c>
      <c r="O851" s="22" t="str">
        <f aca="false">IF($B851="","",G851*N851)</f>
        <v/>
      </c>
      <c r="P851" s="22" t="str">
        <f aca="false">IF($B851="","",IFERROR(INDEX(고객사!$K$5:$K$104,MATCH($B851,고객사!$A$5:$A$104,0)),0))</f>
        <v/>
      </c>
      <c r="Q851" s="22" t="str">
        <f aca="false">IF($B851="","",G851*P851)</f>
        <v/>
      </c>
      <c r="R851" s="22" t="str">
        <f aca="false">IF($B851="","",O851-Q851-L851)</f>
        <v/>
      </c>
      <c r="S851" s="21" t="str">
        <f aca="false">IF(OR($B851="",N(O851)=0),"",R851/O851)</f>
        <v/>
      </c>
      <c r="T851" s="14"/>
      <c r="U851" s="19" t="n">
        <f aca="false">IF(OR($B851="",$A851=""),0,IF(COUNTIFS($A$5:$A851,$A851,$B$5:$B851,$B851)=1,1,0))</f>
        <v>0</v>
      </c>
    </row>
    <row r="852" customFormat="false" ht="15" hidden="false" customHeight="false" outlineLevel="0" collapsed="false">
      <c r="A852" s="17"/>
      <c r="B852" s="13"/>
      <c r="C852" s="20" t="str">
        <f aca="false">IF($B852="","",IFERROR(INDEX(고객사!$B$5:$B$104,MATCH($B852,고객사!$A$5:$A$104,0)),"코드 확인"))</f>
        <v/>
      </c>
      <c r="D852" s="15"/>
      <c r="E852" s="15"/>
      <c r="F852" s="16"/>
      <c r="G852" s="16"/>
      <c r="H852" s="21" t="str">
        <f aca="false">IF(OR($B852="",F852=0),"",G852/F852)</f>
        <v/>
      </c>
      <c r="I852" s="22" t="str">
        <f aca="false">IF($B852="","",MAX(F852-G852,0))</f>
        <v/>
      </c>
      <c r="J852" s="23" t="str">
        <f aca="false">IF($B852="","",IFERROR(INDEX(고객사!$G$5:$G$104,MATCH($B852,고객사!$A$5:$A$104,0)),""))</f>
        <v/>
      </c>
      <c r="K852" s="16"/>
      <c r="L852" s="22" t="str">
        <f aca="false">IF($B852="","",K852*IFERROR(INDEX(고객사!$L$5:$L$104,MATCH($B852,고객사!$A$5:$A$104,0)),0))</f>
        <v/>
      </c>
      <c r="M852" s="23" t="str">
        <f aca="false">IF($B852="","",IF(AND(J852="N",G852&gt;0,K852=0,IFERROR(INDEX(고객사!$H$5:$H$104,MATCH($B852,고객사!$A$5:$A$104,0)),"")="자사 차량 운행"),"차량 미배정",""))</f>
        <v/>
      </c>
      <c r="N852" s="22" t="str">
        <f aca="false">IF($B852="","",IFERROR(INDEX(고객사!$J$5:$J$104,MATCH($B852,고객사!$A$5:$A$104,0)),0))</f>
        <v/>
      </c>
      <c r="O852" s="22" t="str">
        <f aca="false">IF($B852="","",G852*N852)</f>
        <v/>
      </c>
      <c r="P852" s="22" t="str">
        <f aca="false">IF($B852="","",IFERROR(INDEX(고객사!$K$5:$K$104,MATCH($B852,고객사!$A$5:$A$104,0)),0))</f>
        <v/>
      </c>
      <c r="Q852" s="22" t="str">
        <f aca="false">IF($B852="","",G852*P852)</f>
        <v/>
      </c>
      <c r="R852" s="22" t="str">
        <f aca="false">IF($B852="","",O852-Q852-L852)</f>
        <v/>
      </c>
      <c r="S852" s="21" t="str">
        <f aca="false">IF(OR($B852="",N(O852)=0),"",R852/O852)</f>
        <v/>
      </c>
      <c r="T852" s="14"/>
      <c r="U852" s="19" t="n">
        <f aca="false">IF(OR($B852="",$A852=""),0,IF(COUNTIFS($A$5:$A852,$A852,$B$5:$B852,$B852)=1,1,0))</f>
        <v>0</v>
      </c>
    </row>
    <row r="853" customFormat="false" ht="15" hidden="false" customHeight="false" outlineLevel="0" collapsed="false">
      <c r="A853" s="17"/>
      <c r="B853" s="13"/>
      <c r="C853" s="20" t="str">
        <f aca="false">IF($B853="","",IFERROR(INDEX(고객사!$B$5:$B$104,MATCH($B853,고객사!$A$5:$A$104,0)),"코드 확인"))</f>
        <v/>
      </c>
      <c r="D853" s="15"/>
      <c r="E853" s="15"/>
      <c r="F853" s="16"/>
      <c r="G853" s="16"/>
      <c r="H853" s="21" t="str">
        <f aca="false">IF(OR($B853="",F853=0),"",G853/F853)</f>
        <v/>
      </c>
      <c r="I853" s="22" t="str">
        <f aca="false">IF($B853="","",MAX(F853-G853,0))</f>
        <v/>
      </c>
      <c r="J853" s="23" t="str">
        <f aca="false">IF($B853="","",IFERROR(INDEX(고객사!$G$5:$G$104,MATCH($B853,고객사!$A$5:$A$104,0)),""))</f>
        <v/>
      </c>
      <c r="K853" s="16"/>
      <c r="L853" s="22" t="str">
        <f aca="false">IF($B853="","",K853*IFERROR(INDEX(고객사!$L$5:$L$104,MATCH($B853,고객사!$A$5:$A$104,0)),0))</f>
        <v/>
      </c>
      <c r="M853" s="23" t="str">
        <f aca="false">IF($B853="","",IF(AND(J853="N",G853&gt;0,K853=0,IFERROR(INDEX(고객사!$H$5:$H$104,MATCH($B853,고객사!$A$5:$A$104,0)),"")="자사 차량 운행"),"차량 미배정",""))</f>
        <v/>
      </c>
      <c r="N853" s="22" t="str">
        <f aca="false">IF($B853="","",IFERROR(INDEX(고객사!$J$5:$J$104,MATCH($B853,고객사!$A$5:$A$104,0)),0))</f>
        <v/>
      </c>
      <c r="O853" s="22" t="str">
        <f aca="false">IF($B853="","",G853*N853)</f>
        <v/>
      </c>
      <c r="P853" s="22" t="str">
        <f aca="false">IF($B853="","",IFERROR(INDEX(고객사!$K$5:$K$104,MATCH($B853,고객사!$A$5:$A$104,0)),0))</f>
        <v/>
      </c>
      <c r="Q853" s="22" t="str">
        <f aca="false">IF($B853="","",G853*P853)</f>
        <v/>
      </c>
      <c r="R853" s="22" t="str">
        <f aca="false">IF($B853="","",O853-Q853-L853)</f>
        <v/>
      </c>
      <c r="S853" s="21" t="str">
        <f aca="false">IF(OR($B853="",N(O853)=0),"",R853/O853)</f>
        <v/>
      </c>
      <c r="T853" s="14"/>
      <c r="U853" s="19" t="n">
        <f aca="false">IF(OR($B853="",$A853=""),0,IF(COUNTIFS($A$5:$A853,$A853,$B$5:$B853,$B853)=1,1,0))</f>
        <v>0</v>
      </c>
    </row>
    <row r="854" customFormat="false" ht="15" hidden="false" customHeight="false" outlineLevel="0" collapsed="false">
      <c r="A854" s="17"/>
      <c r="B854" s="13"/>
      <c r="C854" s="20" t="str">
        <f aca="false">IF($B854="","",IFERROR(INDEX(고객사!$B$5:$B$104,MATCH($B854,고객사!$A$5:$A$104,0)),"코드 확인"))</f>
        <v/>
      </c>
      <c r="D854" s="15"/>
      <c r="E854" s="15"/>
      <c r="F854" s="16"/>
      <c r="G854" s="16"/>
      <c r="H854" s="21" t="str">
        <f aca="false">IF(OR($B854="",F854=0),"",G854/F854)</f>
        <v/>
      </c>
      <c r="I854" s="22" t="str">
        <f aca="false">IF($B854="","",MAX(F854-G854,0))</f>
        <v/>
      </c>
      <c r="J854" s="23" t="str">
        <f aca="false">IF($B854="","",IFERROR(INDEX(고객사!$G$5:$G$104,MATCH($B854,고객사!$A$5:$A$104,0)),""))</f>
        <v/>
      </c>
      <c r="K854" s="16"/>
      <c r="L854" s="22" t="str">
        <f aca="false">IF($B854="","",K854*IFERROR(INDEX(고객사!$L$5:$L$104,MATCH($B854,고객사!$A$5:$A$104,0)),0))</f>
        <v/>
      </c>
      <c r="M854" s="23" t="str">
        <f aca="false">IF($B854="","",IF(AND(J854="N",G854&gt;0,K854=0,IFERROR(INDEX(고객사!$H$5:$H$104,MATCH($B854,고객사!$A$5:$A$104,0)),"")="자사 차량 운행"),"차량 미배정",""))</f>
        <v/>
      </c>
      <c r="N854" s="22" t="str">
        <f aca="false">IF($B854="","",IFERROR(INDEX(고객사!$J$5:$J$104,MATCH($B854,고객사!$A$5:$A$104,0)),0))</f>
        <v/>
      </c>
      <c r="O854" s="22" t="str">
        <f aca="false">IF($B854="","",G854*N854)</f>
        <v/>
      </c>
      <c r="P854" s="22" t="str">
        <f aca="false">IF($B854="","",IFERROR(INDEX(고객사!$K$5:$K$104,MATCH($B854,고객사!$A$5:$A$104,0)),0))</f>
        <v/>
      </c>
      <c r="Q854" s="22" t="str">
        <f aca="false">IF($B854="","",G854*P854)</f>
        <v/>
      </c>
      <c r="R854" s="22" t="str">
        <f aca="false">IF($B854="","",O854-Q854-L854)</f>
        <v/>
      </c>
      <c r="S854" s="21" t="str">
        <f aca="false">IF(OR($B854="",N(O854)=0),"",R854/O854)</f>
        <v/>
      </c>
      <c r="T854" s="14"/>
      <c r="U854" s="19" t="n">
        <f aca="false">IF(OR($B854="",$A854=""),0,IF(COUNTIFS($A$5:$A854,$A854,$B$5:$B854,$B854)=1,1,0))</f>
        <v>0</v>
      </c>
    </row>
    <row r="855" customFormat="false" ht="15" hidden="false" customHeight="false" outlineLevel="0" collapsed="false">
      <c r="A855" s="17"/>
      <c r="B855" s="13"/>
      <c r="C855" s="20" t="str">
        <f aca="false">IF($B855="","",IFERROR(INDEX(고객사!$B$5:$B$104,MATCH($B855,고객사!$A$5:$A$104,0)),"코드 확인"))</f>
        <v/>
      </c>
      <c r="D855" s="15"/>
      <c r="E855" s="15"/>
      <c r="F855" s="16"/>
      <c r="G855" s="16"/>
      <c r="H855" s="21" t="str">
        <f aca="false">IF(OR($B855="",F855=0),"",G855/F855)</f>
        <v/>
      </c>
      <c r="I855" s="22" t="str">
        <f aca="false">IF($B855="","",MAX(F855-G855,0))</f>
        <v/>
      </c>
      <c r="J855" s="23" t="str">
        <f aca="false">IF($B855="","",IFERROR(INDEX(고객사!$G$5:$G$104,MATCH($B855,고객사!$A$5:$A$104,0)),""))</f>
        <v/>
      </c>
      <c r="K855" s="16"/>
      <c r="L855" s="22" t="str">
        <f aca="false">IF($B855="","",K855*IFERROR(INDEX(고객사!$L$5:$L$104,MATCH($B855,고객사!$A$5:$A$104,0)),0))</f>
        <v/>
      </c>
      <c r="M855" s="23" t="str">
        <f aca="false">IF($B855="","",IF(AND(J855="N",G855&gt;0,K855=0,IFERROR(INDEX(고객사!$H$5:$H$104,MATCH($B855,고객사!$A$5:$A$104,0)),"")="자사 차량 운행"),"차량 미배정",""))</f>
        <v/>
      </c>
      <c r="N855" s="22" t="str">
        <f aca="false">IF($B855="","",IFERROR(INDEX(고객사!$J$5:$J$104,MATCH($B855,고객사!$A$5:$A$104,0)),0))</f>
        <v/>
      </c>
      <c r="O855" s="22" t="str">
        <f aca="false">IF($B855="","",G855*N855)</f>
        <v/>
      </c>
      <c r="P855" s="22" t="str">
        <f aca="false">IF($B855="","",IFERROR(INDEX(고객사!$K$5:$K$104,MATCH($B855,고객사!$A$5:$A$104,0)),0))</f>
        <v/>
      </c>
      <c r="Q855" s="22" t="str">
        <f aca="false">IF($B855="","",G855*P855)</f>
        <v/>
      </c>
      <c r="R855" s="22" t="str">
        <f aca="false">IF($B855="","",O855-Q855-L855)</f>
        <v/>
      </c>
      <c r="S855" s="21" t="str">
        <f aca="false">IF(OR($B855="",N(O855)=0),"",R855/O855)</f>
        <v/>
      </c>
      <c r="T855" s="14"/>
      <c r="U855" s="19" t="n">
        <f aca="false">IF(OR($B855="",$A855=""),0,IF(COUNTIFS($A$5:$A855,$A855,$B$5:$B855,$B855)=1,1,0))</f>
        <v>0</v>
      </c>
    </row>
    <row r="856" customFormat="false" ht="15" hidden="false" customHeight="false" outlineLevel="0" collapsed="false">
      <c r="A856" s="17"/>
      <c r="B856" s="13"/>
      <c r="C856" s="20" t="str">
        <f aca="false">IF($B856="","",IFERROR(INDEX(고객사!$B$5:$B$104,MATCH($B856,고객사!$A$5:$A$104,0)),"코드 확인"))</f>
        <v/>
      </c>
      <c r="D856" s="15"/>
      <c r="E856" s="15"/>
      <c r="F856" s="16"/>
      <c r="G856" s="16"/>
      <c r="H856" s="21" t="str">
        <f aca="false">IF(OR($B856="",F856=0),"",G856/F856)</f>
        <v/>
      </c>
      <c r="I856" s="22" t="str">
        <f aca="false">IF($B856="","",MAX(F856-G856,0))</f>
        <v/>
      </c>
      <c r="J856" s="23" t="str">
        <f aca="false">IF($B856="","",IFERROR(INDEX(고객사!$G$5:$G$104,MATCH($B856,고객사!$A$5:$A$104,0)),""))</f>
        <v/>
      </c>
      <c r="K856" s="16"/>
      <c r="L856" s="22" t="str">
        <f aca="false">IF($B856="","",K856*IFERROR(INDEX(고객사!$L$5:$L$104,MATCH($B856,고객사!$A$5:$A$104,0)),0))</f>
        <v/>
      </c>
      <c r="M856" s="23" t="str">
        <f aca="false">IF($B856="","",IF(AND(J856="N",G856&gt;0,K856=0,IFERROR(INDEX(고객사!$H$5:$H$104,MATCH($B856,고객사!$A$5:$A$104,0)),"")="자사 차량 운행"),"차량 미배정",""))</f>
        <v/>
      </c>
      <c r="N856" s="22" t="str">
        <f aca="false">IF($B856="","",IFERROR(INDEX(고객사!$J$5:$J$104,MATCH($B856,고객사!$A$5:$A$104,0)),0))</f>
        <v/>
      </c>
      <c r="O856" s="22" t="str">
        <f aca="false">IF($B856="","",G856*N856)</f>
        <v/>
      </c>
      <c r="P856" s="22" t="str">
        <f aca="false">IF($B856="","",IFERROR(INDEX(고객사!$K$5:$K$104,MATCH($B856,고객사!$A$5:$A$104,0)),0))</f>
        <v/>
      </c>
      <c r="Q856" s="22" t="str">
        <f aca="false">IF($B856="","",G856*P856)</f>
        <v/>
      </c>
      <c r="R856" s="22" t="str">
        <f aca="false">IF($B856="","",O856-Q856-L856)</f>
        <v/>
      </c>
      <c r="S856" s="21" t="str">
        <f aca="false">IF(OR($B856="",N(O856)=0),"",R856/O856)</f>
        <v/>
      </c>
      <c r="T856" s="14"/>
      <c r="U856" s="19" t="n">
        <f aca="false">IF(OR($B856="",$A856=""),0,IF(COUNTIFS($A$5:$A856,$A856,$B$5:$B856,$B856)=1,1,0))</f>
        <v>0</v>
      </c>
    </row>
    <row r="857" customFormat="false" ht="15" hidden="false" customHeight="false" outlineLevel="0" collapsed="false">
      <c r="A857" s="17"/>
      <c r="B857" s="13"/>
      <c r="C857" s="20" t="str">
        <f aca="false">IF($B857="","",IFERROR(INDEX(고객사!$B$5:$B$104,MATCH($B857,고객사!$A$5:$A$104,0)),"코드 확인"))</f>
        <v/>
      </c>
      <c r="D857" s="15"/>
      <c r="E857" s="15"/>
      <c r="F857" s="16"/>
      <c r="G857" s="16"/>
      <c r="H857" s="21" t="str">
        <f aca="false">IF(OR($B857="",F857=0),"",G857/F857)</f>
        <v/>
      </c>
      <c r="I857" s="22" t="str">
        <f aca="false">IF($B857="","",MAX(F857-G857,0))</f>
        <v/>
      </c>
      <c r="J857" s="23" t="str">
        <f aca="false">IF($B857="","",IFERROR(INDEX(고객사!$G$5:$G$104,MATCH($B857,고객사!$A$5:$A$104,0)),""))</f>
        <v/>
      </c>
      <c r="K857" s="16"/>
      <c r="L857" s="22" t="str">
        <f aca="false">IF($B857="","",K857*IFERROR(INDEX(고객사!$L$5:$L$104,MATCH($B857,고객사!$A$5:$A$104,0)),0))</f>
        <v/>
      </c>
      <c r="M857" s="23" t="str">
        <f aca="false">IF($B857="","",IF(AND(J857="N",G857&gt;0,K857=0,IFERROR(INDEX(고객사!$H$5:$H$104,MATCH($B857,고객사!$A$5:$A$104,0)),"")="자사 차량 운행"),"차량 미배정",""))</f>
        <v/>
      </c>
      <c r="N857" s="22" t="str">
        <f aca="false">IF($B857="","",IFERROR(INDEX(고객사!$J$5:$J$104,MATCH($B857,고객사!$A$5:$A$104,0)),0))</f>
        <v/>
      </c>
      <c r="O857" s="22" t="str">
        <f aca="false">IF($B857="","",G857*N857)</f>
        <v/>
      </c>
      <c r="P857" s="22" t="str">
        <f aca="false">IF($B857="","",IFERROR(INDEX(고객사!$K$5:$K$104,MATCH($B857,고객사!$A$5:$A$104,0)),0))</f>
        <v/>
      </c>
      <c r="Q857" s="22" t="str">
        <f aca="false">IF($B857="","",G857*P857)</f>
        <v/>
      </c>
      <c r="R857" s="22" t="str">
        <f aca="false">IF($B857="","",O857-Q857-L857)</f>
        <v/>
      </c>
      <c r="S857" s="21" t="str">
        <f aca="false">IF(OR($B857="",N(O857)=0),"",R857/O857)</f>
        <v/>
      </c>
      <c r="T857" s="14"/>
      <c r="U857" s="19" t="n">
        <f aca="false">IF(OR($B857="",$A857=""),0,IF(COUNTIFS($A$5:$A857,$A857,$B$5:$B857,$B857)=1,1,0))</f>
        <v>0</v>
      </c>
    </row>
    <row r="858" customFormat="false" ht="15" hidden="false" customHeight="false" outlineLevel="0" collapsed="false">
      <c r="A858" s="17"/>
      <c r="B858" s="13"/>
      <c r="C858" s="20" t="str">
        <f aca="false">IF($B858="","",IFERROR(INDEX(고객사!$B$5:$B$104,MATCH($B858,고객사!$A$5:$A$104,0)),"코드 확인"))</f>
        <v/>
      </c>
      <c r="D858" s="15"/>
      <c r="E858" s="15"/>
      <c r="F858" s="16"/>
      <c r="G858" s="16"/>
      <c r="H858" s="21" t="str">
        <f aca="false">IF(OR($B858="",F858=0),"",G858/F858)</f>
        <v/>
      </c>
      <c r="I858" s="22" t="str">
        <f aca="false">IF($B858="","",MAX(F858-G858,0))</f>
        <v/>
      </c>
      <c r="J858" s="23" t="str">
        <f aca="false">IF($B858="","",IFERROR(INDEX(고객사!$G$5:$G$104,MATCH($B858,고객사!$A$5:$A$104,0)),""))</f>
        <v/>
      </c>
      <c r="K858" s="16"/>
      <c r="L858" s="22" t="str">
        <f aca="false">IF($B858="","",K858*IFERROR(INDEX(고객사!$L$5:$L$104,MATCH($B858,고객사!$A$5:$A$104,0)),0))</f>
        <v/>
      </c>
      <c r="M858" s="23" t="str">
        <f aca="false">IF($B858="","",IF(AND(J858="N",G858&gt;0,K858=0,IFERROR(INDEX(고객사!$H$5:$H$104,MATCH($B858,고객사!$A$5:$A$104,0)),"")="자사 차량 운행"),"차량 미배정",""))</f>
        <v/>
      </c>
      <c r="N858" s="22" t="str">
        <f aca="false">IF($B858="","",IFERROR(INDEX(고객사!$J$5:$J$104,MATCH($B858,고객사!$A$5:$A$104,0)),0))</f>
        <v/>
      </c>
      <c r="O858" s="22" t="str">
        <f aca="false">IF($B858="","",G858*N858)</f>
        <v/>
      </c>
      <c r="P858" s="22" t="str">
        <f aca="false">IF($B858="","",IFERROR(INDEX(고객사!$K$5:$K$104,MATCH($B858,고객사!$A$5:$A$104,0)),0))</f>
        <v/>
      </c>
      <c r="Q858" s="22" t="str">
        <f aca="false">IF($B858="","",G858*P858)</f>
        <v/>
      </c>
      <c r="R858" s="22" t="str">
        <f aca="false">IF($B858="","",O858-Q858-L858)</f>
        <v/>
      </c>
      <c r="S858" s="21" t="str">
        <f aca="false">IF(OR($B858="",N(O858)=0),"",R858/O858)</f>
        <v/>
      </c>
      <c r="T858" s="14"/>
      <c r="U858" s="19" t="n">
        <f aca="false">IF(OR($B858="",$A858=""),0,IF(COUNTIFS($A$5:$A858,$A858,$B$5:$B858,$B858)=1,1,0))</f>
        <v>0</v>
      </c>
    </row>
    <row r="859" customFormat="false" ht="15" hidden="false" customHeight="false" outlineLevel="0" collapsed="false">
      <c r="A859" s="17"/>
      <c r="B859" s="13"/>
      <c r="C859" s="20" t="str">
        <f aca="false">IF($B859="","",IFERROR(INDEX(고객사!$B$5:$B$104,MATCH($B859,고객사!$A$5:$A$104,0)),"코드 확인"))</f>
        <v/>
      </c>
      <c r="D859" s="15"/>
      <c r="E859" s="15"/>
      <c r="F859" s="16"/>
      <c r="G859" s="16"/>
      <c r="H859" s="21" t="str">
        <f aca="false">IF(OR($B859="",F859=0),"",G859/F859)</f>
        <v/>
      </c>
      <c r="I859" s="22" t="str">
        <f aca="false">IF($B859="","",MAX(F859-G859,0))</f>
        <v/>
      </c>
      <c r="J859" s="23" t="str">
        <f aca="false">IF($B859="","",IFERROR(INDEX(고객사!$G$5:$G$104,MATCH($B859,고객사!$A$5:$A$104,0)),""))</f>
        <v/>
      </c>
      <c r="K859" s="16"/>
      <c r="L859" s="22" t="str">
        <f aca="false">IF($B859="","",K859*IFERROR(INDEX(고객사!$L$5:$L$104,MATCH($B859,고객사!$A$5:$A$104,0)),0))</f>
        <v/>
      </c>
      <c r="M859" s="23" t="str">
        <f aca="false">IF($B859="","",IF(AND(J859="N",G859&gt;0,K859=0,IFERROR(INDEX(고객사!$H$5:$H$104,MATCH($B859,고객사!$A$5:$A$104,0)),"")="자사 차량 운행"),"차량 미배정",""))</f>
        <v/>
      </c>
      <c r="N859" s="22" t="str">
        <f aca="false">IF($B859="","",IFERROR(INDEX(고객사!$J$5:$J$104,MATCH($B859,고객사!$A$5:$A$104,0)),0))</f>
        <v/>
      </c>
      <c r="O859" s="22" t="str">
        <f aca="false">IF($B859="","",G859*N859)</f>
        <v/>
      </c>
      <c r="P859" s="22" t="str">
        <f aca="false">IF($B859="","",IFERROR(INDEX(고객사!$K$5:$K$104,MATCH($B859,고객사!$A$5:$A$104,0)),0))</f>
        <v/>
      </c>
      <c r="Q859" s="22" t="str">
        <f aca="false">IF($B859="","",G859*P859)</f>
        <v/>
      </c>
      <c r="R859" s="22" t="str">
        <f aca="false">IF($B859="","",O859-Q859-L859)</f>
        <v/>
      </c>
      <c r="S859" s="21" t="str">
        <f aca="false">IF(OR($B859="",N(O859)=0),"",R859/O859)</f>
        <v/>
      </c>
      <c r="T859" s="14"/>
      <c r="U859" s="19" t="n">
        <f aca="false">IF(OR($B859="",$A859=""),0,IF(COUNTIFS($A$5:$A859,$A859,$B$5:$B859,$B859)=1,1,0))</f>
        <v>0</v>
      </c>
    </row>
    <row r="860" customFormat="false" ht="15" hidden="false" customHeight="false" outlineLevel="0" collapsed="false">
      <c r="A860" s="17"/>
      <c r="B860" s="13"/>
      <c r="C860" s="20" t="str">
        <f aca="false">IF($B860="","",IFERROR(INDEX(고객사!$B$5:$B$104,MATCH($B860,고객사!$A$5:$A$104,0)),"코드 확인"))</f>
        <v/>
      </c>
      <c r="D860" s="15"/>
      <c r="E860" s="15"/>
      <c r="F860" s="16"/>
      <c r="G860" s="16"/>
      <c r="H860" s="21" t="str">
        <f aca="false">IF(OR($B860="",F860=0),"",G860/F860)</f>
        <v/>
      </c>
      <c r="I860" s="22" t="str">
        <f aca="false">IF($B860="","",MAX(F860-G860,0))</f>
        <v/>
      </c>
      <c r="J860" s="23" t="str">
        <f aca="false">IF($B860="","",IFERROR(INDEX(고객사!$G$5:$G$104,MATCH($B860,고객사!$A$5:$A$104,0)),""))</f>
        <v/>
      </c>
      <c r="K860" s="16"/>
      <c r="L860" s="22" t="str">
        <f aca="false">IF($B860="","",K860*IFERROR(INDEX(고객사!$L$5:$L$104,MATCH($B860,고객사!$A$5:$A$104,0)),0))</f>
        <v/>
      </c>
      <c r="M860" s="23" t="str">
        <f aca="false">IF($B860="","",IF(AND(J860="N",G860&gt;0,K860=0,IFERROR(INDEX(고객사!$H$5:$H$104,MATCH($B860,고객사!$A$5:$A$104,0)),"")="자사 차량 운행"),"차량 미배정",""))</f>
        <v/>
      </c>
      <c r="N860" s="22" t="str">
        <f aca="false">IF($B860="","",IFERROR(INDEX(고객사!$J$5:$J$104,MATCH($B860,고객사!$A$5:$A$104,0)),0))</f>
        <v/>
      </c>
      <c r="O860" s="22" t="str">
        <f aca="false">IF($B860="","",G860*N860)</f>
        <v/>
      </c>
      <c r="P860" s="22" t="str">
        <f aca="false">IF($B860="","",IFERROR(INDEX(고객사!$K$5:$K$104,MATCH($B860,고객사!$A$5:$A$104,0)),0))</f>
        <v/>
      </c>
      <c r="Q860" s="22" t="str">
        <f aca="false">IF($B860="","",G860*P860)</f>
        <v/>
      </c>
      <c r="R860" s="22" t="str">
        <f aca="false">IF($B860="","",O860-Q860-L860)</f>
        <v/>
      </c>
      <c r="S860" s="21" t="str">
        <f aca="false">IF(OR($B860="",N(O860)=0),"",R860/O860)</f>
        <v/>
      </c>
      <c r="T860" s="14"/>
      <c r="U860" s="19" t="n">
        <f aca="false">IF(OR($B860="",$A860=""),0,IF(COUNTIFS($A$5:$A860,$A860,$B$5:$B860,$B860)=1,1,0))</f>
        <v>0</v>
      </c>
    </row>
    <row r="861" customFormat="false" ht="15" hidden="false" customHeight="false" outlineLevel="0" collapsed="false">
      <c r="A861" s="17"/>
      <c r="B861" s="13"/>
      <c r="C861" s="20" t="str">
        <f aca="false">IF($B861="","",IFERROR(INDEX(고객사!$B$5:$B$104,MATCH($B861,고객사!$A$5:$A$104,0)),"코드 확인"))</f>
        <v/>
      </c>
      <c r="D861" s="15"/>
      <c r="E861" s="15"/>
      <c r="F861" s="16"/>
      <c r="G861" s="16"/>
      <c r="H861" s="21" t="str">
        <f aca="false">IF(OR($B861="",F861=0),"",G861/F861)</f>
        <v/>
      </c>
      <c r="I861" s="22" t="str">
        <f aca="false">IF($B861="","",MAX(F861-G861,0))</f>
        <v/>
      </c>
      <c r="J861" s="23" t="str">
        <f aca="false">IF($B861="","",IFERROR(INDEX(고객사!$G$5:$G$104,MATCH($B861,고객사!$A$5:$A$104,0)),""))</f>
        <v/>
      </c>
      <c r="K861" s="16"/>
      <c r="L861" s="22" t="str">
        <f aca="false">IF($B861="","",K861*IFERROR(INDEX(고객사!$L$5:$L$104,MATCH($B861,고객사!$A$5:$A$104,0)),0))</f>
        <v/>
      </c>
      <c r="M861" s="23" t="str">
        <f aca="false">IF($B861="","",IF(AND(J861="N",G861&gt;0,K861=0,IFERROR(INDEX(고객사!$H$5:$H$104,MATCH($B861,고객사!$A$5:$A$104,0)),"")="자사 차량 운행"),"차량 미배정",""))</f>
        <v/>
      </c>
      <c r="N861" s="22" t="str">
        <f aca="false">IF($B861="","",IFERROR(INDEX(고객사!$J$5:$J$104,MATCH($B861,고객사!$A$5:$A$104,0)),0))</f>
        <v/>
      </c>
      <c r="O861" s="22" t="str">
        <f aca="false">IF($B861="","",G861*N861)</f>
        <v/>
      </c>
      <c r="P861" s="22" t="str">
        <f aca="false">IF($B861="","",IFERROR(INDEX(고객사!$K$5:$K$104,MATCH($B861,고객사!$A$5:$A$104,0)),0))</f>
        <v/>
      </c>
      <c r="Q861" s="22" t="str">
        <f aca="false">IF($B861="","",G861*P861)</f>
        <v/>
      </c>
      <c r="R861" s="22" t="str">
        <f aca="false">IF($B861="","",O861-Q861-L861)</f>
        <v/>
      </c>
      <c r="S861" s="21" t="str">
        <f aca="false">IF(OR($B861="",N(O861)=0),"",R861/O861)</f>
        <v/>
      </c>
      <c r="T861" s="14"/>
      <c r="U861" s="19" t="n">
        <f aca="false">IF(OR($B861="",$A861=""),0,IF(COUNTIFS($A$5:$A861,$A861,$B$5:$B861,$B861)=1,1,0))</f>
        <v>0</v>
      </c>
    </row>
    <row r="862" customFormat="false" ht="15" hidden="false" customHeight="false" outlineLevel="0" collapsed="false">
      <c r="A862" s="17"/>
      <c r="B862" s="13"/>
      <c r="C862" s="20" t="str">
        <f aca="false">IF($B862="","",IFERROR(INDEX(고객사!$B$5:$B$104,MATCH($B862,고객사!$A$5:$A$104,0)),"코드 확인"))</f>
        <v/>
      </c>
      <c r="D862" s="15"/>
      <c r="E862" s="15"/>
      <c r="F862" s="16"/>
      <c r="G862" s="16"/>
      <c r="H862" s="21" t="str">
        <f aca="false">IF(OR($B862="",F862=0),"",G862/F862)</f>
        <v/>
      </c>
      <c r="I862" s="22" t="str">
        <f aca="false">IF($B862="","",MAX(F862-G862,0))</f>
        <v/>
      </c>
      <c r="J862" s="23" t="str">
        <f aca="false">IF($B862="","",IFERROR(INDEX(고객사!$G$5:$G$104,MATCH($B862,고객사!$A$5:$A$104,0)),""))</f>
        <v/>
      </c>
      <c r="K862" s="16"/>
      <c r="L862" s="22" t="str">
        <f aca="false">IF($B862="","",K862*IFERROR(INDEX(고객사!$L$5:$L$104,MATCH($B862,고객사!$A$5:$A$104,0)),0))</f>
        <v/>
      </c>
      <c r="M862" s="23" t="str">
        <f aca="false">IF($B862="","",IF(AND(J862="N",G862&gt;0,K862=0,IFERROR(INDEX(고객사!$H$5:$H$104,MATCH($B862,고객사!$A$5:$A$104,0)),"")="자사 차량 운행"),"차량 미배정",""))</f>
        <v/>
      </c>
      <c r="N862" s="22" t="str">
        <f aca="false">IF($B862="","",IFERROR(INDEX(고객사!$J$5:$J$104,MATCH($B862,고객사!$A$5:$A$104,0)),0))</f>
        <v/>
      </c>
      <c r="O862" s="22" t="str">
        <f aca="false">IF($B862="","",G862*N862)</f>
        <v/>
      </c>
      <c r="P862" s="22" t="str">
        <f aca="false">IF($B862="","",IFERROR(INDEX(고객사!$K$5:$K$104,MATCH($B862,고객사!$A$5:$A$104,0)),0))</f>
        <v/>
      </c>
      <c r="Q862" s="22" t="str">
        <f aca="false">IF($B862="","",G862*P862)</f>
        <v/>
      </c>
      <c r="R862" s="22" t="str">
        <f aca="false">IF($B862="","",O862-Q862-L862)</f>
        <v/>
      </c>
      <c r="S862" s="21" t="str">
        <f aca="false">IF(OR($B862="",N(O862)=0),"",R862/O862)</f>
        <v/>
      </c>
      <c r="T862" s="14"/>
      <c r="U862" s="19" t="n">
        <f aca="false">IF(OR($B862="",$A862=""),0,IF(COUNTIFS($A$5:$A862,$A862,$B$5:$B862,$B862)=1,1,0))</f>
        <v>0</v>
      </c>
    </row>
    <row r="863" customFormat="false" ht="15" hidden="false" customHeight="false" outlineLevel="0" collapsed="false">
      <c r="A863" s="17"/>
      <c r="B863" s="13"/>
      <c r="C863" s="20" t="str">
        <f aca="false">IF($B863="","",IFERROR(INDEX(고객사!$B$5:$B$104,MATCH($B863,고객사!$A$5:$A$104,0)),"코드 확인"))</f>
        <v/>
      </c>
      <c r="D863" s="15"/>
      <c r="E863" s="15"/>
      <c r="F863" s="16"/>
      <c r="G863" s="16"/>
      <c r="H863" s="21" t="str">
        <f aca="false">IF(OR($B863="",F863=0),"",G863/F863)</f>
        <v/>
      </c>
      <c r="I863" s="22" t="str">
        <f aca="false">IF($B863="","",MAX(F863-G863,0))</f>
        <v/>
      </c>
      <c r="J863" s="23" t="str">
        <f aca="false">IF($B863="","",IFERROR(INDEX(고객사!$G$5:$G$104,MATCH($B863,고객사!$A$5:$A$104,0)),""))</f>
        <v/>
      </c>
      <c r="K863" s="16"/>
      <c r="L863" s="22" t="str">
        <f aca="false">IF($B863="","",K863*IFERROR(INDEX(고객사!$L$5:$L$104,MATCH($B863,고객사!$A$5:$A$104,0)),0))</f>
        <v/>
      </c>
      <c r="M863" s="23" t="str">
        <f aca="false">IF($B863="","",IF(AND(J863="N",G863&gt;0,K863=0,IFERROR(INDEX(고객사!$H$5:$H$104,MATCH($B863,고객사!$A$5:$A$104,0)),"")="자사 차량 운행"),"차량 미배정",""))</f>
        <v/>
      </c>
      <c r="N863" s="22" t="str">
        <f aca="false">IF($B863="","",IFERROR(INDEX(고객사!$J$5:$J$104,MATCH($B863,고객사!$A$5:$A$104,0)),0))</f>
        <v/>
      </c>
      <c r="O863" s="22" t="str">
        <f aca="false">IF($B863="","",G863*N863)</f>
        <v/>
      </c>
      <c r="P863" s="22" t="str">
        <f aca="false">IF($B863="","",IFERROR(INDEX(고객사!$K$5:$K$104,MATCH($B863,고객사!$A$5:$A$104,0)),0))</f>
        <v/>
      </c>
      <c r="Q863" s="22" t="str">
        <f aca="false">IF($B863="","",G863*P863)</f>
        <v/>
      </c>
      <c r="R863" s="22" t="str">
        <f aca="false">IF($B863="","",O863-Q863-L863)</f>
        <v/>
      </c>
      <c r="S863" s="21" t="str">
        <f aca="false">IF(OR($B863="",N(O863)=0),"",R863/O863)</f>
        <v/>
      </c>
      <c r="T863" s="14"/>
      <c r="U863" s="19" t="n">
        <f aca="false">IF(OR($B863="",$A863=""),0,IF(COUNTIFS($A$5:$A863,$A863,$B$5:$B863,$B863)=1,1,0))</f>
        <v>0</v>
      </c>
    </row>
    <row r="864" customFormat="false" ht="15" hidden="false" customHeight="false" outlineLevel="0" collapsed="false">
      <c r="A864" s="17"/>
      <c r="B864" s="13"/>
      <c r="C864" s="20" t="str">
        <f aca="false">IF($B864="","",IFERROR(INDEX(고객사!$B$5:$B$104,MATCH($B864,고객사!$A$5:$A$104,0)),"코드 확인"))</f>
        <v/>
      </c>
      <c r="D864" s="15"/>
      <c r="E864" s="15"/>
      <c r="F864" s="16"/>
      <c r="G864" s="16"/>
      <c r="H864" s="21" t="str">
        <f aca="false">IF(OR($B864="",F864=0),"",G864/F864)</f>
        <v/>
      </c>
      <c r="I864" s="22" t="str">
        <f aca="false">IF($B864="","",MAX(F864-G864,0))</f>
        <v/>
      </c>
      <c r="J864" s="23" t="str">
        <f aca="false">IF($B864="","",IFERROR(INDEX(고객사!$G$5:$G$104,MATCH($B864,고객사!$A$5:$A$104,0)),""))</f>
        <v/>
      </c>
      <c r="K864" s="16"/>
      <c r="L864" s="22" t="str">
        <f aca="false">IF($B864="","",K864*IFERROR(INDEX(고객사!$L$5:$L$104,MATCH($B864,고객사!$A$5:$A$104,0)),0))</f>
        <v/>
      </c>
      <c r="M864" s="23" t="str">
        <f aca="false">IF($B864="","",IF(AND(J864="N",G864&gt;0,K864=0,IFERROR(INDEX(고객사!$H$5:$H$104,MATCH($B864,고객사!$A$5:$A$104,0)),"")="자사 차량 운행"),"차량 미배정",""))</f>
        <v/>
      </c>
      <c r="N864" s="22" t="str">
        <f aca="false">IF($B864="","",IFERROR(INDEX(고객사!$J$5:$J$104,MATCH($B864,고객사!$A$5:$A$104,0)),0))</f>
        <v/>
      </c>
      <c r="O864" s="22" t="str">
        <f aca="false">IF($B864="","",G864*N864)</f>
        <v/>
      </c>
      <c r="P864" s="22" t="str">
        <f aca="false">IF($B864="","",IFERROR(INDEX(고객사!$K$5:$K$104,MATCH($B864,고객사!$A$5:$A$104,0)),0))</f>
        <v/>
      </c>
      <c r="Q864" s="22" t="str">
        <f aca="false">IF($B864="","",G864*P864)</f>
        <v/>
      </c>
      <c r="R864" s="22" t="str">
        <f aca="false">IF($B864="","",O864-Q864-L864)</f>
        <v/>
      </c>
      <c r="S864" s="21" t="str">
        <f aca="false">IF(OR($B864="",N(O864)=0),"",R864/O864)</f>
        <v/>
      </c>
      <c r="T864" s="14"/>
      <c r="U864" s="19" t="n">
        <f aca="false">IF(OR($B864="",$A864=""),0,IF(COUNTIFS($A$5:$A864,$A864,$B$5:$B864,$B864)=1,1,0))</f>
        <v>0</v>
      </c>
    </row>
    <row r="865" customFormat="false" ht="15" hidden="false" customHeight="false" outlineLevel="0" collapsed="false">
      <c r="A865" s="17"/>
      <c r="B865" s="13"/>
      <c r="C865" s="20" t="str">
        <f aca="false">IF($B865="","",IFERROR(INDEX(고객사!$B$5:$B$104,MATCH($B865,고객사!$A$5:$A$104,0)),"코드 확인"))</f>
        <v/>
      </c>
      <c r="D865" s="15"/>
      <c r="E865" s="15"/>
      <c r="F865" s="16"/>
      <c r="G865" s="16"/>
      <c r="H865" s="21" t="str">
        <f aca="false">IF(OR($B865="",F865=0),"",G865/F865)</f>
        <v/>
      </c>
      <c r="I865" s="22" t="str">
        <f aca="false">IF($B865="","",MAX(F865-G865,0))</f>
        <v/>
      </c>
      <c r="J865" s="23" t="str">
        <f aca="false">IF($B865="","",IFERROR(INDEX(고객사!$G$5:$G$104,MATCH($B865,고객사!$A$5:$A$104,0)),""))</f>
        <v/>
      </c>
      <c r="K865" s="16"/>
      <c r="L865" s="22" t="str">
        <f aca="false">IF($B865="","",K865*IFERROR(INDEX(고객사!$L$5:$L$104,MATCH($B865,고객사!$A$5:$A$104,0)),0))</f>
        <v/>
      </c>
      <c r="M865" s="23" t="str">
        <f aca="false">IF($B865="","",IF(AND(J865="N",G865&gt;0,K865=0,IFERROR(INDEX(고객사!$H$5:$H$104,MATCH($B865,고객사!$A$5:$A$104,0)),"")="자사 차량 운행"),"차량 미배정",""))</f>
        <v/>
      </c>
      <c r="N865" s="22" t="str">
        <f aca="false">IF($B865="","",IFERROR(INDEX(고객사!$J$5:$J$104,MATCH($B865,고객사!$A$5:$A$104,0)),0))</f>
        <v/>
      </c>
      <c r="O865" s="22" t="str">
        <f aca="false">IF($B865="","",G865*N865)</f>
        <v/>
      </c>
      <c r="P865" s="22" t="str">
        <f aca="false">IF($B865="","",IFERROR(INDEX(고객사!$K$5:$K$104,MATCH($B865,고객사!$A$5:$A$104,0)),0))</f>
        <v/>
      </c>
      <c r="Q865" s="22" t="str">
        <f aca="false">IF($B865="","",G865*P865)</f>
        <v/>
      </c>
      <c r="R865" s="22" t="str">
        <f aca="false">IF($B865="","",O865-Q865-L865)</f>
        <v/>
      </c>
      <c r="S865" s="21" t="str">
        <f aca="false">IF(OR($B865="",N(O865)=0),"",R865/O865)</f>
        <v/>
      </c>
      <c r="T865" s="14"/>
      <c r="U865" s="19" t="n">
        <f aca="false">IF(OR($B865="",$A865=""),0,IF(COUNTIFS($A$5:$A865,$A865,$B$5:$B865,$B865)=1,1,0))</f>
        <v>0</v>
      </c>
    </row>
    <row r="866" customFormat="false" ht="15" hidden="false" customHeight="false" outlineLevel="0" collapsed="false">
      <c r="A866" s="17"/>
      <c r="B866" s="13"/>
      <c r="C866" s="20" t="str">
        <f aca="false">IF($B866="","",IFERROR(INDEX(고객사!$B$5:$B$104,MATCH($B866,고객사!$A$5:$A$104,0)),"코드 확인"))</f>
        <v/>
      </c>
      <c r="D866" s="15"/>
      <c r="E866" s="15"/>
      <c r="F866" s="16"/>
      <c r="G866" s="16"/>
      <c r="H866" s="21" t="str">
        <f aca="false">IF(OR($B866="",F866=0),"",G866/F866)</f>
        <v/>
      </c>
      <c r="I866" s="22" t="str">
        <f aca="false">IF($B866="","",MAX(F866-G866,0))</f>
        <v/>
      </c>
      <c r="J866" s="23" t="str">
        <f aca="false">IF($B866="","",IFERROR(INDEX(고객사!$G$5:$G$104,MATCH($B866,고객사!$A$5:$A$104,0)),""))</f>
        <v/>
      </c>
      <c r="K866" s="16"/>
      <c r="L866" s="22" t="str">
        <f aca="false">IF($B866="","",K866*IFERROR(INDEX(고객사!$L$5:$L$104,MATCH($B866,고객사!$A$5:$A$104,0)),0))</f>
        <v/>
      </c>
      <c r="M866" s="23" t="str">
        <f aca="false">IF($B866="","",IF(AND(J866="N",G866&gt;0,K866=0,IFERROR(INDEX(고객사!$H$5:$H$104,MATCH($B866,고객사!$A$5:$A$104,0)),"")="자사 차량 운행"),"차량 미배정",""))</f>
        <v/>
      </c>
      <c r="N866" s="22" t="str">
        <f aca="false">IF($B866="","",IFERROR(INDEX(고객사!$J$5:$J$104,MATCH($B866,고객사!$A$5:$A$104,0)),0))</f>
        <v/>
      </c>
      <c r="O866" s="22" t="str">
        <f aca="false">IF($B866="","",G866*N866)</f>
        <v/>
      </c>
      <c r="P866" s="22" t="str">
        <f aca="false">IF($B866="","",IFERROR(INDEX(고객사!$K$5:$K$104,MATCH($B866,고객사!$A$5:$A$104,0)),0))</f>
        <v/>
      </c>
      <c r="Q866" s="22" t="str">
        <f aca="false">IF($B866="","",G866*P866)</f>
        <v/>
      </c>
      <c r="R866" s="22" t="str">
        <f aca="false">IF($B866="","",O866-Q866-L866)</f>
        <v/>
      </c>
      <c r="S866" s="21" t="str">
        <f aca="false">IF(OR($B866="",N(O866)=0),"",R866/O866)</f>
        <v/>
      </c>
      <c r="T866" s="14"/>
      <c r="U866" s="19" t="n">
        <f aca="false">IF(OR($B866="",$A866=""),0,IF(COUNTIFS($A$5:$A866,$A866,$B$5:$B866,$B866)=1,1,0))</f>
        <v>0</v>
      </c>
    </row>
    <row r="867" customFormat="false" ht="15" hidden="false" customHeight="false" outlineLevel="0" collapsed="false">
      <c r="A867" s="17"/>
      <c r="B867" s="13"/>
      <c r="C867" s="20" t="str">
        <f aca="false">IF($B867="","",IFERROR(INDEX(고객사!$B$5:$B$104,MATCH($B867,고객사!$A$5:$A$104,0)),"코드 확인"))</f>
        <v/>
      </c>
      <c r="D867" s="15"/>
      <c r="E867" s="15"/>
      <c r="F867" s="16"/>
      <c r="G867" s="16"/>
      <c r="H867" s="21" t="str">
        <f aca="false">IF(OR($B867="",F867=0),"",G867/F867)</f>
        <v/>
      </c>
      <c r="I867" s="22" t="str">
        <f aca="false">IF($B867="","",MAX(F867-G867,0))</f>
        <v/>
      </c>
      <c r="J867" s="23" t="str">
        <f aca="false">IF($B867="","",IFERROR(INDEX(고객사!$G$5:$G$104,MATCH($B867,고객사!$A$5:$A$104,0)),""))</f>
        <v/>
      </c>
      <c r="K867" s="16"/>
      <c r="L867" s="22" t="str">
        <f aca="false">IF($B867="","",K867*IFERROR(INDEX(고객사!$L$5:$L$104,MATCH($B867,고객사!$A$5:$A$104,0)),0))</f>
        <v/>
      </c>
      <c r="M867" s="23" t="str">
        <f aca="false">IF($B867="","",IF(AND(J867="N",G867&gt;0,K867=0,IFERROR(INDEX(고객사!$H$5:$H$104,MATCH($B867,고객사!$A$5:$A$104,0)),"")="자사 차량 운행"),"차량 미배정",""))</f>
        <v/>
      </c>
      <c r="N867" s="22" t="str">
        <f aca="false">IF($B867="","",IFERROR(INDEX(고객사!$J$5:$J$104,MATCH($B867,고객사!$A$5:$A$104,0)),0))</f>
        <v/>
      </c>
      <c r="O867" s="22" t="str">
        <f aca="false">IF($B867="","",G867*N867)</f>
        <v/>
      </c>
      <c r="P867" s="22" t="str">
        <f aca="false">IF($B867="","",IFERROR(INDEX(고객사!$K$5:$K$104,MATCH($B867,고객사!$A$5:$A$104,0)),0))</f>
        <v/>
      </c>
      <c r="Q867" s="22" t="str">
        <f aca="false">IF($B867="","",G867*P867)</f>
        <v/>
      </c>
      <c r="R867" s="22" t="str">
        <f aca="false">IF($B867="","",O867-Q867-L867)</f>
        <v/>
      </c>
      <c r="S867" s="21" t="str">
        <f aca="false">IF(OR($B867="",N(O867)=0),"",R867/O867)</f>
        <v/>
      </c>
      <c r="T867" s="14"/>
      <c r="U867" s="19" t="n">
        <f aca="false">IF(OR($B867="",$A867=""),0,IF(COUNTIFS($A$5:$A867,$A867,$B$5:$B867,$B867)=1,1,0))</f>
        <v>0</v>
      </c>
    </row>
    <row r="868" customFormat="false" ht="15" hidden="false" customHeight="false" outlineLevel="0" collapsed="false">
      <c r="A868" s="17"/>
      <c r="B868" s="13"/>
      <c r="C868" s="20" t="str">
        <f aca="false">IF($B868="","",IFERROR(INDEX(고객사!$B$5:$B$104,MATCH($B868,고객사!$A$5:$A$104,0)),"코드 확인"))</f>
        <v/>
      </c>
      <c r="D868" s="15"/>
      <c r="E868" s="15"/>
      <c r="F868" s="16"/>
      <c r="G868" s="16"/>
      <c r="H868" s="21" t="str">
        <f aca="false">IF(OR($B868="",F868=0),"",G868/F868)</f>
        <v/>
      </c>
      <c r="I868" s="22" t="str">
        <f aca="false">IF($B868="","",MAX(F868-G868,0))</f>
        <v/>
      </c>
      <c r="J868" s="23" t="str">
        <f aca="false">IF($B868="","",IFERROR(INDEX(고객사!$G$5:$G$104,MATCH($B868,고객사!$A$5:$A$104,0)),""))</f>
        <v/>
      </c>
      <c r="K868" s="16"/>
      <c r="L868" s="22" t="str">
        <f aca="false">IF($B868="","",K868*IFERROR(INDEX(고객사!$L$5:$L$104,MATCH($B868,고객사!$A$5:$A$104,0)),0))</f>
        <v/>
      </c>
      <c r="M868" s="23" t="str">
        <f aca="false">IF($B868="","",IF(AND(J868="N",G868&gt;0,K868=0,IFERROR(INDEX(고객사!$H$5:$H$104,MATCH($B868,고객사!$A$5:$A$104,0)),"")="자사 차량 운행"),"차량 미배정",""))</f>
        <v/>
      </c>
      <c r="N868" s="22" t="str">
        <f aca="false">IF($B868="","",IFERROR(INDEX(고객사!$J$5:$J$104,MATCH($B868,고객사!$A$5:$A$104,0)),0))</f>
        <v/>
      </c>
      <c r="O868" s="22" t="str">
        <f aca="false">IF($B868="","",G868*N868)</f>
        <v/>
      </c>
      <c r="P868" s="22" t="str">
        <f aca="false">IF($B868="","",IFERROR(INDEX(고객사!$K$5:$K$104,MATCH($B868,고객사!$A$5:$A$104,0)),0))</f>
        <v/>
      </c>
      <c r="Q868" s="22" t="str">
        <f aca="false">IF($B868="","",G868*P868)</f>
        <v/>
      </c>
      <c r="R868" s="22" t="str">
        <f aca="false">IF($B868="","",O868-Q868-L868)</f>
        <v/>
      </c>
      <c r="S868" s="21" t="str">
        <f aca="false">IF(OR($B868="",N(O868)=0),"",R868/O868)</f>
        <v/>
      </c>
      <c r="T868" s="14"/>
      <c r="U868" s="19" t="n">
        <f aca="false">IF(OR($B868="",$A868=""),0,IF(COUNTIFS($A$5:$A868,$A868,$B$5:$B868,$B868)=1,1,0))</f>
        <v>0</v>
      </c>
    </row>
    <row r="869" customFormat="false" ht="15" hidden="false" customHeight="false" outlineLevel="0" collapsed="false">
      <c r="A869" s="17"/>
      <c r="B869" s="13"/>
      <c r="C869" s="20" t="str">
        <f aca="false">IF($B869="","",IFERROR(INDEX(고객사!$B$5:$B$104,MATCH($B869,고객사!$A$5:$A$104,0)),"코드 확인"))</f>
        <v/>
      </c>
      <c r="D869" s="15"/>
      <c r="E869" s="15"/>
      <c r="F869" s="16"/>
      <c r="G869" s="16"/>
      <c r="H869" s="21" t="str">
        <f aca="false">IF(OR($B869="",F869=0),"",G869/F869)</f>
        <v/>
      </c>
      <c r="I869" s="22" t="str">
        <f aca="false">IF($B869="","",MAX(F869-G869,0))</f>
        <v/>
      </c>
      <c r="J869" s="23" t="str">
        <f aca="false">IF($B869="","",IFERROR(INDEX(고객사!$G$5:$G$104,MATCH($B869,고객사!$A$5:$A$104,0)),""))</f>
        <v/>
      </c>
      <c r="K869" s="16"/>
      <c r="L869" s="22" t="str">
        <f aca="false">IF($B869="","",K869*IFERROR(INDEX(고객사!$L$5:$L$104,MATCH($B869,고객사!$A$5:$A$104,0)),0))</f>
        <v/>
      </c>
      <c r="M869" s="23" t="str">
        <f aca="false">IF($B869="","",IF(AND(J869="N",G869&gt;0,K869=0,IFERROR(INDEX(고객사!$H$5:$H$104,MATCH($B869,고객사!$A$5:$A$104,0)),"")="자사 차량 운행"),"차량 미배정",""))</f>
        <v/>
      </c>
      <c r="N869" s="22" t="str">
        <f aca="false">IF($B869="","",IFERROR(INDEX(고객사!$J$5:$J$104,MATCH($B869,고객사!$A$5:$A$104,0)),0))</f>
        <v/>
      </c>
      <c r="O869" s="22" t="str">
        <f aca="false">IF($B869="","",G869*N869)</f>
        <v/>
      </c>
      <c r="P869" s="22" t="str">
        <f aca="false">IF($B869="","",IFERROR(INDEX(고객사!$K$5:$K$104,MATCH($B869,고객사!$A$5:$A$104,0)),0))</f>
        <v/>
      </c>
      <c r="Q869" s="22" t="str">
        <f aca="false">IF($B869="","",G869*P869)</f>
        <v/>
      </c>
      <c r="R869" s="22" t="str">
        <f aca="false">IF($B869="","",O869-Q869-L869)</f>
        <v/>
      </c>
      <c r="S869" s="21" t="str">
        <f aca="false">IF(OR($B869="",N(O869)=0),"",R869/O869)</f>
        <v/>
      </c>
      <c r="T869" s="14"/>
      <c r="U869" s="19" t="n">
        <f aca="false">IF(OR($B869="",$A869=""),0,IF(COUNTIFS($A$5:$A869,$A869,$B$5:$B869,$B869)=1,1,0))</f>
        <v>0</v>
      </c>
    </row>
    <row r="870" customFormat="false" ht="15" hidden="false" customHeight="false" outlineLevel="0" collapsed="false">
      <c r="A870" s="17"/>
      <c r="B870" s="13"/>
      <c r="C870" s="20" t="str">
        <f aca="false">IF($B870="","",IFERROR(INDEX(고객사!$B$5:$B$104,MATCH($B870,고객사!$A$5:$A$104,0)),"코드 확인"))</f>
        <v/>
      </c>
      <c r="D870" s="15"/>
      <c r="E870" s="15"/>
      <c r="F870" s="16"/>
      <c r="G870" s="16"/>
      <c r="H870" s="21" t="str">
        <f aca="false">IF(OR($B870="",F870=0),"",G870/F870)</f>
        <v/>
      </c>
      <c r="I870" s="22" t="str">
        <f aca="false">IF($B870="","",MAX(F870-G870,0))</f>
        <v/>
      </c>
      <c r="J870" s="23" t="str">
        <f aca="false">IF($B870="","",IFERROR(INDEX(고객사!$G$5:$G$104,MATCH($B870,고객사!$A$5:$A$104,0)),""))</f>
        <v/>
      </c>
      <c r="K870" s="16"/>
      <c r="L870" s="22" t="str">
        <f aca="false">IF($B870="","",K870*IFERROR(INDEX(고객사!$L$5:$L$104,MATCH($B870,고객사!$A$5:$A$104,0)),0))</f>
        <v/>
      </c>
      <c r="M870" s="23" t="str">
        <f aca="false">IF($B870="","",IF(AND(J870="N",G870&gt;0,K870=0,IFERROR(INDEX(고객사!$H$5:$H$104,MATCH($B870,고객사!$A$5:$A$104,0)),"")="자사 차량 운행"),"차량 미배정",""))</f>
        <v/>
      </c>
      <c r="N870" s="22" t="str">
        <f aca="false">IF($B870="","",IFERROR(INDEX(고객사!$J$5:$J$104,MATCH($B870,고객사!$A$5:$A$104,0)),0))</f>
        <v/>
      </c>
      <c r="O870" s="22" t="str">
        <f aca="false">IF($B870="","",G870*N870)</f>
        <v/>
      </c>
      <c r="P870" s="22" t="str">
        <f aca="false">IF($B870="","",IFERROR(INDEX(고객사!$K$5:$K$104,MATCH($B870,고객사!$A$5:$A$104,0)),0))</f>
        <v/>
      </c>
      <c r="Q870" s="22" t="str">
        <f aca="false">IF($B870="","",G870*P870)</f>
        <v/>
      </c>
      <c r="R870" s="22" t="str">
        <f aca="false">IF($B870="","",O870-Q870-L870)</f>
        <v/>
      </c>
      <c r="S870" s="21" t="str">
        <f aca="false">IF(OR($B870="",N(O870)=0),"",R870/O870)</f>
        <v/>
      </c>
      <c r="T870" s="14"/>
      <c r="U870" s="19" t="n">
        <f aca="false">IF(OR($B870="",$A870=""),0,IF(COUNTIFS($A$5:$A870,$A870,$B$5:$B870,$B870)=1,1,0))</f>
        <v>0</v>
      </c>
    </row>
    <row r="871" customFormat="false" ht="15" hidden="false" customHeight="false" outlineLevel="0" collapsed="false">
      <c r="A871" s="17"/>
      <c r="B871" s="13"/>
      <c r="C871" s="20" t="str">
        <f aca="false">IF($B871="","",IFERROR(INDEX(고객사!$B$5:$B$104,MATCH($B871,고객사!$A$5:$A$104,0)),"코드 확인"))</f>
        <v/>
      </c>
      <c r="D871" s="15"/>
      <c r="E871" s="15"/>
      <c r="F871" s="16"/>
      <c r="G871" s="16"/>
      <c r="H871" s="21" t="str">
        <f aca="false">IF(OR($B871="",F871=0),"",G871/F871)</f>
        <v/>
      </c>
      <c r="I871" s="22" t="str">
        <f aca="false">IF($B871="","",MAX(F871-G871,0))</f>
        <v/>
      </c>
      <c r="J871" s="23" t="str">
        <f aca="false">IF($B871="","",IFERROR(INDEX(고객사!$G$5:$G$104,MATCH($B871,고객사!$A$5:$A$104,0)),""))</f>
        <v/>
      </c>
      <c r="K871" s="16"/>
      <c r="L871" s="22" t="str">
        <f aca="false">IF($B871="","",K871*IFERROR(INDEX(고객사!$L$5:$L$104,MATCH($B871,고객사!$A$5:$A$104,0)),0))</f>
        <v/>
      </c>
      <c r="M871" s="23" t="str">
        <f aca="false">IF($B871="","",IF(AND(J871="N",G871&gt;0,K871=0,IFERROR(INDEX(고객사!$H$5:$H$104,MATCH($B871,고객사!$A$5:$A$104,0)),"")="자사 차량 운행"),"차량 미배정",""))</f>
        <v/>
      </c>
      <c r="N871" s="22" t="str">
        <f aca="false">IF($B871="","",IFERROR(INDEX(고객사!$J$5:$J$104,MATCH($B871,고객사!$A$5:$A$104,0)),0))</f>
        <v/>
      </c>
      <c r="O871" s="22" t="str">
        <f aca="false">IF($B871="","",G871*N871)</f>
        <v/>
      </c>
      <c r="P871" s="22" t="str">
        <f aca="false">IF($B871="","",IFERROR(INDEX(고객사!$K$5:$K$104,MATCH($B871,고객사!$A$5:$A$104,0)),0))</f>
        <v/>
      </c>
      <c r="Q871" s="22" t="str">
        <f aca="false">IF($B871="","",G871*P871)</f>
        <v/>
      </c>
      <c r="R871" s="22" t="str">
        <f aca="false">IF($B871="","",O871-Q871-L871)</f>
        <v/>
      </c>
      <c r="S871" s="21" t="str">
        <f aca="false">IF(OR($B871="",N(O871)=0),"",R871/O871)</f>
        <v/>
      </c>
      <c r="T871" s="14"/>
      <c r="U871" s="19" t="n">
        <f aca="false">IF(OR($B871="",$A871=""),0,IF(COUNTIFS($A$5:$A871,$A871,$B$5:$B871,$B871)=1,1,0))</f>
        <v>0</v>
      </c>
    </row>
    <row r="872" customFormat="false" ht="15" hidden="false" customHeight="false" outlineLevel="0" collapsed="false">
      <c r="A872" s="17"/>
      <c r="B872" s="13"/>
      <c r="C872" s="20" t="str">
        <f aca="false">IF($B872="","",IFERROR(INDEX(고객사!$B$5:$B$104,MATCH($B872,고객사!$A$5:$A$104,0)),"코드 확인"))</f>
        <v/>
      </c>
      <c r="D872" s="15"/>
      <c r="E872" s="15"/>
      <c r="F872" s="16"/>
      <c r="G872" s="16"/>
      <c r="H872" s="21" t="str">
        <f aca="false">IF(OR($B872="",F872=0),"",G872/F872)</f>
        <v/>
      </c>
      <c r="I872" s="22" t="str">
        <f aca="false">IF($B872="","",MAX(F872-G872,0))</f>
        <v/>
      </c>
      <c r="J872" s="23" t="str">
        <f aca="false">IF($B872="","",IFERROR(INDEX(고객사!$G$5:$G$104,MATCH($B872,고객사!$A$5:$A$104,0)),""))</f>
        <v/>
      </c>
      <c r="K872" s="16"/>
      <c r="L872" s="22" t="str">
        <f aca="false">IF($B872="","",K872*IFERROR(INDEX(고객사!$L$5:$L$104,MATCH($B872,고객사!$A$5:$A$104,0)),0))</f>
        <v/>
      </c>
      <c r="M872" s="23" t="str">
        <f aca="false">IF($B872="","",IF(AND(J872="N",G872&gt;0,K872=0,IFERROR(INDEX(고객사!$H$5:$H$104,MATCH($B872,고객사!$A$5:$A$104,0)),"")="자사 차량 운행"),"차량 미배정",""))</f>
        <v/>
      </c>
      <c r="N872" s="22" t="str">
        <f aca="false">IF($B872="","",IFERROR(INDEX(고객사!$J$5:$J$104,MATCH($B872,고객사!$A$5:$A$104,0)),0))</f>
        <v/>
      </c>
      <c r="O872" s="22" t="str">
        <f aca="false">IF($B872="","",G872*N872)</f>
        <v/>
      </c>
      <c r="P872" s="22" t="str">
        <f aca="false">IF($B872="","",IFERROR(INDEX(고객사!$K$5:$K$104,MATCH($B872,고객사!$A$5:$A$104,0)),0))</f>
        <v/>
      </c>
      <c r="Q872" s="22" t="str">
        <f aca="false">IF($B872="","",G872*P872)</f>
        <v/>
      </c>
      <c r="R872" s="22" t="str">
        <f aca="false">IF($B872="","",O872-Q872-L872)</f>
        <v/>
      </c>
      <c r="S872" s="21" t="str">
        <f aca="false">IF(OR($B872="",N(O872)=0),"",R872/O872)</f>
        <v/>
      </c>
      <c r="T872" s="14"/>
      <c r="U872" s="19" t="n">
        <f aca="false">IF(OR($B872="",$A872=""),0,IF(COUNTIFS($A$5:$A872,$A872,$B$5:$B872,$B872)=1,1,0))</f>
        <v>0</v>
      </c>
    </row>
    <row r="873" customFormat="false" ht="15" hidden="false" customHeight="false" outlineLevel="0" collapsed="false">
      <c r="A873" s="17"/>
      <c r="B873" s="13"/>
      <c r="C873" s="20" t="str">
        <f aca="false">IF($B873="","",IFERROR(INDEX(고객사!$B$5:$B$104,MATCH($B873,고객사!$A$5:$A$104,0)),"코드 확인"))</f>
        <v/>
      </c>
      <c r="D873" s="15"/>
      <c r="E873" s="15"/>
      <c r="F873" s="16"/>
      <c r="G873" s="16"/>
      <c r="H873" s="21" t="str">
        <f aca="false">IF(OR($B873="",F873=0),"",G873/F873)</f>
        <v/>
      </c>
      <c r="I873" s="22" t="str">
        <f aca="false">IF($B873="","",MAX(F873-G873,0))</f>
        <v/>
      </c>
      <c r="J873" s="23" t="str">
        <f aca="false">IF($B873="","",IFERROR(INDEX(고객사!$G$5:$G$104,MATCH($B873,고객사!$A$5:$A$104,0)),""))</f>
        <v/>
      </c>
      <c r="K873" s="16"/>
      <c r="L873" s="22" t="str">
        <f aca="false">IF($B873="","",K873*IFERROR(INDEX(고객사!$L$5:$L$104,MATCH($B873,고객사!$A$5:$A$104,0)),0))</f>
        <v/>
      </c>
      <c r="M873" s="23" t="str">
        <f aca="false">IF($B873="","",IF(AND(J873="N",G873&gt;0,K873=0,IFERROR(INDEX(고객사!$H$5:$H$104,MATCH($B873,고객사!$A$5:$A$104,0)),"")="자사 차량 운행"),"차량 미배정",""))</f>
        <v/>
      </c>
      <c r="N873" s="22" t="str">
        <f aca="false">IF($B873="","",IFERROR(INDEX(고객사!$J$5:$J$104,MATCH($B873,고객사!$A$5:$A$104,0)),0))</f>
        <v/>
      </c>
      <c r="O873" s="22" t="str">
        <f aca="false">IF($B873="","",G873*N873)</f>
        <v/>
      </c>
      <c r="P873" s="22" t="str">
        <f aca="false">IF($B873="","",IFERROR(INDEX(고객사!$K$5:$K$104,MATCH($B873,고객사!$A$5:$A$104,0)),0))</f>
        <v/>
      </c>
      <c r="Q873" s="22" t="str">
        <f aca="false">IF($B873="","",G873*P873)</f>
        <v/>
      </c>
      <c r="R873" s="22" t="str">
        <f aca="false">IF($B873="","",O873-Q873-L873)</f>
        <v/>
      </c>
      <c r="S873" s="21" t="str">
        <f aca="false">IF(OR($B873="",N(O873)=0),"",R873/O873)</f>
        <v/>
      </c>
      <c r="T873" s="14"/>
      <c r="U873" s="19" t="n">
        <f aca="false">IF(OR($B873="",$A873=""),0,IF(COUNTIFS($A$5:$A873,$A873,$B$5:$B873,$B873)=1,1,0))</f>
        <v>0</v>
      </c>
    </row>
    <row r="874" customFormat="false" ht="15" hidden="false" customHeight="false" outlineLevel="0" collapsed="false">
      <c r="A874" s="17"/>
      <c r="B874" s="13"/>
      <c r="C874" s="20" t="str">
        <f aca="false">IF($B874="","",IFERROR(INDEX(고객사!$B$5:$B$104,MATCH($B874,고객사!$A$5:$A$104,0)),"코드 확인"))</f>
        <v/>
      </c>
      <c r="D874" s="15"/>
      <c r="E874" s="15"/>
      <c r="F874" s="16"/>
      <c r="G874" s="16"/>
      <c r="H874" s="21" t="str">
        <f aca="false">IF(OR($B874="",F874=0),"",G874/F874)</f>
        <v/>
      </c>
      <c r="I874" s="22" t="str">
        <f aca="false">IF($B874="","",MAX(F874-G874,0))</f>
        <v/>
      </c>
      <c r="J874" s="23" t="str">
        <f aca="false">IF($B874="","",IFERROR(INDEX(고객사!$G$5:$G$104,MATCH($B874,고객사!$A$5:$A$104,0)),""))</f>
        <v/>
      </c>
      <c r="K874" s="16"/>
      <c r="L874" s="22" t="str">
        <f aca="false">IF($B874="","",K874*IFERROR(INDEX(고객사!$L$5:$L$104,MATCH($B874,고객사!$A$5:$A$104,0)),0))</f>
        <v/>
      </c>
      <c r="M874" s="23" t="str">
        <f aca="false">IF($B874="","",IF(AND(J874="N",G874&gt;0,K874=0,IFERROR(INDEX(고객사!$H$5:$H$104,MATCH($B874,고객사!$A$5:$A$104,0)),"")="자사 차량 운행"),"차량 미배정",""))</f>
        <v/>
      </c>
      <c r="N874" s="22" t="str">
        <f aca="false">IF($B874="","",IFERROR(INDEX(고객사!$J$5:$J$104,MATCH($B874,고객사!$A$5:$A$104,0)),0))</f>
        <v/>
      </c>
      <c r="O874" s="22" t="str">
        <f aca="false">IF($B874="","",G874*N874)</f>
        <v/>
      </c>
      <c r="P874" s="22" t="str">
        <f aca="false">IF($B874="","",IFERROR(INDEX(고객사!$K$5:$K$104,MATCH($B874,고객사!$A$5:$A$104,0)),0))</f>
        <v/>
      </c>
      <c r="Q874" s="22" t="str">
        <f aca="false">IF($B874="","",G874*P874)</f>
        <v/>
      </c>
      <c r="R874" s="22" t="str">
        <f aca="false">IF($B874="","",O874-Q874-L874)</f>
        <v/>
      </c>
      <c r="S874" s="21" t="str">
        <f aca="false">IF(OR($B874="",N(O874)=0),"",R874/O874)</f>
        <v/>
      </c>
      <c r="T874" s="14"/>
      <c r="U874" s="19" t="n">
        <f aca="false">IF(OR($B874="",$A874=""),0,IF(COUNTIFS($A$5:$A874,$A874,$B$5:$B874,$B874)=1,1,0))</f>
        <v>0</v>
      </c>
    </row>
    <row r="875" customFormat="false" ht="15" hidden="false" customHeight="false" outlineLevel="0" collapsed="false">
      <c r="A875" s="17"/>
      <c r="B875" s="13"/>
      <c r="C875" s="20" t="str">
        <f aca="false">IF($B875="","",IFERROR(INDEX(고객사!$B$5:$B$104,MATCH($B875,고객사!$A$5:$A$104,0)),"코드 확인"))</f>
        <v/>
      </c>
      <c r="D875" s="15"/>
      <c r="E875" s="15"/>
      <c r="F875" s="16"/>
      <c r="G875" s="16"/>
      <c r="H875" s="21" t="str">
        <f aca="false">IF(OR($B875="",F875=0),"",G875/F875)</f>
        <v/>
      </c>
      <c r="I875" s="22" t="str">
        <f aca="false">IF($B875="","",MAX(F875-G875,0))</f>
        <v/>
      </c>
      <c r="J875" s="23" t="str">
        <f aca="false">IF($B875="","",IFERROR(INDEX(고객사!$G$5:$G$104,MATCH($B875,고객사!$A$5:$A$104,0)),""))</f>
        <v/>
      </c>
      <c r="K875" s="16"/>
      <c r="L875" s="22" t="str">
        <f aca="false">IF($B875="","",K875*IFERROR(INDEX(고객사!$L$5:$L$104,MATCH($B875,고객사!$A$5:$A$104,0)),0))</f>
        <v/>
      </c>
      <c r="M875" s="23" t="str">
        <f aca="false">IF($B875="","",IF(AND(J875="N",G875&gt;0,K875=0,IFERROR(INDEX(고객사!$H$5:$H$104,MATCH($B875,고객사!$A$5:$A$104,0)),"")="자사 차량 운행"),"차량 미배정",""))</f>
        <v/>
      </c>
      <c r="N875" s="22" t="str">
        <f aca="false">IF($B875="","",IFERROR(INDEX(고객사!$J$5:$J$104,MATCH($B875,고객사!$A$5:$A$104,0)),0))</f>
        <v/>
      </c>
      <c r="O875" s="22" t="str">
        <f aca="false">IF($B875="","",G875*N875)</f>
        <v/>
      </c>
      <c r="P875" s="22" t="str">
        <f aca="false">IF($B875="","",IFERROR(INDEX(고객사!$K$5:$K$104,MATCH($B875,고객사!$A$5:$A$104,0)),0))</f>
        <v/>
      </c>
      <c r="Q875" s="22" t="str">
        <f aca="false">IF($B875="","",G875*P875)</f>
        <v/>
      </c>
      <c r="R875" s="22" t="str">
        <f aca="false">IF($B875="","",O875-Q875-L875)</f>
        <v/>
      </c>
      <c r="S875" s="21" t="str">
        <f aca="false">IF(OR($B875="",N(O875)=0),"",R875/O875)</f>
        <v/>
      </c>
      <c r="T875" s="14"/>
      <c r="U875" s="19" t="n">
        <f aca="false">IF(OR($B875="",$A875=""),0,IF(COUNTIFS($A$5:$A875,$A875,$B$5:$B875,$B875)=1,1,0))</f>
        <v>0</v>
      </c>
    </row>
    <row r="876" customFormat="false" ht="15" hidden="false" customHeight="false" outlineLevel="0" collapsed="false">
      <c r="A876" s="17"/>
      <c r="B876" s="13"/>
      <c r="C876" s="20" t="str">
        <f aca="false">IF($B876="","",IFERROR(INDEX(고객사!$B$5:$B$104,MATCH($B876,고객사!$A$5:$A$104,0)),"코드 확인"))</f>
        <v/>
      </c>
      <c r="D876" s="15"/>
      <c r="E876" s="15"/>
      <c r="F876" s="16"/>
      <c r="G876" s="16"/>
      <c r="H876" s="21" t="str">
        <f aca="false">IF(OR($B876="",F876=0),"",G876/F876)</f>
        <v/>
      </c>
      <c r="I876" s="22" t="str">
        <f aca="false">IF($B876="","",MAX(F876-G876,0))</f>
        <v/>
      </c>
      <c r="J876" s="23" t="str">
        <f aca="false">IF($B876="","",IFERROR(INDEX(고객사!$G$5:$G$104,MATCH($B876,고객사!$A$5:$A$104,0)),""))</f>
        <v/>
      </c>
      <c r="K876" s="16"/>
      <c r="L876" s="22" t="str">
        <f aca="false">IF($B876="","",K876*IFERROR(INDEX(고객사!$L$5:$L$104,MATCH($B876,고객사!$A$5:$A$104,0)),0))</f>
        <v/>
      </c>
      <c r="M876" s="23" t="str">
        <f aca="false">IF($B876="","",IF(AND(J876="N",G876&gt;0,K876=0,IFERROR(INDEX(고객사!$H$5:$H$104,MATCH($B876,고객사!$A$5:$A$104,0)),"")="자사 차량 운행"),"차량 미배정",""))</f>
        <v/>
      </c>
      <c r="N876" s="22" t="str">
        <f aca="false">IF($B876="","",IFERROR(INDEX(고객사!$J$5:$J$104,MATCH($B876,고객사!$A$5:$A$104,0)),0))</f>
        <v/>
      </c>
      <c r="O876" s="22" t="str">
        <f aca="false">IF($B876="","",G876*N876)</f>
        <v/>
      </c>
      <c r="P876" s="22" t="str">
        <f aca="false">IF($B876="","",IFERROR(INDEX(고객사!$K$5:$K$104,MATCH($B876,고객사!$A$5:$A$104,0)),0))</f>
        <v/>
      </c>
      <c r="Q876" s="22" t="str">
        <f aca="false">IF($B876="","",G876*P876)</f>
        <v/>
      </c>
      <c r="R876" s="22" t="str">
        <f aca="false">IF($B876="","",O876-Q876-L876)</f>
        <v/>
      </c>
      <c r="S876" s="21" t="str">
        <f aca="false">IF(OR($B876="",N(O876)=0),"",R876/O876)</f>
        <v/>
      </c>
      <c r="T876" s="14"/>
      <c r="U876" s="19" t="n">
        <f aca="false">IF(OR($B876="",$A876=""),0,IF(COUNTIFS($A$5:$A876,$A876,$B$5:$B876,$B876)=1,1,0))</f>
        <v>0</v>
      </c>
    </row>
    <row r="877" customFormat="false" ht="15" hidden="false" customHeight="false" outlineLevel="0" collapsed="false">
      <c r="A877" s="17"/>
      <c r="B877" s="13"/>
      <c r="C877" s="20" t="str">
        <f aca="false">IF($B877="","",IFERROR(INDEX(고객사!$B$5:$B$104,MATCH($B877,고객사!$A$5:$A$104,0)),"코드 확인"))</f>
        <v/>
      </c>
      <c r="D877" s="15"/>
      <c r="E877" s="15"/>
      <c r="F877" s="16"/>
      <c r="G877" s="16"/>
      <c r="H877" s="21" t="str">
        <f aca="false">IF(OR($B877="",F877=0),"",G877/F877)</f>
        <v/>
      </c>
      <c r="I877" s="22" t="str">
        <f aca="false">IF($B877="","",MAX(F877-G877,0))</f>
        <v/>
      </c>
      <c r="J877" s="23" t="str">
        <f aca="false">IF($B877="","",IFERROR(INDEX(고객사!$G$5:$G$104,MATCH($B877,고객사!$A$5:$A$104,0)),""))</f>
        <v/>
      </c>
      <c r="K877" s="16"/>
      <c r="L877" s="22" t="str">
        <f aca="false">IF($B877="","",K877*IFERROR(INDEX(고객사!$L$5:$L$104,MATCH($B877,고객사!$A$5:$A$104,0)),0))</f>
        <v/>
      </c>
      <c r="M877" s="23" t="str">
        <f aca="false">IF($B877="","",IF(AND(J877="N",G877&gt;0,K877=0,IFERROR(INDEX(고객사!$H$5:$H$104,MATCH($B877,고객사!$A$5:$A$104,0)),"")="자사 차량 운행"),"차량 미배정",""))</f>
        <v/>
      </c>
      <c r="N877" s="22" t="str">
        <f aca="false">IF($B877="","",IFERROR(INDEX(고객사!$J$5:$J$104,MATCH($B877,고객사!$A$5:$A$104,0)),0))</f>
        <v/>
      </c>
      <c r="O877" s="22" t="str">
        <f aca="false">IF($B877="","",G877*N877)</f>
        <v/>
      </c>
      <c r="P877" s="22" t="str">
        <f aca="false">IF($B877="","",IFERROR(INDEX(고객사!$K$5:$K$104,MATCH($B877,고객사!$A$5:$A$104,0)),0))</f>
        <v/>
      </c>
      <c r="Q877" s="22" t="str">
        <f aca="false">IF($B877="","",G877*P877)</f>
        <v/>
      </c>
      <c r="R877" s="22" t="str">
        <f aca="false">IF($B877="","",O877-Q877-L877)</f>
        <v/>
      </c>
      <c r="S877" s="21" t="str">
        <f aca="false">IF(OR($B877="",N(O877)=0),"",R877/O877)</f>
        <v/>
      </c>
      <c r="T877" s="14"/>
      <c r="U877" s="19" t="n">
        <f aca="false">IF(OR($B877="",$A877=""),0,IF(COUNTIFS($A$5:$A877,$A877,$B$5:$B877,$B877)=1,1,0))</f>
        <v>0</v>
      </c>
    </row>
    <row r="878" customFormat="false" ht="15" hidden="false" customHeight="false" outlineLevel="0" collapsed="false">
      <c r="A878" s="17"/>
      <c r="B878" s="13"/>
      <c r="C878" s="20" t="str">
        <f aca="false">IF($B878="","",IFERROR(INDEX(고객사!$B$5:$B$104,MATCH($B878,고객사!$A$5:$A$104,0)),"코드 확인"))</f>
        <v/>
      </c>
      <c r="D878" s="15"/>
      <c r="E878" s="15"/>
      <c r="F878" s="16"/>
      <c r="G878" s="16"/>
      <c r="H878" s="21" t="str">
        <f aca="false">IF(OR($B878="",F878=0),"",G878/F878)</f>
        <v/>
      </c>
      <c r="I878" s="22" t="str">
        <f aca="false">IF($B878="","",MAX(F878-G878,0))</f>
        <v/>
      </c>
      <c r="J878" s="23" t="str">
        <f aca="false">IF($B878="","",IFERROR(INDEX(고객사!$G$5:$G$104,MATCH($B878,고객사!$A$5:$A$104,0)),""))</f>
        <v/>
      </c>
      <c r="K878" s="16"/>
      <c r="L878" s="22" t="str">
        <f aca="false">IF($B878="","",K878*IFERROR(INDEX(고객사!$L$5:$L$104,MATCH($B878,고객사!$A$5:$A$104,0)),0))</f>
        <v/>
      </c>
      <c r="M878" s="23" t="str">
        <f aca="false">IF($B878="","",IF(AND(J878="N",G878&gt;0,K878=0,IFERROR(INDEX(고객사!$H$5:$H$104,MATCH($B878,고객사!$A$5:$A$104,0)),"")="자사 차량 운행"),"차량 미배정",""))</f>
        <v/>
      </c>
      <c r="N878" s="22" t="str">
        <f aca="false">IF($B878="","",IFERROR(INDEX(고객사!$J$5:$J$104,MATCH($B878,고객사!$A$5:$A$104,0)),0))</f>
        <v/>
      </c>
      <c r="O878" s="22" t="str">
        <f aca="false">IF($B878="","",G878*N878)</f>
        <v/>
      </c>
      <c r="P878" s="22" t="str">
        <f aca="false">IF($B878="","",IFERROR(INDEX(고객사!$K$5:$K$104,MATCH($B878,고객사!$A$5:$A$104,0)),0))</f>
        <v/>
      </c>
      <c r="Q878" s="22" t="str">
        <f aca="false">IF($B878="","",G878*P878)</f>
        <v/>
      </c>
      <c r="R878" s="22" t="str">
        <f aca="false">IF($B878="","",O878-Q878-L878)</f>
        <v/>
      </c>
      <c r="S878" s="21" t="str">
        <f aca="false">IF(OR($B878="",N(O878)=0),"",R878/O878)</f>
        <v/>
      </c>
      <c r="T878" s="14"/>
      <c r="U878" s="19" t="n">
        <f aca="false">IF(OR($B878="",$A878=""),0,IF(COUNTIFS($A$5:$A878,$A878,$B$5:$B878,$B878)=1,1,0))</f>
        <v>0</v>
      </c>
    </row>
    <row r="879" customFormat="false" ht="15" hidden="false" customHeight="false" outlineLevel="0" collapsed="false">
      <c r="A879" s="17"/>
      <c r="B879" s="13"/>
      <c r="C879" s="20" t="str">
        <f aca="false">IF($B879="","",IFERROR(INDEX(고객사!$B$5:$B$104,MATCH($B879,고객사!$A$5:$A$104,0)),"코드 확인"))</f>
        <v/>
      </c>
      <c r="D879" s="15"/>
      <c r="E879" s="15"/>
      <c r="F879" s="16"/>
      <c r="G879" s="16"/>
      <c r="H879" s="21" t="str">
        <f aca="false">IF(OR($B879="",F879=0),"",G879/F879)</f>
        <v/>
      </c>
      <c r="I879" s="22" t="str">
        <f aca="false">IF($B879="","",MAX(F879-G879,0))</f>
        <v/>
      </c>
      <c r="J879" s="23" t="str">
        <f aca="false">IF($B879="","",IFERROR(INDEX(고객사!$G$5:$G$104,MATCH($B879,고객사!$A$5:$A$104,0)),""))</f>
        <v/>
      </c>
      <c r="K879" s="16"/>
      <c r="L879" s="22" t="str">
        <f aca="false">IF($B879="","",K879*IFERROR(INDEX(고객사!$L$5:$L$104,MATCH($B879,고객사!$A$5:$A$104,0)),0))</f>
        <v/>
      </c>
      <c r="M879" s="23" t="str">
        <f aca="false">IF($B879="","",IF(AND(J879="N",G879&gt;0,K879=0,IFERROR(INDEX(고객사!$H$5:$H$104,MATCH($B879,고객사!$A$5:$A$104,0)),"")="자사 차량 운행"),"차량 미배정",""))</f>
        <v/>
      </c>
      <c r="N879" s="22" t="str">
        <f aca="false">IF($B879="","",IFERROR(INDEX(고객사!$J$5:$J$104,MATCH($B879,고객사!$A$5:$A$104,0)),0))</f>
        <v/>
      </c>
      <c r="O879" s="22" t="str">
        <f aca="false">IF($B879="","",G879*N879)</f>
        <v/>
      </c>
      <c r="P879" s="22" t="str">
        <f aca="false">IF($B879="","",IFERROR(INDEX(고객사!$K$5:$K$104,MATCH($B879,고객사!$A$5:$A$104,0)),0))</f>
        <v/>
      </c>
      <c r="Q879" s="22" t="str">
        <f aca="false">IF($B879="","",G879*P879)</f>
        <v/>
      </c>
      <c r="R879" s="22" t="str">
        <f aca="false">IF($B879="","",O879-Q879-L879)</f>
        <v/>
      </c>
      <c r="S879" s="21" t="str">
        <f aca="false">IF(OR($B879="",N(O879)=0),"",R879/O879)</f>
        <v/>
      </c>
      <c r="T879" s="14"/>
      <c r="U879" s="19" t="n">
        <f aca="false">IF(OR($B879="",$A879=""),0,IF(COUNTIFS($A$5:$A879,$A879,$B$5:$B879,$B879)=1,1,0))</f>
        <v>0</v>
      </c>
    </row>
    <row r="880" customFormat="false" ht="15" hidden="false" customHeight="false" outlineLevel="0" collapsed="false">
      <c r="A880" s="17"/>
      <c r="B880" s="13"/>
      <c r="C880" s="20" t="str">
        <f aca="false">IF($B880="","",IFERROR(INDEX(고객사!$B$5:$B$104,MATCH($B880,고객사!$A$5:$A$104,0)),"코드 확인"))</f>
        <v/>
      </c>
      <c r="D880" s="15"/>
      <c r="E880" s="15"/>
      <c r="F880" s="16"/>
      <c r="G880" s="16"/>
      <c r="H880" s="21" t="str">
        <f aca="false">IF(OR($B880="",F880=0),"",G880/F880)</f>
        <v/>
      </c>
      <c r="I880" s="22" t="str">
        <f aca="false">IF($B880="","",MAX(F880-G880,0))</f>
        <v/>
      </c>
      <c r="J880" s="23" t="str">
        <f aca="false">IF($B880="","",IFERROR(INDEX(고객사!$G$5:$G$104,MATCH($B880,고객사!$A$5:$A$104,0)),""))</f>
        <v/>
      </c>
      <c r="K880" s="16"/>
      <c r="L880" s="22" t="str">
        <f aca="false">IF($B880="","",K880*IFERROR(INDEX(고객사!$L$5:$L$104,MATCH($B880,고객사!$A$5:$A$104,0)),0))</f>
        <v/>
      </c>
      <c r="M880" s="23" t="str">
        <f aca="false">IF($B880="","",IF(AND(J880="N",G880&gt;0,K880=0,IFERROR(INDEX(고객사!$H$5:$H$104,MATCH($B880,고객사!$A$5:$A$104,0)),"")="자사 차량 운행"),"차량 미배정",""))</f>
        <v/>
      </c>
      <c r="N880" s="22" t="str">
        <f aca="false">IF($B880="","",IFERROR(INDEX(고객사!$J$5:$J$104,MATCH($B880,고객사!$A$5:$A$104,0)),0))</f>
        <v/>
      </c>
      <c r="O880" s="22" t="str">
        <f aca="false">IF($B880="","",G880*N880)</f>
        <v/>
      </c>
      <c r="P880" s="22" t="str">
        <f aca="false">IF($B880="","",IFERROR(INDEX(고객사!$K$5:$K$104,MATCH($B880,고객사!$A$5:$A$104,0)),0))</f>
        <v/>
      </c>
      <c r="Q880" s="22" t="str">
        <f aca="false">IF($B880="","",G880*P880)</f>
        <v/>
      </c>
      <c r="R880" s="22" t="str">
        <f aca="false">IF($B880="","",O880-Q880-L880)</f>
        <v/>
      </c>
      <c r="S880" s="21" t="str">
        <f aca="false">IF(OR($B880="",N(O880)=0),"",R880/O880)</f>
        <v/>
      </c>
      <c r="T880" s="14"/>
      <c r="U880" s="19" t="n">
        <f aca="false">IF(OR($B880="",$A880=""),0,IF(COUNTIFS($A$5:$A880,$A880,$B$5:$B880,$B880)=1,1,0))</f>
        <v>0</v>
      </c>
    </row>
    <row r="881" customFormat="false" ht="15" hidden="false" customHeight="false" outlineLevel="0" collapsed="false">
      <c r="A881" s="17"/>
      <c r="B881" s="13"/>
      <c r="C881" s="20" t="str">
        <f aca="false">IF($B881="","",IFERROR(INDEX(고객사!$B$5:$B$104,MATCH($B881,고객사!$A$5:$A$104,0)),"코드 확인"))</f>
        <v/>
      </c>
      <c r="D881" s="15"/>
      <c r="E881" s="15"/>
      <c r="F881" s="16"/>
      <c r="G881" s="16"/>
      <c r="H881" s="21" t="str">
        <f aca="false">IF(OR($B881="",F881=0),"",G881/F881)</f>
        <v/>
      </c>
      <c r="I881" s="22" t="str">
        <f aca="false">IF($B881="","",MAX(F881-G881,0))</f>
        <v/>
      </c>
      <c r="J881" s="23" t="str">
        <f aca="false">IF($B881="","",IFERROR(INDEX(고객사!$G$5:$G$104,MATCH($B881,고객사!$A$5:$A$104,0)),""))</f>
        <v/>
      </c>
      <c r="K881" s="16"/>
      <c r="L881" s="22" t="str">
        <f aca="false">IF($B881="","",K881*IFERROR(INDEX(고객사!$L$5:$L$104,MATCH($B881,고객사!$A$5:$A$104,0)),0))</f>
        <v/>
      </c>
      <c r="M881" s="23" t="str">
        <f aca="false">IF($B881="","",IF(AND(J881="N",G881&gt;0,K881=0,IFERROR(INDEX(고객사!$H$5:$H$104,MATCH($B881,고객사!$A$5:$A$104,0)),"")="자사 차량 운행"),"차량 미배정",""))</f>
        <v/>
      </c>
      <c r="N881" s="22" t="str">
        <f aca="false">IF($B881="","",IFERROR(INDEX(고객사!$J$5:$J$104,MATCH($B881,고객사!$A$5:$A$104,0)),0))</f>
        <v/>
      </c>
      <c r="O881" s="22" t="str">
        <f aca="false">IF($B881="","",G881*N881)</f>
        <v/>
      </c>
      <c r="P881" s="22" t="str">
        <f aca="false">IF($B881="","",IFERROR(INDEX(고객사!$K$5:$K$104,MATCH($B881,고객사!$A$5:$A$104,0)),0))</f>
        <v/>
      </c>
      <c r="Q881" s="22" t="str">
        <f aca="false">IF($B881="","",G881*P881)</f>
        <v/>
      </c>
      <c r="R881" s="22" t="str">
        <f aca="false">IF($B881="","",O881-Q881-L881)</f>
        <v/>
      </c>
      <c r="S881" s="21" t="str">
        <f aca="false">IF(OR($B881="",N(O881)=0),"",R881/O881)</f>
        <v/>
      </c>
      <c r="T881" s="14"/>
      <c r="U881" s="19" t="n">
        <f aca="false">IF(OR($B881="",$A881=""),0,IF(COUNTIFS($A$5:$A881,$A881,$B$5:$B881,$B881)=1,1,0))</f>
        <v>0</v>
      </c>
    </row>
    <row r="882" customFormat="false" ht="15" hidden="false" customHeight="false" outlineLevel="0" collapsed="false">
      <c r="A882" s="17"/>
      <c r="B882" s="13"/>
      <c r="C882" s="20" t="str">
        <f aca="false">IF($B882="","",IFERROR(INDEX(고객사!$B$5:$B$104,MATCH($B882,고객사!$A$5:$A$104,0)),"코드 확인"))</f>
        <v/>
      </c>
      <c r="D882" s="15"/>
      <c r="E882" s="15"/>
      <c r="F882" s="16"/>
      <c r="G882" s="16"/>
      <c r="H882" s="21" t="str">
        <f aca="false">IF(OR($B882="",F882=0),"",G882/F882)</f>
        <v/>
      </c>
      <c r="I882" s="22" t="str">
        <f aca="false">IF($B882="","",MAX(F882-G882,0))</f>
        <v/>
      </c>
      <c r="J882" s="23" t="str">
        <f aca="false">IF($B882="","",IFERROR(INDEX(고객사!$G$5:$G$104,MATCH($B882,고객사!$A$5:$A$104,0)),""))</f>
        <v/>
      </c>
      <c r="K882" s="16"/>
      <c r="L882" s="22" t="str">
        <f aca="false">IF($B882="","",K882*IFERROR(INDEX(고객사!$L$5:$L$104,MATCH($B882,고객사!$A$5:$A$104,0)),0))</f>
        <v/>
      </c>
      <c r="M882" s="23" t="str">
        <f aca="false">IF($B882="","",IF(AND(J882="N",G882&gt;0,K882=0,IFERROR(INDEX(고객사!$H$5:$H$104,MATCH($B882,고객사!$A$5:$A$104,0)),"")="자사 차량 운행"),"차량 미배정",""))</f>
        <v/>
      </c>
      <c r="N882" s="22" t="str">
        <f aca="false">IF($B882="","",IFERROR(INDEX(고객사!$J$5:$J$104,MATCH($B882,고객사!$A$5:$A$104,0)),0))</f>
        <v/>
      </c>
      <c r="O882" s="22" t="str">
        <f aca="false">IF($B882="","",G882*N882)</f>
        <v/>
      </c>
      <c r="P882" s="22" t="str">
        <f aca="false">IF($B882="","",IFERROR(INDEX(고객사!$K$5:$K$104,MATCH($B882,고객사!$A$5:$A$104,0)),0))</f>
        <v/>
      </c>
      <c r="Q882" s="22" t="str">
        <f aca="false">IF($B882="","",G882*P882)</f>
        <v/>
      </c>
      <c r="R882" s="22" t="str">
        <f aca="false">IF($B882="","",O882-Q882-L882)</f>
        <v/>
      </c>
      <c r="S882" s="21" t="str">
        <f aca="false">IF(OR($B882="",N(O882)=0),"",R882/O882)</f>
        <v/>
      </c>
      <c r="T882" s="14"/>
      <c r="U882" s="19" t="n">
        <f aca="false">IF(OR($B882="",$A882=""),0,IF(COUNTIFS($A$5:$A882,$A882,$B$5:$B882,$B882)=1,1,0))</f>
        <v>0</v>
      </c>
    </row>
    <row r="883" customFormat="false" ht="15" hidden="false" customHeight="false" outlineLevel="0" collapsed="false">
      <c r="A883" s="17"/>
      <c r="B883" s="13"/>
      <c r="C883" s="20" t="str">
        <f aca="false">IF($B883="","",IFERROR(INDEX(고객사!$B$5:$B$104,MATCH($B883,고객사!$A$5:$A$104,0)),"코드 확인"))</f>
        <v/>
      </c>
      <c r="D883" s="15"/>
      <c r="E883" s="15"/>
      <c r="F883" s="16"/>
      <c r="G883" s="16"/>
      <c r="H883" s="21" t="str">
        <f aca="false">IF(OR($B883="",F883=0),"",G883/F883)</f>
        <v/>
      </c>
      <c r="I883" s="22" t="str">
        <f aca="false">IF($B883="","",MAX(F883-G883,0))</f>
        <v/>
      </c>
      <c r="J883" s="23" t="str">
        <f aca="false">IF($B883="","",IFERROR(INDEX(고객사!$G$5:$G$104,MATCH($B883,고객사!$A$5:$A$104,0)),""))</f>
        <v/>
      </c>
      <c r="K883" s="16"/>
      <c r="L883" s="22" t="str">
        <f aca="false">IF($B883="","",K883*IFERROR(INDEX(고객사!$L$5:$L$104,MATCH($B883,고객사!$A$5:$A$104,0)),0))</f>
        <v/>
      </c>
      <c r="M883" s="23" t="str">
        <f aca="false">IF($B883="","",IF(AND(J883="N",G883&gt;0,K883=0,IFERROR(INDEX(고객사!$H$5:$H$104,MATCH($B883,고객사!$A$5:$A$104,0)),"")="자사 차량 운행"),"차량 미배정",""))</f>
        <v/>
      </c>
      <c r="N883" s="22" t="str">
        <f aca="false">IF($B883="","",IFERROR(INDEX(고객사!$J$5:$J$104,MATCH($B883,고객사!$A$5:$A$104,0)),0))</f>
        <v/>
      </c>
      <c r="O883" s="22" t="str">
        <f aca="false">IF($B883="","",G883*N883)</f>
        <v/>
      </c>
      <c r="P883" s="22" t="str">
        <f aca="false">IF($B883="","",IFERROR(INDEX(고객사!$K$5:$K$104,MATCH($B883,고객사!$A$5:$A$104,0)),0))</f>
        <v/>
      </c>
      <c r="Q883" s="22" t="str">
        <f aca="false">IF($B883="","",G883*P883)</f>
        <v/>
      </c>
      <c r="R883" s="22" t="str">
        <f aca="false">IF($B883="","",O883-Q883-L883)</f>
        <v/>
      </c>
      <c r="S883" s="21" t="str">
        <f aca="false">IF(OR($B883="",N(O883)=0),"",R883/O883)</f>
        <v/>
      </c>
      <c r="T883" s="14"/>
      <c r="U883" s="19" t="n">
        <f aca="false">IF(OR($B883="",$A883=""),0,IF(COUNTIFS($A$5:$A883,$A883,$B$5:$B883,$B883)=1,1,0))</f>
        <v>0</v>
      </c>
    </row>
    <row r="884" customFormat="false" ht="15" hidden="false" customHeight="false" outlineLevel="0" collapsed="false">
      <c r="A884" s="17"/>
      <c r="B884" s="13"/>
      <c r="C884" s="20" t="str">
        <f aca="false">IF($B884="","",IFERROR(INDEX(고객사!$B$5:$B$104,MATCH($B884,고객사!$A$5:$A$104,0)),"코드 확인"))</f>
        <v/>
      </c>
      <c r="D884" s="15"/>
      <c r="E884" s="15"/>
      <c r="F884" s="16"/>
      <c r="G884" s="16"/>
      <c r="H884" s="21" t="str">
        <f aca="false">IF(OR($B884="",F884=0),"",G884/F884)</f>
        <v/>
      </c>
      <c r="I884" s="22" t="str">
        <f aca="false">IF($B884="","",MAX(F884-G884,0))</f>
        <v/>
      </c>
      <c r="J884" s="23" t="str">
        <f aca="false">IF($B884="","",IFERROR(INDEX(고객사!$G$5:$G$104,MATCH($B884,고객사!$A$5:$A$104,0)),""))</f>
        <v/>
      </c>
      <c r="K884" s="16"/>
      <c r="L884" s="22" t="str">
        <f aca="false">IF($B884="","",K884*IFERROR(INDEX(고객사!$L$5:$L$104,MATCH($B884,고객사!$A$5:$A$104,0)),0))</f>
        <v/>
      </c>
      <c r="M884" s="23" t="str">
        <f aca="false">IF($B884="","",IF(AND(J884="N",G884&gt;0,K884=0,IFERROR(INDEX(고객사!$H$5:$H$104,MATCH($B884,고객사!$A$5:$A$104,0)),"")="자사 차량 운행"),"차량 미배정",""))</f>
        <v/>
      </c>
      <c r="N884" s="22" t="str">
        <f aca="false">IF($B884="","",IFERROR(INDEX(고객사!$J$5:$J$104,MATCH($B884,고객사!$A$5:$A$104,0)),0))</f>
        <v/>
      </c>
      <c r="O884" s="22" t="str">
        <f aca="false">IF($B884="","",G884*N884)</f>
        <v/>
      </c>
      <c r="P884" s="22" t="str">
        <f aca="false">IF($B884="","",IFERROR(INDEX(고객사!$K$5:$K$104,MATCH($B884,고객사!$A$5:$A$104,0)),0))</f>
        <v/>
      </c>
      <c r="Q884" s="22" t="str">
        <f aca="false">IF($B884="","",G884*P884)</f>
        <v/>
      </c>
      <c r="R884" s="22" t="str">
        <f aca="false">IF($B884="","",O884-Q884-L884)</f>
        <v/>
      </c>
      <c r="S884" s="21" t="str">
        <f aca="false">IF(OR($B884="",N(O884)=0),"",R884/O884)</f>
        <v/>
      </c>
      <c r="T884" s="14"/>
      <c r="U884" s="19" t="n">
        <f aca="false">IF(OR($B884="",$A884=""),0,IF(COUNTIFS($A$5:$A884,$A884,$B$5:$B884,$B884)=1,1,0))</f>
        <v>0</v>
      </c>
    </row>
    <row r="885" customFormat="false" ht="15" hidden="false" customHeight="false" outlineLevel="0" collapsed="false">
      <c r="A885" s="17"/>
      <c r="B885" s="13"/>
      <c r="C885" s="20" t="str">
        <f aca="false">IF($B885="","",IFERROR(INDEX(고객사!$B$5:$B$104,MATCH($B885,고객사!$A$5:$A$104,0)),"코드 확인"))</f>
        <v/>
      </c>
      <c r="D885" s="15"/>
      <c r="E885" s="15"/>
      <c r="F885" s="16"/>
      <c r="G885" s="16"/>
      <c r="H885" s="21" t="str">
        <f aca="false">IF(OR($B885="",F885=0),"",G885/F885)</f>
        <v/>
      </c>
      <c r="I885" s="22" t="str">
        <f aca="false">IF($B885="","",MAX(F885-G885,0))</f>
        <v/>
      </c>
      <c r="J885" s="23" t="str">
        <f aca="false">IF($B885="","",IFERROR(INDEX(고객사!$G$5:$G$104,MATCH($B885,고객사!$A$5:$A$104,0)),""))</f>
        <v/>
      </c>
      <c r="K885" s="16"/>
      <c r="L885" s="22" t="str">
        <f aca="false">IF($B885="","",K885*IFERROR(INDEX(고객사!$L$5:$L$104,MATCH($B885,고객사!$A$5:$A$104,0)),0))</f>
        <v/>
      </c>
      <c r="M885" s="23" t="str">
        <f aca="false">IF($B885="","",IF(AND(J885="N",G885&gt;0,K885=0,IFERROR(INDEX(고객사!$H$5:$H$104,MATCH($B885,고객사!$A$5:$A$104,0)),"")="자사 차량 운행"),"차량 미배정",""))</f>
        <v/>
      </c>
      <c r="N885" s="22" t="str">
        <f aca="false">IF($B885="","",IFERROR(INDEX(고객사!$J$5:$J$104,MATCH($B885,고객사!$A$5:$A$104,0)),0))</f>
        <v/>
      </c>
      <c r="O885" s="22" t="str">
        <f aca="false">IF($B885="","",G885*N885)</f>
        <v/>
      </c>
      <c r="P885" s="22" t="str">
        <f aca="false">IF($B885="","",IFERROR(INDEX(고객사!$K$5:$K$104,MATCH($B885,고객사!$A$5:$A$104,0)),0))</f>
        <v/>
      </c>
      <c r="Q885" s="22" t="str">
        <f aca="false">IF($B885="","",G885*P885)</f>
        <v/>
      </c>
      <c r="R885" s="22" t="str">
        <f aca="false">IF($B885="","",O885-Q885-L885)</f>
        <v/>
      </c>
      <c r="S885" s="21" t="str">
        <f aca="false">IF(OR($B885="",N(O885)=0),"",R885/O885)</f>
        <v/>
      </c>
      <c r="T885" s="14"/>
      <c r="U885" s="19" t="n">
        <f aca="false">IF(OR($B885="",$A885=""),0,IF(COUNTIFS($A$5:$A885,$A885,$B$5:$B885,$B885)=1,1,0))</f>
        <v>0</v>
      </c>
    </row>
    <row r="886" customFormat="false" ht="15" hidden="false" customHeight="false" outlineLevel="0" collapsed="false">
      <c r="A886" s="17"/>
      <c r="B886" s="13"/>
      <c r="C886" s="20" t="str">
        <f aca="false">IF($B886="","",IFERROR(INDEX(고객사!$B$5:$B$104,MATCH($B886,고객사!$A$5:$A$104,0)),"코드 확인"))</f>
        <v/>
      </c>
      <c r="D886" s="15"/>
      <c r="E886" s="15"/>
      <c r="F886" s="16"/>
      <c r="G886" s="16"/>
      <c r="H886" s="21" t="str">
        <f aca="false">IF(OR($B886="",F886=0),"",G886/F886)</f>
        <v/>
      </c>
      <c r="I886" s="22" t="str">
        <f aca="false">IF($B886="","",MAX(F886-G886,0))</f>
        <v/>
      </c>
      <c r="J886" s="23" t="str">
        <f aca="false">IF($B886="","",IFERROR(INDEX(고객사!$G$5:$G$104,MATCH($B886,고객사!$A$5:$A$104,0)),""))</f>
        <v/>
      </c>
      <c r="K886" s="16"/>
      <c r="L886" s="22" t="str">
        <f aca="false">IF($B886="","",K886*IFERROR(INDEX(고객사!$L$5:$L$104,MATCH($B886,고객사!$A$5:$A$104,0)),0))</f>
        <v/>
      </c>
      <c r="M886" s="23" t="str">
        <f aca="false">IF($B886="","",IF(AND(J886="N",G886&gt;0,K886=0,IFERROR(INDEX(고객사!$H$5:$H$104,MATCH($B886,고객사!$A$5:$A$104,0)),"")="자사 차량 운행"),"차량 미배정",""))</f>
        <v/>
      </c>
      <c r="N886" s="22" t="str">
        <f aca="false">IF($B886="","",IFERROR(INDEX(고객사!$J$5:$J$104,MATCH($B886,고객사!$A$5:$A$104,0)),0))</f>
        <v/>
      </c>
      <c r="O886" s="22" t="str">
        <f aca="false">IF($B886="","",G886*N886)</f>
        <v/>
      </c>
      <c r="P886" s="22" t="str">
        <f aca="false">IF($B886="","",IFERROR(INDEX(고객사!$K$5:$K$104,MATCH($B886,고객사!$A$5:$A$104,0)),0))</f>
        <v/>
      </c>
      <c r="Q886" s="22" t="str">
        <f aca="false">IF($B886="","",G886*P886)</f>
        <v/>
      </c>
      <c r="R886" s="22" t="str">
        <f aca="false">IF($B886="","",O886-Q886-L886)</f>
        <v/>
      </c>
      <c r="S886" s="21" t="str">
        <f aca="false">IF(OR($B886="",N(O886)=0),"",R886/O886)</f>
        <v/>
      </c>
      <c r="T886" s="14"/>
      <c r="U886" s="19" t="n">
        <f aca="false">IF(OR($B886="",$A886=""),0,IF(COUNTIFS($A$5:$A886,$A886,$B$5:$B886,$B886)=1,1,0))</f>
        <v>0</v>
      </c>
    </row>
    <row r="887" customFormat="false" ht="15" hidden="false" customHeight="false" outlineLevel="0" collapsed="false">
      <c r="A887" s="17"/>
      <c r="B887" s="13"/>
      <c r="C887" s="20" t="str">
        <f aca="false">IF($B887="","",IFERROR(INDEX(고객사!$B$5:$B$104,MATCH($B887,고객사!$A$5:$A$104,0)),"코드 확인"))</f>
        <v/>
      </c>
      <c r="D887" s="15"/>
      <c r="E887" s="15"/>
      <c r="F887" s="16"/>
      <c r="G887" s="16"/>
      <c r="H887" s="21" t="str">
        <f aca="false">IF(OR($B887="",F887=0),"",G887/F887)</f>
        <v/>
      </c>
      <c r="I887" s="22" t="str">
        <f aca="false">IF($B887="","",MAX(F887-G887,0))</f>
        <v/>
      </c>
      <c r="J887" s="23" t="str">
        <f aca="false">IF($B887="","",IFERROR(INDEX(고객사!$G$5:$G$104,MATCH($B887,고객사!$A$5:$A$104,0)),""))</f>
        <v/>
      </c>
      <c r="K887" s="16"/>
      <c r="L887" s="22" t="str">
        <f aca="false">IF($B887="","",K887*IFERROR(INDEX(고객사!$L$5:$L$104,MATCH($B887,고객사!$A$5:$A$104,0)),0))</f>
        <v/>
      </c>
      <c r="M887" s="23" t="str">
        <f aca="false">IF($B887="","",IF(AND(J887="N",G887&gt;0,K887=0,IFERROR(INDEX(고객사!$H$5:$H$104,MATCH($B887,고객사!$A$5:$A$104,0)),"")="자사 차량 운행"),"차량 미배정",""))</f>
        <v/>
      </c>
      <c r="N887" s="22" t="str">
        <f aca="false">IF($B887="","",IFERROR(INDEX(고객사!$J$5:$J$104,MATCH($B887,고객사!$A$5:$A$104,0)),0))</f>
        <v/>
      </c>
      <c r="O887" s="22" t="str">
        <f aca="false">IF($B887="","",G887*N887)</f>
        <v/>
      </c>
      <c r="P887" s="22" t="str">
        <f aca="false">IF($B887="","",IFERROR(INDEX(고객사!$K$5:$K$104,MATCH($B887,고객사!$A$5:$A$104,0)),0))</f>
        <v/>
      </c>
      <c r="Q887" s="22" t="str">
        <f aca="false">IF($B887="","",G887*P887)</f>
        <v/>
      </c>
      <c r="R887" s="22" t="str">
        <f aca="false">IF($B887="","",O887-Q887-L887)</f>
        <v/>
      </c>
      <c r="S887" s="21" t="str">
        <f aca="false">IF(OR($B887="",N(O887)=0),"",R887/O887)</f>
        <v/>
      </c>
      <c r="T887" s="14"/>
      <c r="U887" s="19" t="n">
        <f aca="false">IF(OR($B887="",$A887=""),0,IF(COUNTIFS($A$5:$A887,$A887,$B$5:$B887,$B887)=1,1,0))</f>
        <v>0</v>
      </c>
    </row>
    <row r="888" customFormat="false" ht="15" hidden="false" customHeight="false" outlineLevel="0" collapsed="false">
      <c r="A888" s="17"/>
      <c r="B888" s="13"/>
      <c r="C888" s="20" t="str">
        <f aca="false">IF($B888="","",IFERROR(INDEX(고객사!$B$5:$B$104,MATCH($B888,고객사!$A$5:$A$104,0)),"코드 확인"))</f>
        <v/>
      </c>
      <c r="D888" s="15"/>
      <c r="E888" s="15"/>
      <c r="F888" s="16"/>
      <c r="G888" s="16"/>
      <c r="H888" s="21" t="str">
        <f aca="false">IF(OR($B888="",F888=0),"",G888/F888)</f>
        <v/>
      </c>
      <c r="I888" s="22" t="str">
        <f aca="false">IF($B888="","",MAX(F888-G888,0))</f>
        <v/>
      </c>
      <c r="J888" s="23" t="str">
        <f aca="false">IF($B888="","",IFERROR(INDEX(고객사!$G$5:$G$104,MATCH($B888,고객사!$A$5:$A$104,0)),""))</f>
        <v/>
      </c>
      <c r="K888" s="16"/>
      <c r="L888" s="22" t="str">
        <f aca="false">IF($B888="","",K888*IFERROR(INDEX(고객사!$L$5:$L$104,MATCH($B888,고객사!$A$5:$A$104,0)),0))</f>
        <v/>
      </c>
      <c r="M888" s="23" t="str">
        <f aca="false">IF($B888="","",IF(AND(J888="N",G888&gt;0,K888=0,IFERROR(INDEX(고객사!$H$5:$H$104,MATCH($B888,고객사!$A$5:$A$104,0)),"")="자사 차량 운행"),"차량 미배정",""))</f>
        <v/>
      </c>
      <c r="N888" s="22" t="str">
        <f aca="false">IF($B888="","",IFERROR(INDEX(고객사!$J$5:$J$104,MATCH($B888,고객사!$A$5:$A$104,0)),0))</f>
        <v/>
      </c>
      <c r="O888" s="22" t="str">
        <f aca="false">IF($B888="","",G888*N888)</f>
        <v/>
      </c>
      <c r="P888" s="22" t="str">
        <f aca="false">IF($B888="","",IFERROR(INDEX(고객사!$K$5:$K$104,MATCH($B888,고객사!$A$5:$A$104,0)),0))</f>
        <v/>
      </c>
      <c r="Q888" s="22" t="str">
        <f aca="false">IF($B888="","",G888*P888)</f>
        <v/>
      </c>
      <c r="R888" s="22" t="str">
        <f aca="false">IF($B888="","",O888-Q888-L888)</f>
        <v/>
      </c>
      <c r="S888" s="21" t="str">
        <f aca="false">IF(OR($B888="",N(O888)=0),"",R888/O888)</f>
        <v/>
      </c>
      <c r="T888" s="14"/>
      <c r="U888" s="19" t="n">
        <f aca="false">IF(OR($B888="",$A888=""),0,IF(COUNTIFS($A$5:$A888,$A888,$B$5:$B888,$B888)=1,1,0))</f>
        <v>0</v>
      </c>
    </row>
    <row r="889" customFormat="false" ht="15" hidden="false" customHeight="false" outlineLevel="0" collapsed="false">
      <c r="A889" s="17"/>
      <c r="B889" s="13"/>
      <c r="C889" s="20" t="str">
        <f aca="false">IF($B889="","",IFERROR(INDEX(고객사!$B$5:$B$104,MATCH($B889,고객사!$A$5:$A$104,0)),"코드 확인"))</f>
        <v/>
      </c>
      <c r="D889" s="15"/>
      <c r="E889" s="15"/>
      <c r="F889" s="16"/>
      <c r="G889" s="16"/>
      <c r="H889" s="21" t="str">
        <f aca="false">IF(OR($B889="",F889=0),"",G889/F889)</f>
        <v/>
      </c>
      <c r="I889" s="22" t="str">
        <f aca="false">IF($B889="","",MAX(F889-G889,0))</f>
        <v/>
      </c>
      <c r="J889" s="23" t="str">
        <f aca="false">IF($B889="","",IFERROR(INDEX(고객사!$G$5:$G$104,MATCH($B889,고객사!$A$5:$A$104,0)),""))</f>
        <v/>
      </c>
      <c r="K889" s="16"/>
      <c r="L889" s="22" t="str">
        <f aca="false">IF($B889="","",K889*IFERROR(INDEX(고객사!$L$5:$L$104,MATCH($B889,고객사!$A$5:$A$104,0)),0))</f>
        <v/>
      </c>
      <c r="M889" s="23" t="str">
        <f aca="false">IF($B889="","",IF(AND(J889="N",G889&gt;0,K889=0,IFERROR(INDEX(고객사!$H$5:$H$104,MATCH($B889,고객사!$A$5:$A$104,0)),"")="자사 차량 운행"),"차량 미배정",""))</f>
        <v/>
      </c>
      <c r="N889" s="22" t="str">
        <f aca="false">IF($B889="","",IFERROR(INDEX(고객사!$J$5:$J$104,MATCH($B889,고객사!$A$5:$A$104,0)),0))</f>
        <v/>
      </c>
      <c r="O889" s="22" t="str">
        <f aca="false">IF($B889="","",G889*N889)</f>
        <v/>
      </c>
      <c r="P889" s="22" t="str">
        <f aca="false">IF($B889="","",IFERROR(INDEX(고객사!$K$5:$K$104,MATCH($B889,고객사!$A$5:$A$104,0)),0))</f>
        <v/>
      </c>
      <c r="Q889" s="22" t="str">
        <f aca="false">IF($B889="","",G889*P889)</f>
        <v/>
      </c>
      <c r="R889" s="22" t="str">
        <f aca="false">IF($B889="","",O889-Q889-L889)</f>
        <v/>
      </c>
      <c r="S889" s="21" t="str">
        <f aca="false">IF(OR($B889="",N(O889)=0),"",R889/O889)</f>
        <v/>
      </c>
      <c r="T889" s="14"/>
      <c r="U889" s="19" t="n">
        <f aca="false">IF(OR($B889="",$A889=""),0,IF(COUNTIFS($A$5:$A889,$A889,$B$5:$B889,$B889)=1,1,0))</f>
        <v>0</v>
      </c>
    </row>
    <row r="890" customFormat="false" ht="15" hidden="false" customHeight="false" outlineLevel="0" collapsed="false">
      <c r="A890" s="17"/>
      <c r="B890" s="13"/>
      <c r="C890" s="20" t="str">
        <f aca="false">IF($B890="","",IFERROR(INDEX(고객사!$B$5:$B$104,MATCH($B890,고객사!$A$5:$A$104,0)),"코드 확인"))</f>
        <v/>
      </c>
      <c r="D890" s="15"/>
      <c r="E890" s="15"/>
      <c r="F890" s="16"/>
      <c r="G890" s="16"/>
      <c r="H890" s="21" t="str">
        <f aca="false">IF(OR($B890="",F890=0),"",G890/F890)</f>
        <v/>
      </c>
      <c r="I890" s="22" t="str">
        <f aca="false">IF($B890="","",MAX(F890-G890,0))</f>
        <v/>
      </c>
      <c r="J890" s="23" t="str">
        <f aca="false">IF($B890="","",IFERROR(INDEX(고객사!$G$5:$G$104,MATCH($B890,고객사!$A$5:$A$104,0)),""))</f>
        <v/>
      </c>
      <c r="K890" s="16"/>
      <c r="L890" s="22" t="str">
        <f aca="false">IF($B890="","",K890*IFERROR(INDEX(고객사!$L$5:$L$104,MATCH($B890,고객사!$A$5:$A$104,0)),0))</f>
        <v/>
      </c>
      <c r="M890" s="23" t="str">
        <f aca="false">IF($B890="","",IF(AND(J890="N",G890&gt;0,K890=0,IFERROR(INDEX(고객사!$H$5:$H$104,MATCH($B890,고객사!$A$5:$A$104,0)),"")="자사 차량 운행"),"차량 미배정",""))</f>
        <v/>
      </c>
      <c r="N890" s="22" t="str">
        <f aca="false">IF($B890="","",IFERROR(INDEX(고객사!$J$5:$J$104,MATCH($B890,고객사!$A$5:$A$104,0)),0))</f>
        <v/>
      </c>
      <c r="O890" s="22" t="str">
        <f aca="false">IF($B890="","",G890*N890)</f>
        <v/>
      </c>
      <c r="P890" s="22" t="str">
        <f aca="false">IF($B890="","",IFERROR(INDEX(고객사!$K$5:$K$104,MATCH($B890,고객사!$A$5:$A$104,0)),0))</f>
        <v/>
      </c>
      <c r="Q890" s="22" t="str">
        <f aca="false">IF($B890="","",G890*P890)</f>
        <v/>
      </c>
      <c r="R890" s="22" t="str">
        <f aca="false">IF($B890="","",O890-Q890-L890)</f>
        <v/>
      </c>
      <c r="S890" s="21" t="str">
        <f aca="false">IF(OR($B890="",N(O890)=0),"",R890/O890)</f>
        <v/>
      </c>
      <c r="T890" s="14"/>
      <c r="U890" s="19" t="n">
        <f aca="false">IF(OR($B890="",$A890=""),0,IF(COUNTIFS($A$5:$A890,$A890,$B$5:$B890,$B890)=1,1,0))</f>
        <v>0</v>
      </c>
    </row>
    <row r="891" customFormat="false" ht="15" hidden="false" customHeight="false" outlineLevel="0" collapsed="false">
      <c r="A891" s="17"/>
      <c r="B891" s="13"/>
      <c r="C891" s="20" t="str">
        <f aca="false">IF($B891="","",IFERROR(INDEX(고객사!$B$5:$B$104,MATCH($B891,고객사!$A$5:$A$104,0)),"코드 확인"))</f>
        <v/>
      </c>
      <c r="D891" s="15"/>
      <c r="E891" s="15"/>
      <c r="F891" s="16"/>
      <c r="G891" s="16"/>
      <c r="H891" s="21" t="str">
        <f aca="false">IF(OR($B891="",F891=0),"",G891/F891)</f>
        <v/>
      </c>
      <c r="I891" s="22" t="str">
        <f aca="false">IF($B891="","",MAX(F891-G891,0))</f>
        <v/>
      </c>
      <c r="J891" s="23" t="str">
        <f aca="false">IF($B891="","",IFERROR(INDEX(고객사!$G$5:$G$104,MATCH($B891,고객사!$A$5:$A$104,0)),""))</f>
        <v/>
      </c>
      <c r="K891" s="16"/>
      <c r="L891" s="22" t="str">
        <f aca="false">IF($B891="","",K891*IFERROR(INDEX(고객사!$L$5:$L$104,MATCH($B891,고객사!$A$5:$A$104,0)),0))</f>
        <v/>
      </c>
      <c r="M891" s="23" t="str">
        <f aca="false">IF($B891="","",IF(AND(J891="N",G891&gt;0,K891=0,IFERROR(INDEX(고객사!$H$5:$H$104,MATCH($B891,고객사!$A$5:$A$104,0)),"")="자사 차량 운행"),"차량 미배정",""))</f>
        <v/>
      </c>
      <c r="N891" s="22" t="str">
        <f aca="false">IF($B891="","",IFERROR(INDEX(고객사!$J$5:$J$104,MATCH($B891,고객사!$A$5:$A$104,0)),0))</f>
        <v/>
      </c>
      <c r="O891" s="22" t="str">
        <f aca="false">IF($B891="","",G891*N891)</f>
        <v/>
      </c>
      <c r="P891" s="22" t="str">
        <f aca="false">IF($B891="","",IFERROR(INDEX(고객사!$K$5:$K$104,MATCH($B891,고객사!$A$5:$A$104,0)),0))</f>
        <v/>
      </c>
      <c r="Q891" s="22" t="str">
        <f aca="false">IF($B891="","",G891*P891)</f>
        <v/>
      </c>
      <c r="R891" s="22" t="str">
        <f aca="false">IF($B891="","",O891-Q891-L891)</f>
        <v/>
      </c>
      <c r="S891" s="21" t="str">
        <f aca="false">IF(OR($B891="",N(O891)=0),"",R891/O891)</f>
        <v/>
      </c>
      <c r="T891" s="14"/>
      <c r="U891" s="19" t="n">
        <f aca="false">IF(OR($B891="",$A891=""),0,IF(COUNTIFS($A$5:$A891,$A891,$B$5:$B891,$B891)=1,1,0))</f>
        <v>0</v>
      </c>
    </row>
    <row r="892" customFormat="false" ht="15" hidden="false" customHeight="false" outlineLevel="0" collapsed="false">
      <c r="A892" s="17"/>
      <c r="B892" s="13"/>
      <c r="C892" s="20" t="str">
        <f aca="false">IF($B892="","",IFERROR(INDEX(고객사!$B$5:$B$104,MATCH($B892,고객사!$A$5:$A$104,0)),"코드 확인"))</f>
        <v/>
      </c>
      <c r="D892" s="15"/>
      <c r="E892" s="15"/>
      <c r="F892" s="16"/>
      <c r="G892" s="16"/>
      <c r="H892" s="21" t="str">
        <f aca="false">IF(OR($B892="",F892=0),"",G892/F892)</f>
        <v/>
      </c>
      <c r="I892" s="22" t="str">
        <f aca="false">IF($B892="","",MAX(F892-G892,0))</f>
        <v/>
      </c>
      <c r="J892" s="23" t="str">
        <f aca="false">IF($B892="","",IFERROR(INDEX(고객사!$G$5:$G$104,MATCH($B892,고객사!$A$5:$A$104,0)),""))</f>
        <v/>
      </c>
      <c r="K892" s="16"/>
      <c r="L892" s="22" t="str">
        <f aca="false">IF($B892="","",K892*IFERROR(INDEX(고객사!$L$5:$L$104,MATCH($B892,고객사!$A$5:$A$104,0)),0))</f>
        <v/>
      </c>
      <c r="M892" s="23" t="str">
        <f aca="false">IF($B892="","",IF(AND(J892="N",G892&gt;0,K892=0,IFERROR(INDEX(고객사!$H$5:$H$104,MATCH($B892,고객사!$A$5:$A$104,0)),"")="자사 차량 운행"),"차량 미배정",""))</f>
        <v/>
      </c>
      <c r="N892" s="22" t="str">
        <f aca="false">IF($B892="","",IFERROR(INDEX(고객사!$J$5:$J$104,MATCH($B892,고객사!$A$5:$A$104,0)),0))</f>
        <v/>
      </c>
      <c r="O892" s="22" t="str">
        <f aca="false">IF($B892="","",G892*N892)</f>
        <v/>
      </c>
      <c r="P892" s="22" t="str">
        <f aca="false">IF($B892="","",IFERROR(INDEX(고객사!$K$5:$K$104,MATCH($B892,고객사!$A$5:$A$104,0)),0))</f>
        <v/>
      </c>
      <c r="Q892" s="22" t="str">
        <f aca="false">IF($B892="","",G892*P892)</f>
        <v/>
      </c>
      <c r="R892" s="22" t="str">
        <f aca="false">IF($B892="","",O892-Q892-L892)</f>
        <v/>
      </c>
      <c r="S892" s="21" t="str">
        <f aca="false">IF(OR($B892="",N(O892)=0),"",R892/O892)</f>
        <v/>
      </c>
      <c r="T892" s="14"/>
      <c r="U892" s="19" t="n">
        <f aca="false">IF(OR($B892="",$A892=""),0,IF(COUNTIFS($A$5:$A892,$A892,$B$5:$B892,$B892)=1,1,0))</f>
        <v>0</v>
      </c>
    </row>
    <row r="893" customFormat="false" ht="15" hidden="false" customHeight="false" outlineLevel="0" collapsed="false">
      <c r="A893" s="17"/>
      <c r="B893" s="13"/>
      <c r="C893" s="20" t="str">
        <f aca="false">IF($B893="","",IFERROR(INDEX(고객사!$B$5:$B$104,MATCH($B893,고객사!$A$5:$A$104,0)),"코드 확인"))</f>
        <v/>
      </c>
      <c r="D893" s="15"/>
      <c r="E893" s="15"/>
      <c r="F893" s="16"/>
      <c r="G893" s="16"/>
      <c r="H893" s="21" t="str">
        <f aca="false">IF(OR($B893="",F893=0),"",G893/F893)</f>
        <v/>
      </c>
      <c r="I893" s="22" t="str">
        <f aca="false">IF($B893="","",MAX(F893-G893,0))</f>
        <v/>
      </c>
      <c r="J893" s="23" t="str">
        <f aca="false">IF($B893="","",IFERROR(INDEX(고객사!$G$5:$G$104,MATCH($B893,고객사!$A$5:$A$104,0)),""))</f>
        <v/>
      </c>
      <c r="K893" s="16"/>
      <c r="L893" s="22" t="str">
        <f aca="false">IF($B893="","",K893*IFERROR(INDEX(고객사!$L$5:$L$104,MATCH($B893,고객사!$A$5:$A$104,0)),0))</f>
        <v/>
      </c>
      <c r="M893" s="23" t="str">
        <f aca="false">IF($B893="","",IF(AND(J893="N",G893&gt;0,K893=0,IFERROR(INDEX(고객사!$H$5:$H$104,MATCH($B893,고객사!$A$5:$A$104,0)),"")="자사 차량 운행"),"차량 미배정",""))</f>
        <v/>
      </c>
      <c r="N893" s="22" t="str">
        <f aca="false">IF($B893="","",IFERROR(INDEX(고객사!$J$5:$J$104,MATCH($B893,고객사!$A$5:$A$104,0)),0))</f>
        <v/>
      </c>
      <c r="O893" s="22" t="str">
        <f aca="false">IF($B893="","",G893*N893)</f>
        <v/>
      </c>
      <c r="P893" s="22" t="str">
        <f aca="false">IF($B893="","",IFERROR(INDEX(고객사!$K$5:$K$104,MATCH($B893,고객사!$A$5:$A$104,0)),0))</f>
        <v/>
      </c>
      <c r="Q893" s="22" t="str">
        <f aca="false">IF($B893="","",G893*P893)</f>
        <v/>
      </c>
      <c r="R893" s="22" t="str">
        <f aca="false">IF($B893="","",O893-Q893-L893)</f>
        <v/>
      </c>
      <c r="S893" s="21" t="str">
        <f aca="false">IF(OR($B893="",N(O893)=0),"",R893/O893)</f>
        <v/>
      </c>
      <c r="T893" s="14"/>
      <c r="U893" s="19" t="n">
        <f aca="false">IF(OR($B893="",$A893=""),0,IF(COUNTIFS($A$5:$A893,$A893,$B$5:$B893,$B893)=1,1,0))</f>
        <v>0</v>
      </c>
    </row>
    <row r="894" customFormat="false" ht="15" hidden="false" customHeight="false" outlineLevel="0" collapsed="false">
      <c r="A894" s="17"/>
      <c r="B894" s="13"/>
      <c r="C894" s="20" t="str">
        <f aca="false">IF($B894="","",IFERROR(INDEX(고객사!$B$5:$B$104,MATCH($B894,고객사!$A$5:$A$104,0)),"코드 확인"))</f>
        <v/>
      </c>
      <c r="D894" s="15"/>
      <c r="E894" s="15"/>
      <c r="F894" s="16"/>
      <c r="G894" s="16"/>
      <c r="H894" s="21" t="str">
        <f aca="false">IF(OR($B894="",F894=0),"",G894/F894)</f>
        <v/>
      </c>
      <c r="I894" s="22" t="str">
        <f aca="false">IF($B894="","",MAX(F894-G894,0))</f>
        <v/>
      </c>
      <c r="J894" s="23" t="str">
        <f aca="false">IF($B894="","",IFERROR(INDEX(고객사!$G$5:$G$104,MATCH($B894,고객사!$A$5:$A$104,0)),""))</f>
        <v/>
      </c>
      <c r="K894" s="16"/>
      <c r="L894" s="22" t="str">
        <f aca="false">IF($B894="","",K894*IFERROR(INDEX(고객사!$L$5:$L$104,MATCH($B894,고객사!$A$5:$A$104,0)),0))</f>
        <v/>
      </c>
      <c r="M894" s="23" t="str">
        <f aca="false">IF($B894="","",IF(AND(J894="N",G894&gt;0,K894=0,IFERROR(INDEX(고객사!$H$5:$H$104,MATCH($B894,고객사!$A$5:$A$104,0)),"")="자사 차량 운행"),"차량 미배정",""))</f>
        <v/>
      </c>
      <c r="N894" s="22" t="str">
        <f aca="false">IF($B894="","",IFERROR(INDEX(고객사!$J$5:$J$104,MATCH($B894,고객사!$A$5:$A$104,0)),0))</f>
        <v/>
      </c>
      <c r="O894" s="22" t="str">
        <f aca="false">IF($B894="","",G894*N894)</f>
        <v/>
      </c>
      <c r="P894" s="22" t="str">
        <f aca="false">IF($B894="","",IFERROR(INDEX(고객사!$K$5:$K$104,MATCH($B894,고객사!$A$5:$A$104,0)),0))</f>
        <v/>
      </c>
      <c r="Q894" s="22" t="str">
        <f aca="false">IF($B894="","",G894*P894)</f>
        <v/>
      </c>
      <c r="R894" s="22" t="str">
        <f aca="false">IF($B894="","",O894-Q894-L894)</f>
        <v/>
      </c>
      <c r="S894" s="21" t="str">
        <f aca="false">IF(OR($B894="",N(O894)=0),"",R894/O894)</f>
        <v/>
      </c>
      <c r="T894" s="14"/>
      <c r="U894" s="19" t="n">
        <f aca="false">IF(OR($B894="",$A894=""),0,IF(COUNTIFS($A$5:$A894,$A894,$B$5:$B894,$B894)=1,1,0))</f>
        <v>0</v>
      </c>
    </row>
    <row r="895" customFormat="false" ht="15" hidden="false" customHeight="false" outlineLevel="0" collapsed="false">
      <c r="A895" s="17"/>
      <c r="B895" s="13"/>
      <c r="C895" s="20" t="str">
        <f aca="false">IF($B895="","",IFERROR(INDEX(고객사!$B$5:$B$104,MATCH($B895,고객사!$A$5:$A$104,0)),"코드 확인"))</f>
        <v/>
      </c>
      <c r="D895" s="15"/>
      <c r="E895" s="15"/>
      <c r="F895" s="16"/>
      <c r="G895" s="16"/>
      <c r="H895" s="21" t="str">
        <f aca="false">IF(OR($B895="",F895=0),"",G895/F895)</f>
        <v/>
      </c>
      <c r="I895" s="22" t="str">
        <f aca="false">IF($B895="","",MAX(F895-G895,0))</f>
        <v/>
      </c>
      <c r="J895" s="23" t="str">
        <f aca="false">IF($B895="","",IFERROR(INDEX(고객사!$G$5:$G$104,MATCH($B895,고객사!$A$5:$A$104,0)),""))</f>
        <v/>
      </c>
      <c r="K895" s="16"/>
      <c r="L895" s="22" t="str">
        <f aca="false">IF($B895="","",K895*IFERROR(INDEX(고객사!$L$5:$L$104,MATCH($B895,고객사!$A$5:$A$104,0)),0))</f>
        <v/>
      </c>
      <c r="M895" s="23" t="str">
        <f aca="false">IF($B895="","",IF(AND(J895="N",G895&gt;0,K895=0,IFERROR(INDEX(고객사!$H$5:$H$104,MATCH($B895,고객사!$A$5:$A$104,0)),"")="자사 차량 운행"),"차량 미배정",""))</f>
        <v/>
      </c>
      <c r="N895" s="22" t="str">
        <f aca="false">IF($B895="","",IFERROR(INDEX(고객사!$J$5:$J$104,MATCH($B895,고객사!$A$5:$A$104,0)),0))</f>
        <v/>
      </c>
      <c r="O895" s="22" t="str">
        <f aca="false">IF($B895="","",G895*N895)</f>
        <v/>
      </c>
      <c r="P895" s="22" t="str">
        <f aca="false">IF($B895="","",IFERROR(INDEX(고객사!$K$5:$K$104,MATCH($B895,고객사!$A$5:$A$104,0)),0))</f>
        <v/>
      </c>
      <c r="Q895" s="22" t="str">
        <f aca="false">IF($B895="","",G895*P895)</f>
        <v/>
      </c>
      <c r="R895" s="22" t="str">
        <f aca="false">IF($B895="","",O895-Q895-L895)</f>
        <v/>
      </c>
      <c r="S895" s="21" t="str">
        <f aca="false">IF(OR($B895="",N(O895)=0),"",R895/O895)</f>
        <v/>
      </c>
      <c r="T895" s="14"/>
      <c r="U895" s="19" t="n">
        <f aca="false">IF(OR($B895="",$A895=""),0,IF(COUNTIFS($A$5:$A895,$A895,$B$5:$B895,$B895)=1,1,0))</f>
        <v>0</v>
      </c>
    </row>
    <row r="896" customFormat="false" ht="15" hidden="false" customHeight="false" outlineLevel="0" collapsed="false">
      <c r="A896" s="17"/>
      <c r="B896" s="13"/>
      <c r="C896" s="20" t="str">
        <f aca="false">IF($B896="","",IFERROR(INDEX(고객사!$B$5:$B$104,MATCH($B896,고객사!$A$5:$A$104,0)),"코드 확인"))</f>
        <v/>
      </c>
      <c r="D896" s="15"/>
      <c r="E896" s="15"/>
      <c r="F896" s="16"/>
      <c r="G896" s="16"/>
      <c r="H896" s="21" t="str">
        <f aca="false">IF(OR($B896="",F896=0),"",G896/F896)</f>
        <v/>
      </c>
      <c r="I896" s="22" t="str">
        <f aca="false">IF($B896="","",MAX(F896-G896,0))</f>
        <v/>
      </c>
      <c r="J896" s="23" t="str">
        <f aca="false">IF($B896="","",IFERROR(INDEX(고객사!$G$5:$G$104,MATCH($B896,고객사!$A$5:$A$104,0)),""))</f>
        <v/>
      </c>
      <c r="K896" s="16"/>
      <c r="L896" s="22" t="str">
        <f aca="false">IF($B896="","",K896*IFERROR(INDEX(고객사!$L$5:$L$104,MATCH($B896,고객사!$A$5:$A$104,0)),0))</f>
        <v/>
      </c>
      <c r="M896" s="23" t="str">
        <f aca="false">IF($B896="","",IF(AND(J896="N",G896&gt;0,K896=0,IFERROR(INDEX(고객사!$H$5:$H$104,MATCH($B896,고객사!$A$5:$A$104,0)),"")="자사 차량 운행"),"차량 미배정",""))</f>
        <v/>
      </c>
      <c r="N896" s="22" t="str">
        <f aca="false">IF($B896="","",IFERROR(INDEX(고객사!$J$5:$J$104,MATCH($B896,고객사!$A$5:$A$104,0)),0))</f>
        <v/>
      </c>
      <c r="O896" s="22" t="str">
        <f aca="false">IF($B896="","",G896*N896)</f>
        <v/>
      </c>
      <c r="P896" s="22" t="str">
        <f aca="false">IF($B896="","",IFERROR(INDEX(고객사!$K$5:$K$104,MATCH($B896,고객사!$A$5:$A$104,0)),0))</f>
        <v/>
      </c>
      <c r="Q896" s="22" t="str">
        <f aca="false">IF($B896="","",G896*P896)</f>
        <v/>
      </c>
      <c r="R896" s="22" t="str">
        <f aca="false">IF($B896="","",O896-Q896-L896)</f>
        <v/>
      </c>
      <c r="S896" s="21" t="str">
        <f aca="false">IF(OR($B896="",N(O896)=0),"",R896/O896)</f>
        <v/>
      </c>
      <c r="T896" s="14"/>
      <c r="U896" s="19" t="n">
        <f aca="false">IF(OR($B896="",$A896=""),0,IF(COUNTIFS($A$5:$A896,$A896,$B$5:$B896,$B896)=1,1,0))</f>
        <v>0</v>
      </c>
    </row>
    <row r="897" customFormat="false" ht="15" hidden="false" customHeight="false" outlineLevel="0" collapsed="false">
      <c r="A897" s="17"/>
      <c r="B897" s="13"/>
      <c r="C897" s="20" t="str">
        <f aca="false">IF($B897="","",IFERROR(INDEX(고객사!$B$5:$B$104,MATCH($B897,고객사!$A$5:$A$104,0)),"코드 확인"))</f>
        <v/>
      </c>
      <c r="D897" s="15"/>
      <c r="E897" s="15"/>
      <c r="F897" s="16"/>
      <c r="G897" s="16"/>
      <c r="H897" s="21" t="str">
        <f aca="false">IF(OR($B897="",F897=0),"",G897/F897)</f>
        <v/>
      </c>
      <c r="I897" s="22" t="str">
        <f aca="false">IF($B897="","",MAX(F897-G897,0))</f>
        <v/>
      </c>
      <c r="J897" s="23" t="str">
        <f aca="false">IF($B897="","",IFERROR(INDEX(고객사!$G$5:$G$104,MATCH($B897,고객사!$A$5:$A$104,0)),""))</f>
        <v/>
      </c>
      <c r="K897" s="16"/>
      <c r="L897" s="22" t="str">
        <f aca="false">IF($B897="","",K897*IFERROR(INDEX(고객사!$L$5:$L$104,MATCH($B897,고객사!$A$5:$A$104,0)),0))</f>
        <v/>
      </c>
      <c r="M897" s="23" t="str">
        <f aca="false">IF($B897="","",IF(AND(J897="N",G897&gt;0,K897=0,IFERROR(INDEX(고객사!$H$5:$H$104,MATCH($B897,고객사!$A$5:$A$104,0)),"")="자사 차량 운행"),"차량 미배정",""))</f>
        <v/>
      </c>
      <c r="N897" s="22" t="str">
        <f aca="false">IF($B897="","",IFERROR(INDEX(고객사!$J$5:$J$104,MATCH($B897,고객사!$A$5:$A$104,0)),0))</f>
        <v/>
      </c>
      <c r="O897" s="22" t="str">
        <f aca="false">IF($B897="","",G897*N897)</f>
        <v/>
      </c>
      <c r="P897" s="22" t="str">
        <f aca="false">IF($B897="","",IFERROR(INDEX(고객사!$K$5:$K$104,MATCH($B897,고객사!$A$5:$A$104,0)),0))</f>
        <v/>
      </c>
      <c r="Q897" s="22" t="str">
        <f aca="false">IF($B897="","",G897*P897)</f>
        <v/>
      </c>
      <c r="R897" s="22" t="str">
        <f aca="false">IF($B897="","",O897-Q897-L897)</f>
        <v/>
      </c>
      <c r="S897" s="21" t="str">
        <f aca="false">IF(OR($B897="",N(O897)=0),"",R897/O897)</f>
        <v/>
      </c>
      <c r="T897" s="14"/>
      <c r="U897" s="19" t="n">
        <f aca="false">IF(OR($B897="",$A897=""),0,IF(COUNTIFS($A$5:$A897,$A897,$B$5:$B897,$B897)=1,1,0))</f>
        <v>0</v>
      </c>
    </row>
    <row r="898" customFormat="false" ht="15" hidden="false" customHeight="false" outlineLevel="0" collapsed="false">
      <c r="A898" s="17"/>
      <c r="B898" s="13"/>
      <c r="C898" s="20" t="str">
        <f aca="false">IF($B898="","",IFERROR(INDEX(고객사!$B$5:$B$104,MATCH($B898,고객사!$A$5:$A$104,0)),"코드 확인"))</f>
        <v/>
      </c>
      <c r="D898" s="15"/>
      <c r="E898" s="15"/>
      <c r="F898" s="16"/>
      <c r="G898" s="16"/>
      <c r="H898" s="21" t="str">
        <f aca="false">IF(OR($B898="",F898=0),"",G898/F898)</f>
        <v/>
      </c>
      <c r="I898" s="22" t="str">
        <f aca="false">IF($B898="","",MAX(F898-G898,0))</f>
        <v/>
      </c>
      <c r="J898" s="23" t="str">
        <f aca="false">IF($B898="","",IFERROR(INDEX(고객사!$G$5:$G$104,MATCH($B898,고객사!$A$5:$A$104,0)),""))</f>
        <v/>
      </c>
      <c r="K898" s="16"/>
      <c r="L898" s="22" t="str">
        <f aca="false">IF($B898="","",K898*IFERROR(INDEX(고객사!$L$5:$L$104,MATCH($B898,고객사!$A$5:$A$104,0)),0))</f>
        <v/>
      </c>
      <c r="M898" s="23" t="str">
        <f aca="false">IF($B898="","",IF(AND(J898="N",G898&gt;0,K898=0,IFERROR(INDEX(고객사!$H$5:$H$104,MATCH($B898,고객사!$A$5:$A$104,0)),"")="자사 차량 운행"),"차량 미배정",""))</f>
        <v/>
      </c>
      <c r="N898" s="22" t="str">
        <f aca="false">IF($B898="","",IFERROR(INDEX(고객사!$J$5:$J$104,MATCH($B898,고객사!$A$5:$A$104,0)),0))</f>
        <v/>
      </c>
      <c r="O898" s="22" t="str">
        <f aca="false">IF($B898="","",G898*N898)</f>
        <v/>
      </c>
      <c r="P898" s="22" t="str">
        <f aca="false">IF($B898="","",IFERROR(INDEX(고객사!$K$5:$K$104,MATCH($B898,고객사!$A$5:$A$104,0)),0))</f>
        <v/>
      </c>
      <c r="Q898" s="22" t="str">
        <f aca="false">IF($B898="","",G898*P898)</f>
        <v/>
      </c>
      <c r="R898" s="22" t="str">
        <f aca="false">IF($B898="","",O898-Q898-L898)</f>
        <v/>
      </c>
      <c r="S898" s="21" t="str">
        <f aca="false">IF(OR($B898="",N(O898)=0),"",R898/O898)</f>
        <v/>
      </c>
      <c r="T898" s="14"/>
      <c r="U898" s="19" t="n">
        <f aca="false">IF(OR($B898="",$A898=""),0,IF(COUNTIFS($A$5:$A898,$A898,$B$5:$B898,$B898)=1,1,0))</f>
        <v>0</v>
      </c>
    </row>
    <row r="899" customFormat="false" ht="15" hidden="false" customHeight="false" outlineLevel="0" collapsed="false">
      <c r="A899" s="17"/>
      <c r="B899" s="13"/>
      <c r="C899" s="20" t="str">
        <f aca="false">IF($B899="","",IFERROR(INDEX(고객사!$B$5:$B$104,MATCH($B899,고객사!$A$5:$A$104,0)),"코드 확인"))</f>
        <v/>
      </c>
      <c r="D899" s="15"/>
      <c r="E899" s="15"/>
      <c r="F899" s="16"/>
      <c r="G899" s="16"/>
      <c r="H899" s="21" t="str">
        <f aca="false">IF(OR($B899="",F899=0),"",G899/F899)</f>
        <v/>
      </c>
      <c r="I899" s="22" t="str">
        <f aca="false">IF($B899="","",MAX(F899-G899,0))</f>
        <v/>
      </c>
      <c r="J899" s="23" t="str">
        <f aca="false">IF($B899="","",IFERROR(INDEX(고객사!$G$5:$G$104,MATCH($B899,고객사!$A$5:$A$104,0)),""))</f>
        <v/>
      </c>
      <c r="K899" s="16"/>
      <c r="L899" s="22" t="str">
        <f aca="false">IF($B899="","",K899*IFERROR(INDEX(고객사!$L$5:$L$104,MATCH($B899,고객사!$A$5:$A$104,0)),0))</f>
        <v/>
      </c>
      <c r="M899" s="23" t="str">
        <f aca="false">IF($B899="","",IF(AND(J899="N",G899&gt;0,K899=0,IFERROR(INDEX(고객사!$H$5:$H$104,MATCH($B899,고객사!$A$5:$A$104,0)),"")="자사 차량 운행"),"차량 미배정",""))</f>
        <v/>
      </c>
      <c r="N899" s="22" t="str">
        <f aca="false">IF($B899="","",IFERROR(INDEX(고객사!$J$5:$J$104,MATCH($B899,고객사!$A$5:$A$104,0)),0))</f>
        <v/>
      </c>
      <c r="O899" s="22" t="str">
        <f aca="false">IF($B899="","",G899*N899)</f>
        <v/>
      </c>
      <c r="P899" s="22" t="str">
        <f aca="false">IF($B899="","",IFERROR(INDEX(고객사!$K$5:$K$104,MATCH($B899,고객사!$A$5:$A$104,0)),0))</f>
        <v/>
      </c>
      <c r="Q899" s="22" t="str">
        <f aca="false">IF($B899="","",G899*P899)</f>
        <v/>
      </c>
      <c r="R899" s="22" t="str">
        <f aca="false">IF($B899="","",O899-Q899-L899)</f>
        <v/>
      </c>
      <c r="S899" s="21" t="str">
        <f aca="false">IF(OR($B899="",N(O899)=0),"",R899/O899)</f>
        <v/>
      </c>
      <c r="T899" s="14"/>
      <c r="U899" s="19" t="n">
        <f aca="false">IF(OR($B899="",$A899=""),0,IF(COUNTIFS($A$5:$A899,$A899,$B$5:$B899,$B899)=1,1,0))</f>
        <v>0</v>
      </c>
    </row>
    <row r="900" customFormat="false" ht="15" hidden="false" customHeight="false" outlineLevel="0" collapsed="false">
      <c r="A900" s="17"/>
      <c r="B900" s="13"/>
      <c r="C900" s="20" t="str">
        <f aca="false">IF($B900="","",IFERROR(INDEX(고객사!$B$5:$B$104,MATCH($B900,고객사!$A$5:$A$104,0)),"코드 확인"))</f>
        <v/>
      </c>
      <c r="D900" s="15"/>
      <c r="E900" s="15"/>
      <c r="F900" s="16"/>
      <c r="G900" s="16"/>
      <c r="H900" s="21" t="str">
        <f aca="false">IF(OR($B900="",F900=0),"",G900/F900)</f>
        <v/>
      </c>
      <c r="I900" s="22" t="str">
        <f aca="false">IF($B900="","",MAX(F900-G900,0))</f>
        <v/>
      </c>
      <c r="J900" s="23" t="str">
        <f aca="false">IF($B900="","",IFERROR(INDEX(고객사!$G$5:$G$104,MATCH($B900,고객사!$A$5:$A$104,0)),""))</f>
        <v/>
      </c>
      <c r="K900" s="16"/>
      <c r="L900" s="22" t="str">
        <f aca="false">IF($B900="","",K900*IFERROR(INDEX(고객사!$L$5:$L$104,MATCH($B900,고객사!$A$5:$A$104,0)),0))</f>
        <v/>
      </c>
      <c r="M900" s="23" t="str">
        <f aca="false">IF($B900="","",IF(AND(J900="N",G900&gt;0,K900=0,IFERROR(INDEX(고객사!$H$5:$H$104,MATCH($B900,고객사!$A$5:$A$104,0)),"")="자사 차량 운행"),"차량 미배정",""))</f>
        <v/>
      </c>
      <c r="N900" s="22" t="str">
        <f aca="false">IF($B900="","",IFERROR(INDEX(고객사!$J$5:$J$104,MATCH($B900,고객사!$A$5:$A$104,0)),0))</f>
        <v/>
      </c>
      <c r="O900" s="22" t="str">
        <f aca="false">IF($B900="","",G900*N900)</f>
        <v/>
      </c>
      <c r="P900" s="22" t="str">
        <f aca="false">IF($B900="","",IFERROR(INDEX(고객사!$K$5:$K$104,MATCH($B900,고객사!$A$5:$A$104,0)),0))</f>
        <v/>
      </c>
      <c r="Q900" s="22" t="str">
        <f aca="false">IF($B900="","",G900*P900)</f>
        <v/>
      </c>
      <c r="R900" s="22" t="str">
        <f aca="false">IF($B900="","",O900-Q900-L900)</f>
        <v/>
      </c>
      <c r="S900" s="21" t="str">
        <f aca="false">IF(OR($B900="",N(O900)=0),"",R900/O900)</f>
        <v/>
      </c>
      <c r="T900" s="14"/>
      <c r="U900" s="19" t="n">
        <f aca="false">IF(OR($B900="",$A900=""),0,IF(COUNTIFS($A$5:$A900,$A900,$B$5:$B900,$B900)=1,1,0))</f>
        <v>0</v>
      </c>
    </row>
    <row r="901" customFormat="false" ht="15" hidden="false" customHeight="false" outlineLevel="0" collapsed="false">
      <c r="A901" s="17"/>
      <c r="B901" s="13"/>
      <c r="C901" s="20" t="str">
        <f aca="false">IF($B901="","",IFERROR(INDEX(고객사!$B$5:$B$104,MATCH($B901,고객사!$A$5:$A$104,0)),"코드 확인"))</f>
        <v/>
      </c>
      <c r="D901" s="15"/>
      <c r="E901" s="15"/>
      <c r="F901" s="16"/>
      <c r="G901" s="16"/>
      <c r="H901" s="21" t="str">
        <f aca="false">IF(OR($B901="",F901=0),"",G901/F901)</f>
        <v/>
      </c>
      <c r="I901" s="22" t="str">
        <f aca="false">IF($B901="","",MAX(F901-G901,0))</f>
        <v/>
      </c>
      <c r="J901" s="23" t="str">
        <f aca="false">IF($B901="","",IFERROR(INDEX(고객사!$G$5:$G$104,MATCH($B901,고객사!$A$5:$A$104,0)),""))</f>
        <v/>
      </c>
      <c r="K901" s="16"/>
      <c r="L901" s="22" t="str">
        <f aca="false">IF($B901="","",K901*IFERROR(INDEX(고객사!$L$5:$L$104,MATCH($B901,고객사!$A$5:$A$104,0)),0))</f>
        <v/>
      </c>
      <c r="M901" s="23" t="str">
        <f aca="false">IF($B901="","",IF(AND(J901="N",G901&gt;0,K901=0,IFERROR(INDEX(고객사!$H$5:$H$104,MATCH($B901,고객사!$A$5:$A$104,0)),"")="자사 차량 운행"),"차량 미배정",""))</f>
        <v/>
      </c>
      <c r="N901" s="22" t="str">
        <f aca="false">IF($B901="","",IFERROR(INDEX(고객사!$J$5:$J$104,MATCH($B901,고객사!$A$5:$A$104,0)),0))</f>
        <v/>
      </c>
      <c r="O901" s="22" t="str">
        <f aca="false">IF($B901="","",G901*N901)</f>
        <v/>
      </c>
      <c r="P901" s="22" t="str">
        <f aca="false">IF($B901="","",IFERROR(INDEX(고객사!$K$5:$K$104,MATCH($B901,고객사!$A$5:$A$104,0)),0))</f>
        <v/>
      </c>
      <c r="Q901" s="22" t="str">
        <f aca="false">IF($B901="","",G901*P901)</f>
        <v/>
      </c>
      <c r="R901" s="22" t="str">
        <f aca="false">IF($B901="","",O901-Q901-L901)</f>
        <v/>
      </c>
      <c r="S901" s="21" t="str">
        <f aca="false">IF(OR($B901="",N(O901)=0),"",R901/O901)</f>
        <v/>
      </c>
      <c r="T901" s="14"/>
      <c r="U901" s="19" t="n">
        <f aca="false">IF(OR($B901="",$A901=""),0,IF(COUNTIFS($A$5:$A901,$A901,$B$5:$B901,$B901)=1,1,0))</f>
        <v>0</v>
      </c>
    </row>
    <row r="902" customFormat="false" ht="15" hidden="false" customHeight="false" outlineLevel="0" collapsed="false">
      <c r="A902" s="17"/>
      <c r="B902" s="13"/>
      <c r="C902" s="20" t="str">
        <f aca="false">IF($B902="","",IFERROR(INDEX(고객사!$B$5:$B$104,MATCH($B902,고객사!$A$5:$A$104,0)),"코드 확인"))</f>
        <v/>
      </c>
      <c r="D902" s="15"/>
      <c r="E902" s="15"/>
      <c r="F902" s="16"/>
      <c r="G902" s="16"/>
      <c r="H902" s="21" t="str">
        <f aca="false">IF(OR($B902="",F902=0),"",G902/F902)</f>
        <v/>
      </c>
      <c r="I902" s="22" t="str">
        <f aca="false">IF($B902="","",MAX(F902-G902,0))</f>
        <v/>
      </c>
      <c r="J902" s="23" t="str">
        <f aca="false">IF($B902="","",IFERROR(INDEX(고객사!$G$5:$G$104,MATCH($B902,고객사!$A$5:$A$104,0)),""))</f>
        <v/>
      </c>
      <c r="K902" s="16"/>
      <c r="L902" s="22" t="str">
        <f aca="false">IF($B902="","",K902*IFERROR(INDEX(고객사!$L$5:$L$104,MATCH($B902,고객사!$A$5:$A$104,0)),0))</f>
        <v/>
      </c>
      <c r="M902" s="23" t="str">
        <f aca="false">IF($B902="","",IF(AND(J902="N",G902&gt;0,K902=0,IFERROR(INDEX(고객사!$H$5:$H$104,MATCH($B902,고객사!$A$5:$A$104,0)),"")="자사 차량 운행"),"차량 미배정",""))</f>
        <v/>
      </c>
      <c r="N902" s="22" t="str">
        <f aca="false">IF($B902="","",IFERROR(INDEX(고객사!$J$5:$J$104,MATCH($B902,고객사!$A$5:$A$104,0)),0))</f>
        <v/>
      </c>
      <c r="O902" s="22" t="str">
        <f aca="false">IF($B902="","",G902*N902)</f>
        <v/>
      </c>
      <c r="P902" s="22" t="str">
        <f aca="false">IF($B902="","",IFERROR(INDEX(고객사!$K$5:$K$104,MATCH($B902,고객사!$A$5:$A$104,0)),0))</f>
        <v/>
      </c>
      <c r="Q902" s="22" t="str">
        <f aca="false">IF($B902="","",G902*P902)</f>
        <v/>
      </c>
      <c r="R902" s="22" t="str">
        <f aca="false">IF($B902="","",O902-Q902-L902)</f>
        <v/>
      </c>
      <c r="S902" s="21" t="str">
        <f aca="false">IF(OR($B902="",N(O902)=0),"",R902/O902)</f>
        <v/>
      </c>
      <c r="T902" s="14"/>
      <c r="U902" s="19" t="n">
        <f aca="false">IF(OR($B902="",$A902=""),0,IF(COUNTIFS($A$5:$A902,$A902,$B$5:$B902,$B902)=1,1,0))</f>
        <v>0</v>
      </c>
    </row>
    <row r="903" customFormat="false" ht="15" hidden="false" customHeight="false" outlineLevel="0" collapsed="false">
      <c r="A903" s="17"/>
      <c r="B903" s="13"/>
      <c r="C903" s="20" t="str">
        <f aca="false">IF($B903="","",IFERROR(INDEX(고객사!$B$5:$B$104,MATCH($B903,고객사!$A$5:$A$104,0)),"코드 확인"))</f>
        <v/>
      </c>
      <c r="D903" s="15"/>
      <c r="E903" s="15"/>
      <c r="F903" s="16"/>
      <c r="G903" s="16"/>
      <c r="H903" s="21" t="str">
        <f aca="false">IF(OR($B903="",F903=0),"",G903/F903)</f>
        <v/>
      </c>
      <c r="I903" s="22" t="str">
        <f aca="false">IF($B903="","",MAX(F903-G903,0))</f>
        <v/>
      </c>
      <c r="J903" s="23" t="str">
        <f aca="false">IF($B903="","",IFERROR(INDEX(고객사!$G$5:$G$104,MATCH($B903,고객사!$A$5:$A$104,0)),""))</f>
        <v/>
      </c>
      <c r="K903" s="16"/>
      <c r="L903" s="22" t="str">
        <f aca="false">IF($B903="","",K903*IFERROR(INDEX(고객사!$L$5:$L$104,MATCH($B903,고객사!$A$5:$A$104,0)),0))</f>
        <v/>
      </c>
      <c r="M903" s="23" t="str">
        <f aca="false">IF($B903="","",IF(AND(J903="N",G903&gt;0,K903=0,IFERROR(INDEX(고객사!$H$5:$H$104,MATCH($B903,고객사!$A$5:$A$104,0)),"")="자사 차량 운행"),"차량 미배정",""))</f>
        <v/>
      </c>
      <c r="N903" s="22" t="str">
        <f aca="false">IF($B903="","",IFERROR(INDEX(고객사!$J$5:$J$104,MATCH($B903,고객사!$A$5:$A$104,0)),0))</f>
        <v/>
      </c>
      <c r="O903" s="22" t="str">
        <f aca="false">IF($B903="","",G903*N903)</f>
        <v/>
      </c>
      <c r="P903" s="22" t="str">
        <f aca="false">IF($B903="","",IFERROR(INDEX(고객사!$K$5:$K$104,MATCH($B903,고객사!$A$5:$A$104,0)),0))</f>
        <v/>
      </c>
      <c r="Q903" s="22" t="str">
        <f aca="false">IF($B903="","",G903*P903)</f>
        <v/>
      </c>
      <c r="R903" s="22" t="str">
        <f aca="false">IF($B903="","",O903-Q903-L903)</f>
        <v/>
      </c>
      <c r="S903" s="21" t="str">
        <f aca="false">IF(OR($B903="",N(O903)=0),"",R903/O903)</f>
        <v/>
      </c>
      <c r="T903" s="14"/>
      <c r="U903" s="19" t="n">
        <f aca="false">IF(OR($B903="",$A903=""),0,IF(COUNTIFS($A$5:$A903,$A903,$B$5:$B903,$B903)=1,1,0))</f>
        <v>0</v>
      </c>
    </row>
    <row r="904" customFormat="false" ht="15" hidden="false" customHeight="false" outlineLevel="0" collapsed="false">
      <c r="A904" s="17"/>
      <c r="B904" s="13"/>
      <c r="C904" s="20" t="str">
        <f aca="false">IF($B904="","",IFERROR(INDEX(고객사!$B$5:$B$104,MATCH($B904,고객사!$A$5:$A$104,0)),"코드 확인"))</f>
        <v/>
      </c>
      <c r="D904" s="15"/>
      <c r="E904" s="15"/>
      <c r="F904" s="16"/>
      <c r="G904" s="16"/>
      <c r="H904" s="21" t="str">
        <f aca="false">IF(OR($B904="",F904=0),"",G904/F904)</f>
        <v/>
      </c>
      <c r="I904" s="22" t="str">
        <f aca="false">IF($B904="","",MAX(F904-G904,0))</f>
        <v/>
      </c>
      <c r="J904" s="23" t="str">
        <f aca="false">IF($B904="","",IFERROR(INDEX(고객사!$G$5:$G$104,MATCH($B904,고객사!$A$5:$A$104,0)),""))</f>
        <v/>
      </c>
      <c r="K904" s="16"/>
      <c r="L904" s="22" t="str">
        <f aca="false">IF($B904="","",K904*IFERROR(INDEX(고객사!$L$5:$L$104,MATCH($B904,고객사!$A$5:$A$104,0)),0))</f>
        <v/>
      </c>
      <c r="M904" s="23" t="str">
        <f aca="false">IF($B904="","",IF(AND(J904="N",G904&gt;0,K904=0,IFERROR(INDEX(고객사!$H$5:$H$104,MATCH($B904,고객사!$A$5:$A$104,0)),"")="자사 차량 운행"),"차량 미배정",""))</f>
        <v/>
      </c>
      <c r="N904" s="22" t="str">
        <f aca="false">IF($B904="","",IFERROR(INDEX(고객사!$J$5:$J$104,MATCH($B904,고객사!$A$5:$A$104,0)),0))</f>
        <v/>
      </c>
      <c r="O904" s="22" t="str">
        <f aca="false">IF($B904="","",G904*N904)</f>
        <v/>
      </c>
      <c r="P904" s="22" t="str">
        <f aca="false">IF($B904="","",IFERROR(INDEX(고객사!$K$5:$K$104,MATCH($B904,고객사!$A$5:$A$104,0)),0))</f>
        <v/>
      </c>
      <c r="Q904" s="22" t="str">
        <f aca="false">IF($B904="","",G904*P904)</f>
        <v/>
      </c>
      <c r="R904" s="22" t="str">
        <f aca="false">IF($B904="","",O904-Q904-L904)</f>
        <v/>
      </c>
      <c r="S904" s="21" t="str">
        <f aca="false">IF(OR($B904="",N(O904)=0),"",R904/O904)</f>
        <v/>
      </c>
      <c r="T904" s="14"/>
      <c r="U904" s="19" t="n">
        <f aca="false">IF(OR($B904="",$A904=""),0,IF(COUNTIFS($A$5:$A904,$A904,$B$5:$B904,$B904)=1,1,0))</f>
        <v>0</v>
      </c>
    </row>
    <row r="905" customFormat="false" ht="15" hidden="false" customHeight="false" outlineLevel="0" collapsed="false">
      <c r="A905" s="17"/>
      <c r="B905" s="13"/>
      <c r="C905" s="20" t="str">
        <f aca="false">IF($B905="","",IFERROR(INDEX(고객사!$B$5:$B$104,MATCH($B905,고객사!$A$5:$A$104,0)),"코드 확인"))</f>
        <v/>
      </c>
      <c r="D905" s="15"/>
      <c r="E905" s="15"/>
      <c r="F905" s="16"/>
      <c r="G905" s="16"/>
      <c r="H905" s="21" t="str">
        <f aca="false">IF(OR($B905="",F905=0),"",G905/F905)</f>
        <v/>
      </c>
      <c r="I905" s="22" t="str">
        <f aca="false">IF($B905="","",MAX(F905-G905,0))</f>
        <v/>
      </c>
      <c r="J905" s="23" t="str">
        <f aca="false">IF($B905="","",IFERROR(INDEX(고객사!$G$5:$G$104,MATCH($B905,고객사!$A$5:$A$104,0)),""))</f>
        <v/>
      </c>
      <c r="K905" s="16"/>
      <c r="L905" s="22" t="str">
        <f aca="false">IF($B905="","",K905*IFERROR(INDEX(고객사!$L$5:$L$104,MATCH($B905,고객사!$A$5:$A$104,0)),0))</f>
        <v/>
      </c>
      <c r="M905" s="23" t="str">
        <f aca="false">IF($B905="","",IF(AND(J905="N",G905&gt;0,K905=0,IFERROR(INDEX(고객사!$H$5:$H$104,MATCH($B905,고객사!$A$5:$A$104,0)),"")="자사 차량 운행"),"차량 미배정",""))</f>
        <v/>
      </c>
      <c r="N905" s="22" t="str">
        <f aca="false">IF($B905="","",IFERROR(INDEX(고객사!$J$5:$J$104,MATCH($B905,고객사!$A$5:$A$104,0)),0))</f>
        <v/>
      </c>
      <c r="O905" s="22" t="str">
        <f aca="false">IF($B905="","",G905*N905)</f>
        <v/>
      </c>
      <c r="P905" s="22" t="str">
        <f aca="false">IF($B905="","",IFERROR(INDEX(고객사!$K$5:$K$104,MATCH($B905,고객사!$A$5:$A$104,0)),0))</f>
        <v/>
      </c>
      <c r="Q905" s="22" t="str">
        <f aca="false">IF($B905="","",G905*P905)</f>
        <v/>
      </c>
      <c r="R905" s="22" t="str">
        <f aca="false">IF($B905="","",O905-Q905-L905)</f>
        <v/>
      </c>
      <c r="S905" s="21" t="str">
        <f aca="false">IF(OR($B905="",N(O905)=0),"",R905/O905)</f>
        <v/>
      </c>
      <c r="T905" s="14"/>
      <c r="U905" s="19" t="n">
        <f aca="false">IF(OR($B905="",$A905=""),0,IF(COUNTIFS($A$5:$A905,$A905,$B$5:$B905,$B905)=1,1,0))</f>
        <v>0</v>
      </c>
    </row>
    <row r="906" customFormat="false" ht="15" hidden="false" customHeight="false" outlineLevel="0" collapsed="false">
      <c r="A906" s="17"/>
      <c r="B906" s="13"/>
      <c r="C906" s="20" t="str">
        <f aca="false">IF($B906="","",IFERROR(INDEX(고객사!$B$5:$B$104,MATCH($B906,고객사!$A$5:$A$104,0)),"코드 확인"))</f>
        <v/>
      </c>
      <c r="D906" s="15"/>
      <c r="E906" s="15"/>
      <c r="F906" s="16"/>
      <c r="G906" s="16"/>
      <c r="H906" s="21" t="str">
        <f aca="false">IF(OR($B906="",F906=0),"",G906/F906)</f>
        <v/>
      </c>
      <c r="I906" s="22" t="str">
        <f aca="false">IF($B906="","",MAX(F906-G906,0))</f>
        <v/>
      </c>
      <c r="J906" s="23" t="str">
        <f aca="false">IF($B906="","",IFERROR(INDEX(고객사!$G$5:$G$104,MATCH($B906,고객사!$A$5:$A$104,0)),""))</f>
        <v/>
      </c>
      <c r="K906" s="16"/>
      <c r="L906" s="22" t="str">
        <f aca="false">IF($B906="","",K906*IFERROR(INDEX(고객사!$L$5:$L$104,MATCH($B906,고객사!$A$5:$A$104,0)),0))</f>
        <v/>
      </c>
      <c r="M906" s="23" t="str">
        <f aca="false">IF($B906="","",IF(AND(J906="N",G906&gt;0,K906=0,IFERROR(INDEX(고객사!$H$5:$H$104,MATCH($B906,고객사!$A$5:$A$104,0)),"")="자사 차량 운행"),"차량 미배정",""))</f>
        <v/>
      </c>
      <c r="N906" s="22" t="str">
        <f aca="false">IF($B906="","",IFERROR(INDEX(고객사!$J$5:$J$104,MATCH($B906,고객사!$A$5:$A$104,0)),0))</f>
        <v/>
      </c>
      <c r="O906" s="22" t="str">
        <f aca="false">IF($B906="","",G906*N906)</f>
        <v/>
      </c>
      <c r="P906" s="22" t="str">
        <f aca="false">IF($B906="","",IFERROR(INDEX(고객사!$K$5:$K$104,MATCH($B906,고객사!$A$5:$A$104,0)),0))</f>
        <v/>
      </c>
      <c r="Q906" s="22" t="str">
        <f aca="false">IF($B906="","",G906*P906)</f>
        <v/>
      </c>
      <c r="R906" s="22" t="str">
        <f aca="false">IF($B906="","",O906-Q906-L906)</f>
        <v/>
      </c>
      <c r="S906" s="21" t="str">
        <f aca="false">IF(OR($B906="",N(O906)=0),"",R906/O906)</f>
        <v/>
      </c>
      <c r="T906" s="14"/>
      <c r="U906" s="19" t="n">
        <f aca="false">IF(OR($B906="",$A906=""),0,IF(COUNTIFS($A$5:$A906,$A906,$B$5:$B906,$B906)=1,1,0))</f>
        <v>0</v>
      </c>
    </row>
    <row r="907" customFormat="false" ht="15" hidden="false" customHeight="false" outlineLevel="0" collapsed="false">
      <c r="A907" s="17"/>
      <c r="B907" s="13"/>
      <c r="C907" s="20" t="str">
        <f aca="false">IF($B907="","",IFERROR(INDEX(고객사!$B$5:$B$104,MATCH($B907,고객사!$A$5:$A$104,0)),"코드 확인"))</f>
        <v/>
      </c>
      <c r="D907" s="15"/>
      <c r="E907" s="15"/>
      <c r="F907" s="16"/>
      <c r="G907" s="16"/>
      <c r="H907" s="21" t="str">
        <f aca="false">IF(OR($B907="",F907=0),"",G907/F907)</f>
        <v/>
      </c>
      <c r="I907" s="22" t="str">
        <f aca="false">IF($B907="","",MAX(F907-G907,0))</f>
        <v/>
      </c>
      <c r="J907" s="23" t="str">
        <f aca="false">IF($B907="","",IFERROR(INDEX(고객사!$G$5:$G$104,MATCH($B907,고객사!$A$5:$A$104,0)),""))</f>
        <v/>
      </c>
      <c r="K907" s="16"/>
      <c r="L907" s="22" t="str">
        <f aca="false">IF($B907="","",K907*IFERROR(INDEX(고객사!$L$5:$L$104,MATCH($B907,고객사!$A$5:$A$104,0)),0))</f>
        <v/>
      </c>
      <c r="M907" s="23" t="str">
        <f aca="false">IF($B907="","",IF(AND(J907="N",G907&gt;0,K907=0,IFERROR(INDEX(고객사!$H$5:$H$104,MATCH($B907,고객사!$A$5:$A$104,0)),"")="자사 차량 운행"),"차량 미배정",""))</f>
        <v/>
      </c>
      <c r="N907" s="22" t="str">
        <f aca="false">IF($B907="","",IFERROR(INDEX(고객사!$J$5:$J$104,MATCH($B907,고객사!$A$5:$A$104,0)),0))</f>
        <v/>
      </c>
      <c r="O907" s="22" t="str">
        <f aca="false">IF($B907="","",G907*N907)</f>
        <v/>
      </c>
      <c r="P907" s="22" t="str">
        <f aca="false">IF($B907="","",IFERROR(INDEX(고객사!$K$5:$K$104,MATCH($B907,고객사!$A$5:$A$104,0)),0))</f>
        <v/>
      </c>
      <c r="Q907" s="22" t="str">
        <f aca="false">IF($B907="","",G907*P907)</f>
        <v/>
      </c>
      <c r="R907" s="22" t="str">
        <f aca="false">IF($B907="","",O907-Q907-L907)</f>
        <v/>
      </c>
      <c r="S907" s="21" t="str">
        <f aca="false">IF(OR($B907="",N(O907)=0),"",R907/O907)</f>
        <v/>
      </c>
      <c r="T907" s="14"/>
      <c r="U907" s="19" t="n">
        <f aca="false">IF(OR($B907="",$A907=""),0,IF(COUNTIFS($A$5:$A907,$A907,$B$5:$B907,$B907)=1,1,0))</f>
        <v>0</v>
      </c>
    </row>
    <row r="908" customFormat="false" ht="15" hidden="false" customHeight="false" outlineLevel="0" collapsed="false">
      <c r="A908" s="17"/>
      <c r="B908" s="13"/>
      <c r="C908" s="20" t="str">
        <f aca="false">IF($B908="","",IFERROR(INDEX(고객사!$B$5:$B$104,MATCH($B908,고객사!$A$5:$A$104,0)),"코드 확인"))</f>
        <v/>
      </c>
      <c r="D908" s="15"/>
      <c r="E908" s="15"/>
      <c r="F908" s="16"/>
      <c r="G908" s="16"/>
      <c r="H908" s="21" t="str">
        <f aca="false">IF(OR($B908="",F908=0),"",G908/F908)</f>
        <v/>
      </c>
      <c r="I908" s="22" t="str">
        <f aca="false">IF($B908="","",MAX(F908-G908,0))</f>
        <v/>
      </c>
      <c r="J908" s="23" t="str">
        <f aca="false">IF($B908="","",IFERROR(INDEX(고객사!$G$5:$G$104,MATCH($B908,고객사!$A$5:$A$104,0)),""))</f>
        <v/>
      </c>
      <c r="K908" s="16"/>
      <c r="L908" s="22" t="str">
        <f aca="false">IF($B908="","",K908*IFERROR(INDEX(고객사!$L$5:$L$104,MATCH($B908,고객사!$A$5:$A$104,0)),0))</f>
        <v/>
      </c>
      <c r="M908" s="23" t="str">
        <f aca="false">IF($B908="","",IF(AND(J908="N",G908&gt;0,K908=0,IFERROR(INDEX(고객사!$H$5:$H$104,MATCH($B908,고객사!$A$5:$A$104,0)),"")="자사 차량 운행"),"차량 미배정",""))</f>
        <v/>
      </c>
      <c r="N908" s="22" t="str">
        <f aca="false">IF($B908="","",IFERROR(INDEX(고객사!$J$5:$J$104,MATCH($B908,고객사!$A$5:$A$104,0)),0))</f>
        <v/>
      </c>
      <c r="O908" s="22" t="str">
        <f aca="false">IF($B908="","",G908*N908)</f>
        <v/>
      </c>
      <c r="P908" s="22" t="str">
        <f aca="false">IF($B908="","",IFERROR(INDEX(고객사!$K$5:$K$104,MATCH($B908,고객사!$A$5:$A$104,0)),0))</f>
        <v/>
      </c>
      <c r="Q908" s="22" t="str">
        <f aca="false">IF($B908="","",G908*P908)</f>
        <v/>
      </c>
      <c r="R908" s="22" t="str">
        <f aca="false">IF($B908="","",O908-Q908-L908)</f>
        <v/>
      </c>
      <c r="S908" s="21" t="str">
        <f aca="false">IF(OR($B908="",N(O908)=0),"",R908/O908)</f>
        <v/>
      </c>
      <c r="T908" s="14"/>
      <c r="U908" s="19" t="n">
        <f aca="false">IF(OR($B908="",$A908=""),0,IF(COUNTIFS($A$5:$A908,$A908,$B$5:$B908,$B908)=1,1,0))</f>
        <v>0</v>
      </c>
    </row>
    <row r="909" customFormat="false" ht="15" hidden="false" customHeight="false" outlineLevel="0" collapsed="false">
      <c r="A909" s="17"/>
      <c r="B909" s="13"/>
      <c r="C909" s="20" t="str">
        <f aca="false">IF($B909="","",IFERROR(INDEX(고객사!$B$5:$B$104,MATCH($B909,고객사!$A$5:$A$104,0)),"코드 확인"))</f>
        <v/>
      </c>
      <c r="D909" s="15"/>
      <c r="E909" s="15"/>
      <c r="F909" s="16"/>
      <c r="G909" s="16"/>
      <c r="H909" s="21" t="str">
        <f aca="false">IF(OR($B909="",F909=0),"",G909/F909)</f>
        <v/>
      </c>
      <c r="I909" s="22" t="str">
        <f aca="false">IF($B909="","",MAX(F909-G909,0))</f>
        <v/>
      </c>
      <c r="J909" s="23" t="str">
        <f aca="false">IF($B909="","",IFERROR(INDEX(고객사!$G$5:$G$104,MATCH($B909,고객사!$A$5:$A$104,0)),""))</f>
        <v/>
      </c>
      <c r="K909" s="16"/>
      <c r="L909" s="22" t="str">
        <f aca="false">IF($B909="","",K909*IFERROR(INDEX(고객사!$L$5:$L$104,MATCH($B909,고객사!$A$5:$A$104,0)),0))</f>
        <v/>
      </c>
      <c r="M909" s="23" t="str">
        <f aca="false">IF($B909="","",IF(AND(J909="N",G909&gt;0,K909=0,IFERROR(INDEX(고객사!$H$5:$H$104,MATCH($B909,고객사!$A$5:$A$104,0)),"")="자사 차량 운행"),"차량 미배정",""))</f>
        <v/>
      </c>
      <c r="N909" s="22" t="str">
        <f aca="false">IF($B909="","",IFERROR(INDEX(고객사!$J$5:$J$104,MATCH($B909,고객사!$A$5:$A$104,0)),0))</f>
        <v/>
      </c>
      <c r="O909" s="22" t="str">
        <f aca="false">IF($B909="","",G909*N909)</f>
        <v/>
      </c>
      <c r="P909" s="22" t="str">
        <f aca="false">IF($B909="","",IFERROR(INDEX(고객사!$K$5:$K$104,MATCH($B909,고객사!$A$5:$A$104,0)),0))</f>
        <v/>
      </c>
      <c r="Q909" s="22" t="str">
        <f aca="false">IF($B909="","",G909*P909)</f>
        <v/>
      </c>
      <c r="R909" s="22" t="str">
        <f aca="false">IF($B909="","",O909-Q909-L909)</f>
        <v/>
      </c>
      <c r="S909" s="21" t="str">
        <f aca="false">IF(OR($B909="",N(O909)=0),"",R909/O909)</f>
        <v/>
      </c>
      <c r="T909" s="14"/>
      <c r="U909" s="19" t="n">
        <f aca="false">IF(OR($B909="",$A909=""),0,IF(COUNTIFS($A$5:$A909,$A909,$B$5:$B909,$B909)=1,1,0))</f>
        <v>0</v>
      </c>
    </row>
    <row r="910" customFormat="false" ht="15" hidden="false" customHeight="false" outlineLevel="0" collapsed="false">
      <c r="A910" s="17"/>
      <c r="B910" s="13"/>
      <c r="C910" s="20" t="str">
        <f aca="false">IF($B910="","",IFERROR(INDEX(고객사!$B$5:$B$104,MATCH($B910,고객사!$A$5:$A$104,0)),"코드 확인"))</f>
        <v/>
      </c>
      <c r="D910" s="15"/>
      <c r="E910" s="15"/>
      <c r="F910" s="16"/>
      <c r="G910" s="16"/>
      <c r="H910" s="21" t="str">
        <f aca="false">IF(OR($B910="",F910=0),"",G910/F910)</f>
        <v/>
      </c>
      <c r="I910" s="22" t="str">
        <f aca="false">IF($B910="","",MAX(F910-G910,0))</f>
        <v/>
      </c>
      <c r="J910" s="23" t="str">
        <f aca="false">IF($B910="","",IFERROR(INDEX(고객사!$G$5:$G$104,MATCH($B910,고객사!$A$5:$A$104,0)),""))</f>
        <v/>
      </c>
      <c r="K910" s="16"/>
      <c r="L910" s="22" t="str">
        <f aca="false">IF($B910="","",K910*IFERROR(INDEX(고객사!$L$5:$L$104,MATCH($B910,고객사!$A$5:$A$104,0)),0))</f>
        <v/>
      </c>
      <c r="M910" s="23" t="str">
        <f aca="false">IF($B910="","",IF(AND(J910="N",G910&gt;0,K910=0,IFERROR(INDEX(고객사!$H$5:$H$104,MATCH($B910,고객사!$A$5:$A$104,0)),"")="자사 차량 운행"),"차량 미배정",""))</f>
        <v/>
      </c>
      <c r="N910" s="22" t="str">
        <f aca="false">IF($B910="","",IFERROR(INDEX(고객사!$J$5:$J$104,MATCH($B910,고객사!$A$5:$A$104,0)),0))</f>
        <v/>
      </c>
      <c r="O910" s="22" t="str">
        <f aca="false">IF($B910="","",G910*N910)</f>
        <v/>
      </c>
      <c r="P910" s="22" t="str">
        <f aca="false">IF($B910="","",IFERROR(INDEX(고객사!$K$5:$K$104,MATCH($B910,고객사!$A$5:$A$104,0)),0))</f>
        <v/>
      </c>
      <c r="Q910" s="22" t="str">
        <f aca="false">IF($B910="","",G910*P910)</f>
        <v/>
      </c>
      <c r="R910" s="22" t="str">
        <f aca="false">IF($B910="","",O910-Q910-L910)</f>
        <v/>
      </c>
      <c r="S910" s="21" t="str">
        <f aca="false">IF(OR($B910="",N(O910)=0),"",R910/O910)</f>
        <v/>
      </c>
      <c r="T910" s="14"/>
      <c r="U910" s="19" t="n">
        <f aca="false">IF(OR($B910="",$A910=""),0,IF(COUNTIFS($A$5:$A910,$A910,$B$5:$B910,$B910)=1,1,0))</f>
        <v>0</v>
      </c>
    </row>
    <row r="911" customFormat="false" ht="15" hidden="false" customHeight="false" outlineLevel="0" collapsed="false">
      <c r="A911" s="17"/>
      <c r="B911" s="13"/>
      <c r="C911" s="20" t="str">
        <f aca="false">IF($B911="","",IFERROR(INDEX(고객사!$B$5:$B$104,MATCH($B911,고객사!$A$5:$A$104,0)),"코드 확인"))</f>
        <v/>
      </c>
      <c r="D911" s="15"/>
      <c r="E911" s="15"/>
      <c r="F911" s="16"/>
      <c r="G911" s="16"/>
      <c r="H911" s="21" t="str">
        <f aca="false">IF(OR($B911="",F911=0),"",G911/F911)</f>
        <v/>
      </c>
      <c r="I911" s="22" t="str">
        <f aca="false">IF($B911="","",MAX(F911-G911,0))</f>
        <v/>
      </c>
      <c r="J911" s="23" t="str">
        <f aca="false">IF($B911="","",IFERROR(INDEX(고객사!$G$5:$G$104,MATCH($B911,고객사!$A$5:$A$104,0)),""))</f>
        <v/>
      </c>
      <c r="K911" s="16"/>
      <c r="L911" s="22" t="str">
        <f aca="false">IF($B911="","",K911*IFERROR(INDEX(고객사!$L$5:$L$104,MATCH($B911,고객사!$A$5:$A$104,0)),0))</f>
        <v/>
      </c>
      <c r="M911" s="23" t="str">
        <f aca="false">IF($B911="","",IF(AND(J911="N",G911&gt;0,K911=0,IFERROR(INDEX(고객사!$H$5:$H$104,MATCH($B911,고객사!$A$5:$A$104,0)),"")="자사 차량 운행"),"차량 미배정",""))</f>
        <v/>
      </c>
      <c r="N911" s="22" t="str">
        <f aca="false">IF($B911="","",IFERROR(INDEX(고객사!$J$5:$J$104,MATCH($B911,고객사!$A$5:$A$104,0)),0))</f>
        <v/>
      </c>
      <c r="O911" s="22" t="str">
        <f aca="false">IF($B911="","",G911*N911)</f>
        <v/>
      </c>
      <c r="P911" s="22" t="str">
        <f aca="false">IF($B911="","",IFERROR(INDEX(고객사!$K$5:$K$104,MATCH($B911,고객사!$A$5:$A$104,0)),0))</f>
        <v/>
      </c>
      <c r="Q911" s="22" t="str">
        <f aca="false">IF($B911="","",G911*P911)</f>
        <v/>
      </c>
      <c r="R911" s="22" t="str">
        <f aca="false">IF($B911="","",O911-Q911-L911)</f>
        <v/>
      </c>
      <c r="S911" s="21" t="str">
        <f aca="false">IF(OR($B911="",N(O911)=0),"",R911/O911)</f>
        <v/>
      </c>
      <c r="T911" s="14"/>
      <c r="U911" s="19" t="n">
        <f aca="false">IF(OR($B911="",$A911=""),0,IF(COUNTIFS($A$5:$A911,$A911,$B$5:$B911,$B911)=1,1,0))</f>
        <v>0</v>
      </c>
    </row>
    <row r="912" customFormat="false" ht="15" hidden="false" customHeight="false" outlineLevel="0" collapsed="false">
      <c r="A912" s="17"/>
      <c r="B912" s="13"/>
      <c r="C912" s="20" t="str">
        <f aca="false">IF($B912="","",IFERROR(INDEX(고객사!$B$5:$B$104,MATCH($B912,고객사!$A$5:$A$104,0)),"코드 확인"))</f>
        <v/>
      </c>
      <c r="D912" s="15"/>
      <c r="E912" s="15"/>
      <c r="F912" s="16"/>
      <c r="G912" s="16"/>
      <c r="H912" s="21" t="str">
        <f aca="false">IF(OR($B912="",F912=0),"",G912/F912)</f>
        <v/>
      </c>
      <c r="I912" s="22" t="str">
        <f aca="false">IF($B912="","",MAX(F912-G912,0))</f>
        <v/>
      </c>
      <c r="J912" s="23" t="str">
        <f aca="false">IF($B912="","",IFERROR(INDEX(고객사!$G$5:$G$104,MATCH($B912,고객사!$A$5:$A$104,0)),""))</f>
        <v/>
      </c>
      <c r="K912" s="16"/>
      <c r="L912" s="22" t="str">
        <f aca="false">IF($B912="","",K912*IFERROR(INDEX(고객사!$L$5:$L$104,MATCH($B912,고객사!$A$5:$A$104,0)),0))</f>
        <v/>
      </c>
      <c r="M912" s="23" t="str">
        <f aca="false">IF($B912="","",IF(AND(J912="N",G912&gt;0,K912=0,IFERROR(INDEX(고객사!$H$5:$H$104,MATCH($B912,고객사!$A$5:$A$104,0)),"")="자사 차량 운행"),"차량 미배정",""))</f>
        <v/>
      </c>
      <c r="N912" s="22" t="str">
        <f aca="false">IF($B912="","",IFERROR(INDEX(고객사!$J$5:$J$104,MATCH($B912,고객사!$A$5:$A$104,0)),0))</f>
        <v/>
      </c>
      <c r="O912" s="22" t="str">
        <f aca="false">IF($B912="","",G912*N912)</f>
        <v/>
      </c>
      <c r="P912" s="22" t="str">
        <f aca="false">IF($B912="","",IFERROR(INDEX(고객사!$K$5:$K$104,MATCH($B912,고객사!$A$5:$A$104,0)),0))</f>
        <v/>
      </c>
      <c r="Q912" s="22" t="str">
        <f aca="false">IF($B912="","",G912*P912)</f>
        <v/>
      </c>
      <c r="R912" s="22" t="str">
        <f aca="false">IF($B912="","",O912-Q912-L912)</f>
        <v/>
      </c>
      <c r="S912" s="21" t="str">
        <f aca="false">IF(OR($B912="",N(O912)=0),"",R912/O912)</f>
        <v/>
      </c>
      <c r="T912" s="14"/>
      <c r="U912" s="19" t="n">
        <f aca="false">IF(OR($B912="",$A912=""),0,IF(COUNTIFS($A$5:$A912,$A912,$B$5:$B912,$B912)=1,1,0))</f>
        <v>0</v>
      </c>
    </row>
    <row r="913" customFormat="false" ht="15" hidden="false" customHeight="false" outlineLevel="0" collapsed="false">
      <c r="A913" s="17"/>
      <c r="B913" s="13"/>
      <c r="C913" s="20" t="str">
        <f aca="false">IF($B913="","",IFERROR(INDEX(고객사!$B$5:$B$104,MATCH($B913,고객사!$A$5:$A$104,0)),"코드 확인"))</f>
        <v/>
      </c>
      <c r="D913" s="15"/>
      <c r="E913" s="15"/>
      <c r="F913" s="16"/>
      <c r="G913" s="16"/>
      <c r="H913" s="21" t="str">
        <f aca="false">IF(OR($B913="",F913=0),"",G913/F913)</f>
        <v/>
      </c>
      <c r="I913" s="22" t="str">
        <f aca="false">IF($B913="","",MAX(F913-G913,0))</f>
        <v/>
      </c>
      <c r="J913" s="23" t="str">
        <f aca="false">IF($B913="","",IFERROR(INDEX(고객사!$G$5:$G$104,MATCH($B913,고객사!$A$5:$A$104,0)),""))</f>
        <v/>
      </c>
      <c r="K913" s="16"/>
      <c r="L913" s="22" t="str">
        <f aca="false">IF($B913="","",K913*IFERROR(INDEX(고객사!$L$5:$L$104,MATCH($B913,고객사!$A$5:$A$104,0)),0))</f>
        <v/>
      </c>
      <c r="M913" s="23" t="str">
        <f aca="false">IF($B913="","",IF(AND(J913="N",G913&gt;0,K913=0,IFERROR(INDEX(고객사!$H$5:$H$104,MATCH($B913,고객사!$A$5:$A$104,0)),"")="자사 차량 운행"),"차량 미배정",""))</f>
        <v/>
      </c>
      <c r="N913" s="22" t="str">
        <f aca="false">IF($B913="","",IFERROR(INDEX(고객사!$J$5:$J$104,MATCH($B913,고객사!$A$5:$A$104,0)),0))</f>
        <v/>
      </c>
      <c r="O913" s="22" t="str">
        <f aca="false">IF($B913="","",G913*N913)</f>
        <v/>
      </c>
      <c r="P913" s="22" t="str">
        <f aca="false">IF($B913="","",IFERROR(INDEX(고객사!$K$5:$K$104,MATCH($B913,고객사!$A$5:$A$104,0)),0))</f>
        <v/>
      </c>
      <c r="Q913" s="22" t="str">
        <f aca="false">IF($B913="","",G913*P913)</f>
        <v/>
      </c>
      <c r="R913" s="22" t="str">
        <f aca="false">IF($B913="","",O913-Q913-L913)</f>
        <v/>
      </c>
      <c r="S913" s="21" t="str">
        <f aca="false">IF(OR($B913="",N(O913)=0),"",R913/O913)</f>
        <v/>
      </c>
      <c r="T913" s="14"/>
      <c r="U913" s="19" t="n">
        <f aca="false">IF(OR($B913="",$A913=""),0,IF(COUNTIFS($A$5:$A913,$A913,$B$5:$B913,$B913)=1,1,0))</f>
        <v>0</v>
      </c>
    </row>
    <row r="914" customFormat="false" ht="15" hidden="false" customHeight="false" outlineLevel="0" collapsed="false">
      <c r="A914" s="17"/>
      <c r="B914" s="13"/>
      <c r="C914" s="20" t="str">
        <f aca="false">IF($B914="","",IFERROR(INDEX(고객사!$B$5:$B$104,MATCH($B914,고객사!$A$5:$A$104,0)),"코드 확인"))</f>
        <v/>
      </c>
      <c r="D914" s="15"/>
      <c r="E914" s="15"/>
      <c r="F914" s="16"/>
      <c r="G914" s="16"/>
      <c r="H914" s="21" t="str">
        <f aca="false">IF(OR($B914="",F914=0),"",G914/F914)</f>
        <v/>
      </c>
      <c r="I914" s="22" t="str">
        <f aca="false">IF($B914="","",MAX(F914-G914,0))</f>
        <v/>
      </c>
      <c r="J914" s="23" t="str">
        <f aca="false">IF($B914="","",IFERROR(INDEX(고객사!$G$5:$G$104,MATCH($B914,고객사!$A$5:$A$104,0)),""))</f>
        <v/>
      </c>
      <c r="K914" s="16"/>
      <c r="L914" s="22" t="str">
        <f aca="false">IF($B914="","",K914*IFERROR(INDEX(고객사!$L$5:$L$104,MATCH($B914,고객사!$A$5:$A$104,0)),0))</f>
        <v/>
      </c>
      <c r="M914" s="23" t="str">
        <f aca="false">IF($B914="","",IF(AND(J914="N",G914&gt;0,K914=0,IFERROR(INDEX(고객사!$H$5:$H$104,MATCH($B914,고객사!$A$5:$A$104,0)),"")="자사 차량 운행"),"차량 미배정",""))</f>
        <v/>
      </c>
      <c r="N914" s="22" t="str">
        <f aca="false">IF($B914="","",IFERROR(INDEX(고객사!$J$5:$J$104,MATCH($B914,고객사!$A$5:$A$104,0)),0))</f>
        <v/>
      </c>
      <c r="O914" s="22" t="str">
        <f aca="false">IF($B914="","",G914*N914)</f>
        <v/>
      </c>
      <c r="P914" s="22" t="str">
        <f aca="false">IF($B914="","",IFERROR(INDEX(고객사!$K$5:$K$104,MATCH($B914,고객사!$A$5:$A$104,0)),0))</f>
        <v/>
      </c>
      <c r="Q914" s="22" t="str">
        <f aca="false">IF($B914="","",G914*P914)</f>
        <v/>
      </c>
      <c r="R914" s="22" t="str">
        <f aca="false">IF($B914="","",O914-Q914-L914)</f>
        <v/>
      </c>
      <c r="S914" s="21" t="str">
        <f aca="false">IF(OR($B914="",N(O914)=0),"",R914/O914)</f>
        <v/>
      </c>
      <c r="T914" s="14"/>
      <c r="U914" s="19" t="n">
        <f aca="false">IF(OR($B914="",$A914=""),0,IF(COUNTIFS($A$5:$A914,$A914,$B$5:$B914,$B914)=1,1,0))</f>
        <v>0</v>
      </c>
    </row>
    <row r="915" customFormat="false" ht="15" hidden="false" customHeight="false" outlineLevel="0" collapsed="false">
      <c r="A915" s="17"/>
      <c r="B915" s="13"/>
      <c r="C915" s="20" t="str">
        <f aca="false">IF($B915="","",IFERROR(INDEX(고객사!$B$5:$B$104,MATCH($B915,고객사!$A$5:$A$104,0)),"코드 확인"))</f>
        <v/>
      </c>
      <c r="D915" s="15"/>
      <c r="E915" s="15"/>
      <c r="F915" s="16"/>
      <c r="G915" s="16"/>
      <c r="H915" s="21" t="str">
        <f aca="false">IF(OR($B915="",F915=0),"",G915/F915)</f>
        <v/>
      </c>
      <c r="I915" s="22" t="str">
        <f aca="false">IF($B915="","",MAX(F915-G915,0))</f>
        <v/>
      </c>
      <c r="J915" s="23" t="str">
        <f aca="false">IF($B915="","",IFERROR(INDEX(고객사!$G$5:$G$104,MATCH($B915,고객사!$A$5:$A$104,0)),""))</f>
        <v/>
      </c>
      <c r="K915" s="16"/>
      <c r="L915" s="22" t="str">
        <f aca="false">IF($B915="","",K915*IFERROR(INDEX(고객사!$L$5:$L$104,MATCH($B915,고객사!$A$5:$A$104,0)),0))</f>
        <v/>
      </c>
      <c r="M915" s="23" t="str">
        <f aca="false">IF($B915="","",IF(AND(J915="N",G915&gt;0,K915=0,IFERROR(INDEX(고객사!$H$5:$H$104,MATCH($B915,고객사!$A$5:$A$104,0)),"")="자사 차량 운행"),"차량 미배정",""))</f>
        <v/>
      </c>
      <c r="N915" s="22" t="str">
        <f aca="false">IF($B915="","",IFERROR(INDEX(고객사!$J$5:$J$104,MATCH($B915,고객사!$A$5:$A$104,0)),0))</f>
        <v/>
      </c>
      <c r="O915" s="22" t="str">
        <f aca="false">IF($B915="","",G915*N915)</f>
        <v/>
      </c>
      <c r="P915" s="22" t="str">
        <f aca="false">IF($B915="","",IFERROR(INDEX(고객사!$K$5:$K$104,MATCH($B915,고객사!$A$5:$A$104,0)),0))</f>
        <v/>
      </c>
      <c r="Q915" s="22" t="str">
        <f aca="false">IF($B915="","",G915*P915)</f>
        <v/>
      </c>
      <c r="R915" s="22" t="str">
        <f aca="false">IF($B915="","",O915-Q915-L915)</f>
        <v/>
      </c>
      <c r="S915" s="21" t="str">
        <f aca="false">IF(OR($B915="",N(O915)=0),"",R915/O915)</f>
        <v/>
      </c>
      <c r="T915" s="14"/>
      <c r="U915" s="19" t="n">
        <f aca="false">IF(OR($B915="",$A915=""),0,IF(COUNTIFS($A$5:$A915,$A915,$B$5:$B915,$B915)=1,1,0))</f>
        <v>0</v>
      </c>
    </row>
    <row r="916" customFormat="false" ht="15" hidden="false" customHeight="false" outlineLevel="0" collapsed="false">
      <c r="A916" s="17"/>
      <c r="B916" s="13"/>
      <c r="C916" s="20" t="str">
        <f aca="false">IF($B916="","",IFERROR(INDEX(고객사!$B$5:$B$104,MATCH($B916,고객사!$A$5:$A$104,0)),"코드 확인"))</f>
        <v/>
      </c>
      <c r="D916" s="15"/>
      <c r="E916" s="15"/>
      <c r="F916" s="16"/>
      <c r="G916" s="16"/>
      <c r="H916" s="21" t="str">
        <f aca="false">IF(OR($B916="",F916=0),"",G916/F916)</f>
        <v/>
      </c>
      <c r="I916" s="22" t="str">
        <f aca="false">IF($B916="","",MAX(F916-G916,0))</f>
        <v/>
      </c>
      <c r="J916" s="23" t="str">
        <f aca="false">IF($B916="","",IFERROR(INDEX(고객사!$G$5:$G$104,MATCH($B916,고객사!$A$5:$A$104,0)),""))</f>
        <v/>
      </c>
      <c r="K916" s="16"/>
      <c r="L916" s="22" t="str">
        <f aca="false">IF($B916="","",K916*IFERROR(INDEX(고객사!$L$5:$L$104,MATCH($B916,고객사!$A$5:$A$104,0)),0))</f>
        <v/>
      </c>
      <c r="M916" s="23" t="str">
        <f aca="false">IF($B916="","",IF(AND(J916="N",G916&gt;0,K916=0,IFERROR(INDEX(고객사!$H$5:$H$104,MATCH($B916,고객사!$A$5:$A$104,0)),"")="자사 차량 운행"),"차량 미배정",""))</f>
        <v/>
      </c>
      <c r="N916" s="22" t="str">
        <f aca="false">IF($B916="","",IFERROR(INDEX(고객사!$J$5:$J$104,MATCH($B916,고객사!$A$5:$A$104,0)),0))</f>
        <v/>
      </c>
      <c r="O916" s="22" t="str">
        <f aca="false">IF($B916="","",G916*N916)</f>
        <v/>
      </c>
      <c r="P916" s="22" t="str">
        <f aca="false">IF($B916="","",IFERROR(INDEX(고객사!$K$5:$K$104,MATCH($B916,고객사!$A$5:$A$104,0)),0))</f>
        <v/>
      </c>
      <c r="Q916" s="22" t="str">
        <f aca="false">IF($B916="","",G916*P916)</f>
        <v/>
      </c>
      <c r="R916" s="22" t="str">
        <f aca="false">IF($B916="","",O916-Q916-L916)</f>
        <v/>
      </c>
      <c r="S916" s="21" t="str">
        <f aca="false">IF(OR($B916="",N(O916)=0),"",R916/O916)</f>
        <v/>
      </c>
      <c r="T916" s="14"/>
      <c r="U916" s="19" t="n">
        <f aca="false">IF(OR($B916="",$A916=""),0,IF(COUNTIFS($A$5:$A916,$A916,$B$5:$B916,$B916)=1,1,0))</f>
        <v>0</v>
      </c>
    </row>
    <row r="917" customFormat="false" ht="15" hidden="false" customHeight="false" outlineLevel="0" collapsed="false">
      <c r="A917" s="17"/>
      <c r="B917" s="13"/>
      <c r="C917" s="20" t="str">
        <f aca="false">IF($B917="","",IFERROR(INDEX(고객사!$B$5:$B$104,MATCH($B917,고객사!$A$5:$A$104,0)),"코드 확인"))</f>
        <v/>
      </c>
      <c r="D917" s="15"/>
      <c r="E917" s="15"/>
      <c r="F917" s="16"/>
      <c r="G917" s="16"/>
      <c r="H917" s="21" t="str">
        <f aca="false">IF(OR($B917="",F917=0),"",G917/F917)</f>
        <v/>
      </c>
      <c r="I917" s="22" t="str">
        <f aca="false">IF($B917="","",MAX(F917-G917,0))</f>
        <v/>
      </c>
      <c r="J917" s="23" t="str">
        <f aca="false">IF($B917="","",IFERROR(INDEX(고객사!$G$5:$G$104,MATCH($B917,고객사!$A$5:$A$104,0)),""))</f>
        <v/>
      </c>
      <c r="K917" s="16"/>
      <c r="L917" s="22" t="str">
        <f aca="false">IF($B917="","",K917*IFERROR(INDEX(고객사!$L$5:$L$104,MATCH($B917,고객사!$A$5:$A$104,0)),0))</f>
        <v/>
      </c>
      <c r="M917" s="23" t="str">
        <f aca="false">IF($B917="","",IF(AND(J917="N",G917&gt;0,K917=0,IFERROR(INDEX(고객사!$H$5:$H$104,MATCH($B917,고객사!$A$5:$A$104,0)),"")="자사 차량 운행"),"차량 미배정",""))</f>
        <v/>
      </c>
      <c r="N917" s="22" t="str">
        <f aca="false">IF($B917="","",IFERROR(INDEX(고객사!$J$5:$J$104,MATCH($B917,고객사!$A$5:$A$104,0)),0))</f>
        <v/>
      </c>
      <c r="O917" s="22" t="str">
        <f aca="false">IF($B917="","",G917*N917)</f>
        <v/>
      </c>
      <c r="P917" s="22" t="str">
        <f aca="false">IF($B917="","",IFERROR(INDEX(고객사!$K$5:$K$104,MATCH($B917,고객사!$A$5:$A$104,0)),0))</f>
        <v/>
      </c>
      <c r="Q917" s="22" t="str">
        <f aca="false">IF($B917="","",G917*P917)</f>
        <v/>
      </c>
      <c r="R917" s="22" t="str">
        <f aca="false">IF($B917="","",O917-Q917-L917)</f>
        <v/>
      </c>
      <c r="S917" s="21" t="str">
        <f aca="false">IF(OR($B917="",N(O917)=0),"",R917/O917)</f>
        <v/>
      </c>
      <c r="T917" s="14"/>
      <c r="U917" s="19" t="n">
        <f aca="false">IF(OR($B917="",$A917=""),0,IF(COUNTIFS($A$5:$A917,$A917,$B$5:$B917,$B917)=1,1,0))</f>
        <v>0</v>
      </c>
    </row>
    <row r="918" customFormat="false" ht="15" hidden="false" customHeight="false" outlineLevel="0" collapsed="false">
      <c r="A918" s="17"/>
      <c r="B918" s="13"/>
      <c r="C918" s="20" t="str">
        <f aca="false">IF($B918="","",IFERROR(INDEX(고객사!$B$5:$B$104,MATCH($B918,고객사!$A$5:$A$104,0)),"코드 확인"))</f>
        <v/>
      </c>
      <c r="D918" s="15"/>
      <c r="E918" s="15"/>
      <c r="F918" s="16"/>
      <c r="G918" s="16"/>
      <c r="H918" s="21" t="str">
        <f aca="false">IF(OR($B918="",F918=0),"",G918/F918)</f>
        <v/>
      </c>
      <c r="I918" s="22" t="str">
        <f aca="false">IF($B918="","",MAX(F918-G918,0))</f>
        <v/>
      </c>
      <c r="J918" s="23" t="str">
        <f aca="false">IF($B918="","",IFERROR(INDEX(고객사!$G$5:$G$104,MATCH($B918,고객사!$A$5:$A$104,0)),""))</f>
        <v/>
      </c>
      <c r="K918" s="16"/>
      <c r="L918" s="22" t="str">
        <f aca="false">IF($B918="","",K918*IFERROR(INDEX(고객사!$L$5:$L$104,MATCH($B918,고객사!$A$5:$A$104,0)),0))</f>
        <v/>
      </c>
      <c r="M918" s="23" t="str">
        <f aca="false">IF($B918="","",IF(AND(J918="N",G918&gt;0,K918=0,IFERROR(INDEX(고객사!$H$5:$H$104,MATCH($B918,고객사!$A$5:$A$104,0)),"")="자사 차량 운행"),"차량 미배정",""))</f>
        <v/>
      </c>
      <c r="N918" s="22" t="str">
        <f aca="false">IF($B918="","",IFERROR(INDEX(고객사!$J$5:$J$104,MATCH($B918,고객사!$A$5:$A$104,0)),0))</f>
        <v/>
      </c>
      <c r="O918" s="22" t="str">
        <f aca="false">IF($B918="","",G918*N918)</f>
        <v/>
      </c>
      <c r="P918" s="22" t="str">
        <f aca="false">IF($B918="","",IFERROR(INDEX(고객사!$K$5:$K$104,MATCH($B918,고객사!$A$5:$A$104,0)),0))</f>
        <v/>
      </c>
      <c r="Q918" s="22" t="str">
        <f aca="false">IF($B918="","",G918*P918)</f>
        <v/>
      </c>
      <c r="R918" s="22" t="str">
        <f aca="false">IF($B918="","",O918-Q918-L918)</f>
        <v/>
      </c>
      <c r="S918" s="21" t="str">
        <f aca="false">IF(OR($B918="",N(O918)=0),"",R918/O918)</f>
        <v/>
      </c>
      <c r="T918" s="14"/>
      <c r="U918" s="19" t="n">
        <f aca="false">IF(OR($B918="",$A918=""),0,IF(COUNTIFS($A$5:$A918,$A918,$B$5:$B918,$B918)=1,1,0))</f>
        <v>0</v>
      </c>
    </row>
    <row r="919" customFormat="false" ht="15" hidden="false" customHeight="false" outlineLevel="0" collapsed="false">
      <c r="A919" s="17"/>
      <c r="B919" s="13"/>
      <c r="C919" s="20" t="str">
        <f aca="false">IF($B919="","",IFERROR(INDEX(고객사!$B$5:$B$104,MATCH($B919,고객사!$A$5:$A$104,0)),"코드 확인"))</f>
        <v/>
      </c>
      <c r="D919" s="15"/>
      <c r="E919" s="15"/>
      <c r="F919" s="16"/>
      <c r="G919" s="16"/>
      <c r="H919" s="21" t="str">
        <f aca="false">IF(OR($B919="",F919=0),"",G919/F919)</f>
        <v/>
      </c>
      <c r="I919" s="22" t="str">
        <f aca="false">IF($B919="","",MAX(F919-G919,0))</f>
        <v/>
      </c>
      <c r="J919" s="23" t="str">
        <f aca="false">IF($B919="","",IFERROR(INDEX(고객사!$G$5:$G$104,MATCH($B919,고객사!$A$5:$A$104,0)),""))</f>
        <v/>
      </c>
      <c r="K919" s="16"/>
      <c r="L919" s="22" t="str">
        <f aca="false">IF($B919="","",K919*IFERROR(INDEX(고객사!$L$5:$L$104,MATCH($B919,고객사!$A$5:$A$104,0)),0))</f>
        <v/>
      </c>
      <c r="M919" s="23" t="str">
        <f aca="false">IF($B919="","",IF(AND(J919="N",G919&gt;0,K919=0,IFERROR(INDEX(고객사!$H$5:$H$104,MATCH($B919,고객사!$A$5:$A$104,0)),"")="자사 차량 운행"),"차량 미배정",""))</f>
        <v/>
      </c>
      <c r="N919" s="22" t="str">
        <f aca="false">IF($B919="","",IFERROR(INDEX(고객사!$J$5:$J$104,MATCH($B919,고객사!$A$5:$A$104,0)),0))</f>
        <v/>
      </c>
      <c r="O919" s="22" t="str">
        <f aca="false">IF($B919="","",G919*N919)</f>
        <v/>
      </c>
      <c r="P919" s="22" t="str">
        <f aca="false">IF($B919="","",IFERROR(INDEX(고객사!$K$5:$K$104,MATCH($B919,고객사!$A$5:$A$104,0)),0))</f>
        <v/>
      </c>
      <c r="Q919" s="22" t="str">
        <f aca="false">IF($B919="","",G919*P919)</f>
        <v/>
      </c>
      <c r="R919" s="22" t="str">
        <f aca="false">IF($B919="","",O919-Q919-L919)</f>
        <v/>
      </c>
      <c r="S919" s="21" t="str">
        <f aca="false">IF(OR($B919="",N(O919)=0),"",R919/O919)</f>
        <v/>
      </c>
      <c r="T919" s="14"/>
      <c r="U919" s="19" t="n">
        <f aca="false">IF(OR($B919="",$A919=""),0,IF(COUNTIFS($A$5:$A919,$A919,$B$5:$B919,$B919)=1,1,0))</f>
        <v>0</v>
      </c>
    </row>
    <row r="920" customFormat="false" ht="15" hidden="false" customHeight="false" outlineLevel="0" collapsed="false">
      <c r="A920" s="17"/>
      <c r="B920" s="13"/>
      <c r="C920" s="20" t="str">
        <f aca="false">IF($B920="","",IFERROR(INDEX(고객사!$B$5:$B$104,MATCH($B920,고객사!$A$5:$A$104,0)),"코드 확인"))</f>
        <v/>
      </c>
      <c r="D920" s="15"/>
      <c r="E920" s="15"/>
      <c r="F920" s="16"/>
      <c r="G920" s="16"/>
      <c r="H920" s="21" t="str">
        <f aca="false">IF(OR($B920="",F920=0),"",G920/F920)</f>
        <v/>
      </c>
      <c r="I920" s="22" t="str">
        <f aca="false">IF($B920="","",MAX(F920-G920,0))</f>
        <v/>
      </c>
      <c r="J920" s="23" t="str">
        <f aca="false">IF($B920="","",IFERROR(INDEX(고객사!$G$5:$G$104,MATCH($B920,고객사!$A$5:$A$104,0)),""))</f>
        <v/>
      </c>
      <c r="K920" s="16"/>
      <c r="L920" s="22" t="str">
        <f aca="false">IF($B920="","",K920*IFERROR(INDEX(고객사!$L$5:$L$104,MATCH($B920,고객사!$A$5:$A$104,0)),0))</f>
        <v/>
      </c>
      <c r="M920" s="23" t="str">
        <f aca="false">IF($B920="","",IF(AND(J920="N",G920&gt;0,K920=0,IFERROR(INDEX(고객사!$H$5:$H$104,MATCH($B920,고객사!$A$5:$A$104,0)),"")="자사 차량 운행"),"차량 미배정",""))</f>
        <v/>
      </c>
      <c r="N920" s="22" t="str">
        <f aca="false">IF($B920="","",IFERROR(INDEX(고객사!$J$5:$J$104,MATCH($B920,고객사!$A$5:$A$104,0)),0))</f>
        <v/>
      </c>
      <c r="O920" s="22" t="str">
        <f aca="false">IF($B920="","",G920*N920)</f>
        <v/>
      </c>
      <c r="P920" s="22" t="str">
        <f aca="false">IF($B920="","",IFERROR(INDEX(고객사!$K$5:$K$104,MATCH($B920,고객사!$A$5:$A$104,0)),0))</f>
        <v/>
      </c>
      <c r="Q920" s="22" t="str">
        <f aca="false">IF($B920="","",G920*P920)</f>
        <v/>
      </c>
      <c r="R920" s="22" t="str">
        <f aca="false">IF($B920="","",O920-Q920-L920)</f>
        <v/>
      </c>
      <c r="S920" s="21" t="str">
        <f aca="false">IF(OR($B920="",N(O920)=0),"",R920/O920)</f>
        <v/>
      </c>
      <c r="T920" s="14"/>
      <c r="U920" s="19" t="n">
        <f aca="false">IF(OR($B920="",$A920=""),0,IF(COUNTIFS($A$5:$A920,$A920,$B$5:$B920,$B920)=1,1,0))</f>
        <v>0</v>
      </c>
    </row>
    <row r="921" customFormat="false" ht="15" hidden="false" customHeight="false" outlineLevel="0" collapsed="false">
      <c r="A921" s="17"/>
      <c r="B921" s="13"/>
      <c r="C921" s="20" t="str">
        <f aca="false">IF($B921="","",IFERROR(INDEX(고객사!$B$5:$B$104,MATCH($B921,고객사!$A$5:$A$104,0)),"코드 확인"))</f>
        <v/>
      </c>
      <c r="D921" s="15"/>
      <c r="E921" s="15"/>
      <c r="F921" s="16"/>
      <c r="G921" s="16"/>
      <c r="H921" s="21" t="str">
        <f aca="false">IF(OR($B921="",F921=0),"",G921/F921)</f>
        <v/>
      </c>
      <c r="I921" s="22" t="str">
        <f aca="false">IF($B921="","",MAX(F921-G921,0))</f>
        <v/>
      </c>
      <c r="J921" s="23" t="str">
        <f aca="false">IF($B921="","",IFERROR(INDEX(고객사!$G$5:$G$104,MATCH($B921,고객사!$A$5:$A$104,0)),""))</f>
        <v/>
      </c>
      <c r="K921" s="16"/>
      <c r="L921" s="22" t="str">
        <f aca="false">IF($B921="","",K921*IFERROR(INDEX(고객사!$L$5:$L$104,MATCH($B921,고객사!$A$5:$A$104,0)),0))</f>
        <v/>
      </c>
      <c r="M921" s="23" t="str">
        <f aca="false">IF($B921="","",IF(AND(J921="N",G921&gt;0,K921=0,IFERROR(INDEX(고객사!$H$5:$H$104,MATCH($B921,고객사!$A$5:$A$104,0)),"")="자사 차량 운행"),"차량 미배정",""))</f>
        <v/>
      </c>
      <c r="N921" s="22" t="str">
        <f aca="false">IF($B921="","",IFERROR(INDEX(고객사!$J$5:$J$104,MATCH($B921,고객사!$A$5:$A$104,0)),0))</f>
        <v/>
      </c>
      <c r="O921" s="22" t="str">
        <f aca="false">IF($B921="","",G921*N921)</f>
        <v/>
      </c>
      <c r="P921" s="22" t="str">
        <f aca="false">IF($B921="","",IFERROR(INDEX(고객사!$K$5:$K$104,MATCH($B921,고객사!$A$5:$A$104,0)),0))</f>
        <v/>
      </c>
      <c r="Q921" s="22" t="str">
        <f aca="false">IF($B921="","",G921*P921)</f>
        <v/>
      </c>
      <c r="R921" s="22" t="str">
        <f aca="false">IF($B921="","",O921-Q921-L921)</f>
        <v/>
      </c>
      <c r="S921" s="21" t="str">
        <f aca="false">IF(OR($B921="",N(O921)=0),"",R921/O921)</f>
        <v/>
      </c>
      <c r="T921" s="14"/>
      <c r="U921" s="19" t="n">
        <f aca="false">IF(OR($B921="",$A921=""),0,IF(COUNTIFS($A$5:$A921,$A921,$B$5:$B921,$B921)=1,1,0))</f>
        <v>0</v>
      </c>
    </row>
    <row r="922" customFormat="false" ht="15" hidden="false" customHeight="false" outlineLevel="0" collapsed="false">
      <c r="A922" s="17"/>
      <c r="B922" s="13"/>
      <c r="C922" s="20" t="str">
        <f aca="false">IF($B922="","",IFERROR(INDEX(고객사!$B$5:$B$104,MATCH($B922,고객사!$A$5:$A$104,0)),"코드 확인"))</f>
        <v/>
      </c>
      <c r="D922" s="15"/>
      <c r="E922" s="15"/>
      <c r="F922" s="16"/>
      <c r="G922" s="16"/>
      <c r="H922" s="21" t="str">
        <f aca="false">IF(OR($B922="",F922=0),"",G922/F922)</f>
        <v/>
      </c>
      <c r="I922" s="22" t="str">
        <f aca="false">IF($B922="","",MAX(F922-G922,0))</f>
        <v/>
      </c>
      <c r="J922" s="23" t="str">
        <f aca="false">IF($B922="","",IFERROR(INDEX(고객사!$G$5:$G$104,MATCH($B922,고객사!$A$5:$A$104,0)),""))</f>
        <v/>
      </c>
      <c r="K922" s="16"/>
      <c r="L922" s="22" t="str">
        <f aca="false">IF($B922="","",K922*IFERROR(INDEX(고객사!$L$5:$L$104,MATCH($B922,고객사!$A$5:$A$104,0)),0))</f>
        <v/>
      </c>
      <c r="M922" s="23" t="str">
        <f aca="false">IF($B922="","",IF(AND(J922="N",G922&gt;0,K922=0,IFERROR(INDEX(고객사!$H$5:$H$104,MATCH($B922,고객사!$A$5:$A$104,0)),"")="자사 차량 운행"),"차량 미배정",""))</f>
        <v/>
      </c>
      <c r="N922" s="22" t="str">
        <f aca="false">IF($B922="","",IFERROR(INDEX(고객사!$J$5:$J$104,MATCH($B922,고객사!$A$5:$A$104,0)),0))</f>
        <v/>
      </c>
      <c r="O922" s="22" t="str">
        <f aca="false">IF($B922="","",G922*N922)</f>
        <v/>
      </c>
      <c r="P922" s="22" t="str">
        <f aca="false">IF($B922="","",IFERROR(INDEX(고객사!$K$5:$K$104,MATCH($B922,고객사!$A$5:$A$104,0)),0))</f>
        <v/>
      </c>
      <c r="Q922" s="22" t="str">
        <f aca="false">IF($B922="","",G922*P922)</f>
        <v/>
      </c>
      <c r="R922" s="22" t="str">
        <f aca="false">IF($B922="","",O922-Q922-L922)</f>
        <v/>
      </c>
      <c r="S922" s="21" t="str">
        <f aca="false">IF(OR($B922="",N(O922)=0),"",R922/O922)</f>
        <v/>
      </c>
      <c r="T922" s="14"/>
      <c r="U922" s="19" t="n">
        <f aca="false">IF(OR($B922="",$A922=""),0,IF(COUNTIFS($A$5:$A922,$A922,$B$5:$B922,$B922)=1,1,0))</f>
        <v>0</v>
      </c>
    </row>
    <row r="923" customFormat="false" ht="15" hidden="false" customHeight="false" outlineLevel="0" collapsed="false">
      <c r="A923" s="17"/>
      <c r="B923" s="13"/>
      <c r="C923" s="20" t="str">
        <f aca="false">IF($B923="","",IFERROR(INDEX(고객사!$B$5:$B$104,MATCH($B923,고객사!$A$5:$A$104,0)),"코드 확인"))</f>
        <v/>
      </c>
      <c r="D923" s="15"/>
      <c r="E923" s="15"/>
      <c r="F923" s="16"/>
      <c r="G923" s="16"/>
      <c r="H923" s="21" t="str">
        <f aca="false">IF(OR($B923="",F923=0),"",G923/F923)</f>
        <v/>
      </c>
      <c r="I923" s="22" t="str">
        <f aca="false">IF($B923="","",MAX(F923-G923,0))</f>
        <v/>
      </c>
      <c r="J923" s="23" t="str">
        <f aca="false">IF($B923="","",IFERROR(INDEX(고객사!$G$5:$G$104,MATCH($B923,고객사!$A$5:$A$104,0)),""))</f>
        <v/>
      </c>
      <c r="K923" s="16"/>
      <c r="L923" s="22" t="str">
        <f aca="false">IF($B923="","",K923*IFERROR(INDEX(고객사!$L$5:$L$104,MATCH($B923,고객사!$A$5:$A$104,0)),0))</f>
        <v/>
      </c>
      <c r="M923" s="23" t="str">
        <f aca="false">IF($B923="","",IF(AND(J923="N",G923&gt;0,K923=0,IFERROR(INDEX(고객사!$H$5:$H$104,MATCH($B923,고객사!$A$5:$A$104,0)),"")="자사 차량 운행"),"차량 미배정",""))</f>
        <v/>
      </c>
      <c r="N923" s="22" t="str">
        <f aca="false">IF($B923="","",IFERROR(INDEX(고객사!$J$5:$J$104,MATCH($B923,고객사!$A$5:$A$104,0)),0))</f>
        <v/>
      </c>
      <c r="O923" s="22" t="str">
        <f aca="false">IF($B923="","",G923*N923)</f>
        <v/>
      </c>
      <c r="P923" s="22" t="str">
        <f aca="false">IF($B923="","",IFERROR(INDEX(고객사!$K$5:$K$104,MATCH($B923,고객사!$A$5:$A$104,0)),0))</f>
        <v/>
      </c>
      <c r="Q923" s="22" t="str">
        <f aca="false">IF($B923="","",G923*P923)</f>
        <v/>
      </c>
      <c r="R923" s="22" t="str">
        <f aca="false">IF($B923="","",O923-Q923-L923)</f>
        <v/>
      </c>
      <c r="S923" s="21" t="str">
        <f aca="false">IF(OR($B923="",N(O923)=0),"",R923/O923)</f>
        <v/>
      </c>
      <c r="T923" s="14"/>
      <c r="U923" s="19" t="n">
        <f aca="false">IF(OR($B923="",$A923=""),0,IF(COUNTIFS($A$5:$A923,$A923,$B$5:$B923,$B923)=1,1,0))</f>
        <v>0</v>
      </c>
    </row>
    <row r="924" customFormat="false" ht="15" hidden="false" customHeight="false" outlineLevel="0" collapsed="false">
      <c r="A924" s="17"/>
      <c r="B924" s="13"/>
      <c r="C924" s="20" t="str">
        <f aca="false">IF($B924="","",IFERROR(INDEX(고객사!$B$5:$B$104,MATCH($B924,고객사!$A$5:$A$104,0)),"코드 확인"))</f>
        <v/>
      </c>
      <c r="D924" s="15"/>
      <c r="E924" s="15"/>
      <c r="F924" s="16"/>
      <c r="G924" s="16"/>
      <c r="H924" s="21" t="str">
        <f aca="false">IF(OR($B924="",F924=0),"",G924/F924)</f>
        <v/>
      </c>
      <c r="I924" s="22" t="str">
        <f aca="false">IF($B924="","",MAX(F924-G924,0))</f>
        <v/>
      </c>
      <c r="J924" s="23" t="str">
        <f aca="false">IF($B924="","",IFERROR(INDEX(고객사!$G$5:$G$104,MATCH($B924,고객사!$A$5:$A$104,0)),""))</f>
        <v/>
      </c>
      <c r="K924" s="16"/>
      <c r="L924" s="22" t="str">
        <f aca="false">IF($B924="","",K924*IFERROR(INDEX(고객사!$L$5:$L$104,MATCH($B924,고객사!$A$5:$A$104,0)),0))</f>
        <v/>
      </c>
      <c r="M924" s="23" t="str">
        <f aca="false">IF($B924="","",IF(AND(J924="N",G924&gt;0,K924=0,IFERROR(INDEX(고객사!$H$5:$H$104,MATCH($B924,고객사!$A$5:$A$104,0)),"")="자사 차량 운행"),"차량 미배정",""))</f>
        <v/>
      </c>
      <c r="N924" s="22" t="str">
        <f aca="false">IF($B924="","",IFERROR(INDEX(고객사!$J$5:$J$104,MATCH($B924,고객사!$A$5:$A$104,0)),0))</f>
        <v/>
      </c>
      <c r="O924" s="22" t="str">
        <f aca="false">IF($B924="","",G924*N924)</f>
        <v/>
      </c>
      <c r="P924" s="22" t="str">
        <f aca="false">IF($B924="","",IFERROR(INDEX(고객사!$K$5:$K$104,MATCH($B924,고객사!$A$5:$A$104,0)),0))</f>
        <v/>
      </c>
      <c r="Q924" s="22" t="str">
        <f aca="false">IF($B924="","",G924*P924)</f>
        <v/>
      </c>
      <c r="R924" s="22" t="str">
        <f aca="false">IF($B924="","",O924-Q924-L924)</f>
        <v/>
      </c>
      <c r="S924" s="21" t="str">
        <f aca="false">IF(OR($B924="",N(O924)=0),"",R924/O924)</f>
        <v/>
      </c>
      <c r="T924" s="14"/>
      <c r="U924" s="19" t="n">
        <f aca="false">IF(OR($B924="",$A924=""),0,IF(COUNTIFS($A$5:$A924,$A924,$B$5:$B924,$B924)=1,1,0))</f>
        <v>0</v>
      </c>
    </row>
    <row r="925" customFormat="false" ht="15" hidden="false" customHeight="false" outlineLevel="0" collapsed="false">
      <c r="A925" s="17"/>
      <c r="B925" s="13"/>
      <c r="C925" s="20" t="str">
        <f aca="false">IF($B925="","",IFERROR(INDEX(고객사!$B$5:$B$104,MATCH($B925,고객사!$A$5:$A$104,0)),"코드 확인"))</f>
        <v/>
      </c>
      <c r="D925" s="15"/>
      <c r="E925" s="15"/>
      <c r="F925" s="16"/>
      <c r="G925" s="16"/>
      <c r="H925" s="21" t="str">
        <f aca="false">IF(OR($B925="",F925=0),"",G925/F925)</f>
        <v/>
      </c>
      <c r="I925" s="22" t="str">
        <f aca="false">IF($B925="","",MAX(F925-G925,0))</f>
        <v/>
      </c>
      <c r="J925" s="23" t="str">
        <f aca="false">IF($B925="","",IFERROR(INDEX(고객사!$G$5:$G$104,MATCH($B925,고객사!$A$5:$A$104,0)),""))</f>
        <v/>
      </c>
      <c r="K925" s="16"/>
      <c r="L925" s="22" t="str">
        <f aca="false">IF($B925="","",K925*IFERROR(INDEX(고객사!$L$5:$L$104,MATCH($B925,고객사!$A$5:$A$104,0)),0))</f>
        <v/>
      </c>
      <c r="M925" s="23" t="str">
        <f aca="false">IF($B925="","",IF(AND(J925="N",G925&gt;0,K925=0,IFERROR(INDEX(고객사!$H$5:$H$104,MATCH($B925,고객사!$A$5:$A$104,0)),"")="자사 차량 운행"),"차량 미배정",""))</f>
        <v/>
      </c>
      <c r="N925" s="22" t="str">
        <f aca="false">IF($B925="","",IFERROR(INDEX(고객사!$J$5:$J$104,MATCH($B925,고객사!$A$5:$A$104,0)),0))</f>
        <v/>
      </c>
      <c r="O925" s="22" t="str">
        <f aca="false">IF($B925="","",G925*N925)</f>
        <v/>
      </c>
      <c r="P925" s="22" t="str">
        <f aca="false">IF($B925="","",IFERROR(INDEX(고객사!$K$5:$K$104,MATCH($B925,고객사!$A$5:$A$104,0)),0))</f>
        <v/>
      </c>
      <c r="Q925" s="22" t="str">
        <f aca="false">IF($B925="","",G925*P925)</f>
        <v/>
      </c>
      <c r="R925" s="22" t="str">
        <f aca="false">IF($B925="","",O925-Q925-L925)</f>
        <v/>
      </c>
      <c r="S925" s="21" t="str">
        <f aca="false">IF(OR($B925="",N(O925)=0),"",R925/O925)</f>
        <v/>
      </c>
      <c r="T925" s="14"/>
      <c r="U925" s="19" t="n">
        <f aca="false">IF(OR($B925="",$A925=""),0,IF(COUNTIFS($A$5:$A925,$A925,$B$5:$B925,$B925)=1,1,0))</f>
        <v>0</v>
      </c>
    </row>
    <row r="926" customFormat="false" ht="15" hidden="false" customHeight="false" outlineLevel="0" collapsed="false">
      <c r="A926" s="17"/>
      <c r="B926" s="13"/>
      <c r="C926" s="20" t="str">
        <f aca="false">IF($B926="","",IFERROR(INDEX(고객사!$B$5:$B$104,MATCH($B926,고객사!$A$5:$A$104,0)),"코드 확인"))</f>
        <v/>
      </c>
      <c r="D926" s="15"/>
      <c r="E926" s="15"/>
      <c r="F926" s="16"/>
      <c r="G926" s="16"/>
      <c r="H926" s="21" t="str">
        <f aca="false">IF(OR($B926="",F926=0),"",G926/F926)</f>
        <v/>
      </c>
      <c r="I926" s="22" t="str">
        <f aca="false">IF($B926="","",MAX(F926-G926,0))</f>
        <v/>
      </c>
      <c r="J926" s="23" t="str">
        <f aca="false">IF($B926="","",IFERROR(INDEX(고객사!$G$5:$G$104,MATCH($B926,고객사!$A$5:$A$104,0)),""))</f>
        <v/>
      </c>
      <c r="K926" s="16"/>
      <c r="L926" s="22" t="str">
        <f aca="false">IF($B926="","",K926*IFERROR(INDEX(고객사!$L$5:$L$104,MATCH($B926,고객사!$A$5:$A$104,0)),0))</f>
        <v/>
      </c>
      <c r="M926" s="23" t="str">
        <f aca="false">IF($B926="","",IF(AND(J926="N",G926&gt;0,K926=0,IFERROR(INDEX(고객사!$H$5:$H$104,MATCH($B926,고객사!$A$5:$A$104,0)),"")="자사 차량 운행"),"차량 미배정",""))</f>
        <v/>
      </c>
      <c r="N926" s="22" t="str">
        <f aca="false">IF($B926="","",IFERROR(INDEX(고객사!$J$5:$J$104,MATCH($B926,고객사!$A$5:$A$104,0)),0))</f>
        <v/>
      </c>
      <c r="O926" s="22" t="str">
        <f aca="false">IF($B926="","",G926*N926)</f>
        <v/>
      </c>
      <c r="P926" s="22" t="str">
        <f aca="false">IF($B926="","",IFERROR(INDEX(고객사!$K$5:$K$104,MATCH($B926,고객사!$A$5:$A$104,0)),0))</f>
        <v/>
      </c>
      <c r="Q926" s="22" t="str">
        <f aca="false">IF($B926="","",G926*P926)</f>
        <v/>
      </c>
      <c r="R926" s="22" t="str">
        <f aca="false">IF($B926="","",O926-Q926-L926)</f>
        <v/>
      </c>
      <c r="S926" s="21" t="str">
        <f aca="false">IF(OR($B926="",N(O926)=0),"",R926/O926)</f>
        <v/>
      </c>
      <c r="T926" s="14"/>
      <c r="U926" s="19" t="n">
        <f aca="false">IF(OR($B926="",$A926=""),0,IF(COUNTIFS($A$5:$A926,$A926,$B$5:$B926,$B926)=1,1,0))</f>
        <v>0</v>
      </c>
    </row>
    <row r="927" customFormat="false" ht="15" hidden="false" customHeight="false" outlineLevel="0" collapsed="false">
      <c r="A927" s="17"/>
      <c r="B927" s="13"/>
      <c r="C927" s="20" t="str">
        <f aca="false">IF($B927="","",IFERROR(INDEX(고객사!$B$5:$B$104,MATCH($B927,고객사!$A$5:$A$104,0)),"코드 확인"))</f>
        <v/>
      </c>
      <c r="D927" s="15"/>
      <c r="E927" s="15"/>
      <c r="F927" s="16"/>
      <c r="G927" s="16"/>
      <c r="H927" s="21" t="str">
        <f aca="false">IF(OR($B927="",F927=0),"",G927/F927)</f>
        <v/>
      </c>
      <c r="I927" s="22" t="str">
        <f aca="false">IF($B927="","",MAX(F927-G927,0))</f>
        <v/>
      </c>
      <c r="J927" s="23" t="str">
        <f aca="false">IF($B927="","",IFERROR(INDEX(고객사!$G$5:$G$104,MATCH($B927,고객사!$A$5:$A$104,0)),""))</f>
        <v/>
      </c>
      <c r="K927" s="16"/>
      <c r="L927" s="22" t="str">
        <f aca="false">IF($B927="","",K927*IFERROR(INDEX(고객사!$L$5:$L$104,MATCH($B927,고객사!$A$5:$A$104,0)),0))</f>
        <v/>
      </c>
      <c r="M927" s="23" t="str">
        <f aca="false">IF($B927="","",IF(AND(J927="N",G927&gt;0,K927=0,IFERROR(INDEX(고객사!$H$5:$H$104,MATCH($B927,고객사!$A$5:$A$104,0)),"")="자사 차량 운행"),"차량 미배정",""))</f>
        <v/>
      </c>
      <c r="N927" s="22" t="str">
        <f aca="false">IF($B927="","",IFERROR(INDEX(고객사!$J$5:$J$104,MATCH($B927,고객사!$A$5:$A$104,0)),0))</f>
        <v/>
      </c>
      <c r="O927" s="22" t="str">
        <f aca="false">IF($B927="","",G927*N927)</f>
        <v/>
      </c>
      <c r="P927" s="22" t="str">
        <f aca="false">IF($B927="","",IFERROR(INDEX(고객사!$K$5:$K$104,MATCH($B927,고객사!$A$5:$A$104,0)),0))</f>
        <v/>
      </c>
      <c r="Q927" s="22" t="str">
        <f aca="false">IF($B927="","",G927*P927)</f>
        <v/>
      </c>
      <c r="R927" s="22" t="str">
        <f aca="false">IF($B927="","",O927-Q927-L927)</f>
        <v/>
      </c>
      <c r="S927" s="21" t="str">
        <f aca="false">IF(OR($B927="",N(O927)=0),"",R927/O927)</f>
        <v/>
      </c>
      <c r="T927" s="14"/>
      <c r="U927" s="19" t="n">
        <f aca="false">IF(OR($B927="",$A927=""),0,IF(COUNTIFS($A$5:$A927,$A927,$B$5:$B927,$B927)=1,1,0))</f>
        <v>0</v>
      </c>
    </row>
    <row r="928" customFormat="false" ht="15" hidden="false" customHeight="false" outlineLevel="0" collapsed="false">
      <c r="A928" s="17"/>
      <c r="B928" s="13"/>
      <c r="C928" s="20" t="str">
        <f aca="false">IF($B928="","",IFERROR(INDEX(고객사!$B$5:$B$104,MATCH($B928,고객사!$A$5:$A$104,0)),"코드 확인"))</f>
        <v/>
      </c>
      <c r="D928" s="15"/>
      <c r="E928" s="15"/>
      <c r="F928" s="16"/>
      <c r="G928" s="16"/>
      <c r="H928" s="21" t="str">
        <f aca="false">IF(OR($B928="",F928=0),"",G928/F928)</f>
        <v/>
      </c>
      <c r="I928" s="22" t="str">
        <f aca="false">IF($B928="","",MAX(F928-G928,0))</f>
        <v/>
      </c>
      <c r="J928" s="23" t="str">
        <f aca="false">IF($B928="","",IFERROR(INDEX(고객사!$G$5:$G$104,MATCH($B928,고객사!$A$5:$A$104,0)),""))</f>
        <v/>
      </c>
      <c r="K928" s="16"/>
      <c r="L928" s="22" t="str">
        <f aca="false">IF($B928="","",K928*IFERROR(INDEX(고객사!$L$5:$L$104,MATCH($B928,고객사!$A$5:$A$104,0)),0))</f>
        <v/>
      </c>
      <c r="M928" s="23" t="str">
        <f aca="false">IF($B928="","",IF(AND(J928="N",G928&gt;0,K928=0,IFERROR(INDEX(고객사!$H$5:$H$104,MATCH($B928,고객사!$A$5:$A$104,0)),"")="자사 차량 운행"),"차량 미배정",""))</f>
        <v/>
      </c>
      <c r="N928" s="22" t="str">
        <f aca="false">IF($B928="","",IFERROR(INDEX(고객사!$J$5:$J$104,MATCH($B928,고객사!$A$5:$A$104,0)),0))</f>
        <v/>
      </c>
      <c r="O928" s="22" t="str">
        <f aca="false">IF($B928="","",G928*N928)</f>
        <v/>
      </c>
      <c r="P928" s="22" t="str">
        <f aca="false">IF($B928="","",IFERROR(INDEX(고객사!$K$5:$K$104,MATCH($B928,고객사!$A$5:$A$104,0)),0))</f>
        <v/>
      </c>
      <c r="Q928" s="22" t="str">
        <f aca="false">IF($B928="","",G928*P928)</f>
        <v/>
      </c>
      <c r="R928" s="22" t="str">
        <f aca="false">IF($B928="","",O928-Q928-L928)</f>
        <v/>
      </c>
      <c r="S928" s="21" t="str">
        <f aca="false">IF(OR($B928="",N(O928)=0),"",R928/O928)</f>
        <v/>
      </c>
      <c r="T928" s="14"/>
      <c r="U928" s="19" t="n">
        <f aca="false">IF(OR($B928="",$A928=""),0,IF(COUNTIFS($A$5:$A928,$A928,$B$5:$B928,$B928)=1,1,0))</f>
        <v>0</v>
      </c>
    </row>
    <row r="929" customFormat="false" ht="15" hidden="false" customHeight="false" outlineLevel="0" collapsed="false">
      <c r="A929" s="17"/>
      <c r="B929" s="13"/>
      <c r="C929" s="20" t="str">
        <f aca="false">IF($B929="","",IFERROR(INDEX(고객사!$B$5:$B$104,MATCH($B929,고객사!$A$5:$A$104,0)),"코드 확인"))</f>
        <v/>
      </c>
      <c r="D929" s="15"/>
      <c r="E929" s="15"/>
      <c r="F929" s="16"/>
      <c r="G929" s="16"/>
      <c r="H929" s="21" t="str">
        <f aca="false">IF(OR($B929="",F929=0),"",G929/F929)</f>
        <v/>
      </c>
      <c r="I929" s="22" t="str">
        <f aca="false">IF($B929="","",MAX(F929-G929,0))</f>
        <v/>
      </c>
      <c r="J929" s="23" t="str">
        <f aca="false">IF($B929="","",IFERROR(INDEX(고객사!$G$5:$G$104,MATCH($B929,고객사!$A$5:$A$104,0)),""))</f>
        <v/>
      </c>
      <c r="K929" s="16"/>
      <c r="L929" s="22" t="str">
        <f aca="false">IF($B929="","",K929*IFERROR(INDEX(고객사!$L$5:$L$104,MATCH($B929,고객사!$A$5:$A$104,0)),0))</f>
        <v/>
      </c>
      <c r="M929" s="23" t="str">
        <f aca="false">IF($B929="","",IF(AND(J929="N",G929&gt;0,K929=0,IFERROR(INDEX(고객사!$H$5:$H$104,MATCH($B929,고객사!$A$5:$A$104,0)),"")="자사 차량 운행"),"차량 미배정",""))</f>
        <v/>
      </c>
      <c r="N929" s="22" t="str">
        <f aca="false">IF($B929="","",IFERROR(INDEX(고객사!$J$5:$J$104,MATCH($B929,고객사!$A$5:$A$104,0)),0))</f>
        <v/>
      </c>
      <c r="O929" s="22" t="str">
        <f aca="false">IF($B929="","",G929*N929)</f>
        <v/>
      </c>
      <c r="P929" s="22" t="str">
        <f aca="false">IF($B929="","",IFERROR(INDEX(고객사!$K$5:$K$104,MATCH($B929,고객사!$A$5:$A$104,0)),0))</f>
        <v/>
      </c>
      <c r="Q929" s="22" t="str">
        <f aca="false">IF($B929="","",G929*P929)</f>
        <v/>
      </c>
      <c r="R929" s="22" t="str">
        <f aca="false">IF($B929="","",O929-Q929-L929)</f>
        <v/>
      </c>
      <c r="S929" s="21" t="str">
        <f aca="false">IF(OR($B929="",N(O929)=0),"",R929/O929)</f>
        <v/>
      </c>
      <c r="T929" s="14"/>
      <c r="U929" s="19" t="n">
        <f aca="false">IF(OR($B929="",$A929=""),0,IF(COUNTIFS($A$5:$A929,$A929,$B$5:$B929,$B929)=1,1,0))</f>
        <v>0</v>
      </c>
    </row>
    <row r="930" customFormat="false" ht="15" hidden="false" customHeight="false" outlineLevel="0" collapsed="false">
      <c r="A930" s="17"/>
      <c r="B930" s="13"/>
      <c r="C930" s="20" t="str">
        <f aca="false">IF($B930="","",IFERROR(INDEX(고객사!$B$5:$B$104,MATCH($B930,고객사!$A$5:$A$104,0)),"코드 확인"))</f>
        <v/>
      </c>
      <c r="D930" s="15"/>
      <c r="E930" s="15"/>
      <c r="F930" s="16"/>
      <c r="G930" s="16"/>
      <c r="H930" s="21" t="str">
        <f aca="false">IF(OR($B930="",F930=0),"",G930/F930)</f>
        <v/>
      </c>
      <c r="I930" s="22" t="str">
        <f aca="false">IF($B930="","",MAX(F930-G930,0))</f>
        <v/>
      </c>
      <c r="J930" s="23" t="str">
        <f aca="false">IF($B930="","",IFERROR(INDEX(고객사!$G$5:$G$104,MATCH($B930,고객사!$A$5:$A$104,0)),""))</f>
        <v/>
      </c>
      <c r="K930" s="16"/>
      <c r="L930" s="22" t="str">
        <f aca="false">IF($B930="","",K930*IFERROR(INDEX(고객사!$L$5:$L$104,MATCH($B930,고객사!$A$5:$A$104,0)),0))</f>
        <v/>
      </c>
      <c r="M930" s="23" t="str">
        <f aca="false">IF($B930="","",IF(AND(J930="N",G930&gt;0,K930=0,IFERROR(INDEX(고객사!$H$5:$H$104,MATCH($B930,고객사!$A$5:$A$104,0)),"")="자사 차량 운행"),"차량 미배정",""))</f>
        <v/>
      </c>
      <c r="N930" s="22" t="str">
        <f aca="false">IF($B930="","",IFERROR(INDEX(고객사!$J$5:$J$104,MATCH($B930,고객사!$A$5:$A$104,0)),0))</f>
        <v/>
      </c>
      <c r="O930" s="22" t="str">
        <f aca="false">IF($B930="","",G930*N930)</f>
        <v/>
      </c>
      <c r="P930" s="22" t="str">
        <f aca="false">IF($B930="","",IFERROR(INDEX(고객사!$K$5:$K$104,MATCH($B930,고객사!$A$5:$A$104,0)),0))</f>
        <v/>
      </c>
      <c r="Q930" s="22" t="str">
        <f aca="false">IF($B930="","",G930*P930)</f>
        <v/>
      </c>
      <c r="R930" s="22" t="str">
        <f aca="false">IF($B930="","",O930-Q930-L930)</f>
        <v/>
      </c>
      <c r="S930" s="21" t="str">
        <f aca="false">IF(OR($B930="",N(O930)=0),"",R930/O930)</f>
        <v/>
      </c>
      <c r="T930" s="14"/>
      <c r="U930" s="19" t="n">
        <f aca="false">IF(OR($B930="",$A930=""),0,IF(COUNTIFS($A$5:$A930,$A930,$B$5:$B930,$B930)=1,1,0))</f>
        <v>0</v>
      </c>
    </row>
    <row r="931" customFormat="false" ht="15" hidden="false" customHeight="false" outlineLevel="0" collapsed="false">
      <c r="A931" s="17"/>
      <c r="B931" s="13"/>
      <c r="C931" s="20" t="str">
        <f aca="false">IF($B931="","",IFERROR(INDEX(고객사!$B$5:$B$104,MATCH($B931,고객사!$A$5:$A$104,0)),"코드 확인"))</f>
        <v/>
      </c>
      <c r="D931" s="15"/>
      <c r="E931" s="15"/>
      <c r="F931" s="16"/>
      <c r="G931" s="16"/>
      <c r="H931" s="21" t="str">
        <f aca="false">IF(OR($B931="",F931=0),"",G931/F931)</f>
        <v/>
      </c>
      <c r="I931" s="22" t="str">
        <f aca="false">IF($B931="","",MAX(F931-G931,0))</f>
        <v/>
      </c>
      <c r="J931" s="23" t="str">
        <f aca="false">IF($B931="","",IFERROR(INDEX(고객사!$G$5:$G$104,MATCH($B931,고객사!$A$5:$A$104,0)),""))</f>
        <v/>
      </c>
      <c r="K931" s="16"/>
      <c r="L931" s="22" t="str">
        <f aca="false">IF($B931="","",K931*IFERROR(INDEX(고객사!$L$5:$L$104,MATCH($B931,고객사!$A$5:$A$104,0)),0))</f>
        <v/>
      </c>
      <c r="M931" s="23" t="str">
        <f aca="false">IF($B931="","",IF(AND(J931="N",G931&gt;0,K931=0,IFERROR(INDEX(고객사!$H$5:$H$104,MATCH($B931,고객사!$A$5:$A$104,0)),"")="자사 차량 운행"),"차량 미배정",""))</f>
        <v/>
      </c>
      <c r="N931" s="22" t="str">
        <f aca="false">IF($B931="","",IFERROR(INDEX(고객사!$J$5:$J$104,MATCH($B931,고객사!$A$5:$A$104,0)),0))</f>
        <v/>
      </c>
      <c r="O931" s="22" t="str">
        <f aca="false">IF($B931="","",G931*N931)</f>
        <v/>
      </c>
      <c r="P931" s="22" t="str">
        <f aca="false">IF($B931="","",IFERROR(INDEX(고객사!$K$5:$K$104,MATCH($B931,고객사!$A$5:$A$104,0)),0))</f>
        <v/>
      </c>
      <c r="Q931" s="22" t="str">
        <f aca="false">IF($B931="","",G931*P931)</f>
        <v/>
      </c>
      <c r="R931" s="22" t="str">
        <f aca="false">IF($B931="","",O931-Q931-L931)</f>
        <v/>
      </c>
      <c r="S931" s="21" t="str">
        <f aca="false">IF(OR($B931="",N(O931)=0),"",R931/O931)</f>
        <v/>
      </c>
      <c r="T931" s="14"/>
      <c r="U931" s="19" t="n">
        <f aca="false">IF(OR($B931="",$A931=""),0,IF(COUNTIFS($A$5:$A931,$A931,$B$5:$B931,$B931)=1,1,0))</f>
        <v>0</v>
      </c>
    </row>
    <row r="932" customFormat="false" ht="15" hidden="false" customHeight="false" outlineLevel="0" collapsed="false">
      <c r="A932" s="17"/>
      <c r="B932" s="13"/>
      <c r="C932" s="20" t="str">
        <f aca="false">IF($B932="","",IFERROR(INDEX(고객사!$B$5:$B$104,MATCH($B932,고객사!$A$5:$A$104,0)),"코드 확인"))</f>
        <v/>
      </c>
      <c r="D932" s="15"/>
      <c r="E932" s="15"/>
      <c r="F932" s="16"/>
      <c r="G932" s="16"/>
      <c r="H932" s="21" t="str">
        <f aca="false">IF(OR($B932="",F932=0),"",G932/F932)</f>
        <v/>
      </c>
      <c r="I932" s="22" t="str">
        <f aca="false">IF($B932="","",MAX(F932-G932,0))</f>
        <v/>
      </c>
      <c r="J932" s="23" t="str">
        <f aca="false">IF($B932="","",IFERROR(INDEX(고객사!$G$5:$G$104,MATCH($B932,고객사!$A$5:$A$104,0)),""))</f>
        <v/>
      </c>
      <c r="K932" s="16"/>
      <c r="L932" s="22" t="str">
        <f aca="false">IF($B932="","",K932*IFERROR(INDEX(고객사!$L$5:$L$104,MATCH($B932,고객사!$A$5:$A$104,0)),0))</f>
        <v/>
      </c>
      <c r="M932" s="23" t="str">
        <f aca="false">IF($B932="","",IF(AND(J932="N",G932&gt;0,K932=0,IFERROR(INDEX(고객사!$H$5:$H$104,MATCH($B932,고객사!$A$5:$A$104,0)),"")="자사 차량 운행"),"차량 미배정",""))</f>
        <v/>
      </c>
      <c r="N932" s="22" t="str">
        <f aca="false">IF($B932="","",IFERROR(INDEX(고객사!$J$5:$J$104,MATCH($B932,고객사!$A$5:$A$104,0)),0))</f>
        <v/>
      </c>
      <c r="O932" s="22" t="str">
        <f aca="false">IF($B932="","",G932*N932)</f>
        <v/>
      </c>
      <c r="P932" s="22" t="str">
        <f aca="false">IF($B932="","",IFERROR(INDEX(고객사!$K$5:$K$104,MATCH($B932,고객사!$A$5:$A$104,0)),0))</f>
        <v/>
      </c>
      <c r="Q932" s="22" t="str">
        <f aca="false">IF($B932="","",G932*P932)</f>
        <v/>
      </c>
      <c r="R932" s="22" t="str">
        <f aca="false">IF($B932="","",O932-Q932-L932)</f>
        <v/>
      </c>
      <c r="S932" s="21" t="str">
        <f aca="false">IF(OR($B932="",N(O932)=0),"",R932/O932)</f>
        <v/>
      </c>
      <c r="T932" s="14"/>
      <c r="U932" s="19" t="n">
        <f aca="false">IF(OR($B932="",$A932=""),0,IF(COUNTIFS($A$5:$A932,$A932,$B$5:$B932,$B932)=1,1,0))</f>
        <v>0</v>
      </c>
    </row>
    <row r="933" customFormat="false" ht="15" hidden="false" customHeight="false" outlineLevel="0" collapsed="false">
      <c r="A933" s="17"/>
      <c r="B933" s="13"/>
      <c r="C933" s="20" t="str">
        <f aca="false">IF($B933="","",IFERROR(INDEX(고객사!$B$5:$B$104,MATCH($B933,고객사!$A$5:$A$104,0)),"코드 확인"))</f>
        <v/>
      </c>
      <c r="D933" s="15"/>
      <c r="E933" s="15"/>
      <c r="F933" s="16"/>
      <c r="G933" s="16"/>
      <c r="H933" s="21" t="str">
        <f aca="false">IF(OR($B933="",F933=0),"",G933/F933)</f>
        <v/>
      </c>
      <c r="I933" s="22" t="str">
        <f aca="false">IF($B933="","",MAX(F933-G933,0))</f>
        <v/>
      </c>
      <c r="J933" s="23" t="str">
        <f aca="false">IF($B933="","",IFERROR(INDEX(고객사!$G$5:$G$104,MATCH($B933,고객사!$A$5:$A$104,0)),""))</f>
        <v/>
      </c>
      <c r="K933" s="16"/>
      <c r="L933" s="22" t="str">
        <f aca="false">IF($B933="","",K933*IFERROR(INDEX(고객사!$L$5:$L$104,MATCH($B933,고객사!$A$5:$A$104,0)),0))</f>
        <v/>
      </c>
      <c r="M933" s="23" t="str">
        <f aca="false">IF($B933="","",IF(AND(J933="N",G933&gt;0,K933=0,IFERROR(INDEX(고객사!$H$5:$H$104,MATCH($B933,고객사!$A$5:$A$104,0)),"")="자사 차량 운행"),"차량 미배정",""))</f>
        <v/>
      </c>
      <c r="N933" s="22" t="str">
        <f aca="false">IF($B933="","",IFERROR(INDEX(고객사!$J$5:$J$104,MATCH($B933,고객사!$A$5:$A$104,0)),0))</f>
        <v/>
      </c>
      <c r="O933" s="22" t="str">
        <f aca="false">IF($B933="","",G933*N933)</f>
        <v/>
      </c>
      <c r="P933" s="22" t="str">
        <f aca="false">IF($B933="","",IFERROR(INDEX(고객사!$K$5:$K$104,MATCH($B933,고객사!$A$5:$A$104,0)),0))</f>
        <v/>
      </c>
      <c r="Q933" s="22" t="str">
        <f aca="false">IF($B933="","",G933*P933)</f>
        <v/>
      </c>
      <c r="R933" s="22" t="str">
        <f aca="false">IF($B933="","",O933-Q933-L933)</f>
        <v/>
      </c>
      <c r="S933" s="21" t="str">
        <f aca="false">IF(OR($B933="",N(O933)=0),"",R933/O933)</f>
        <v/>
      </c>
      <c r="T933" s="14"/>
      <c r="U933" s="19" t="n">
        <f aca="false">IF(OR($B933="",$A933=""),0,IF(COUNTIFS($A$5:$A933,$A933,$B$5:$B933,$B933)=1,1,0))</f>
        <v>0</v>
      </c>
    </row>
    <row r="934" customFormat="false" ht="15" hidden="false" customHeight="false" outlineLevel="0" collapsed="false">
      <c r="A934" s="17"/>
      <c r="B934" s="13"/>
      <c r="C934" s="20" t="str">
        <f aca="false">IF($B934="","",IFERROR(INDEX(고객사!$B$5:$B$104,MATCH($B934,고객사!$A$5:$A$104,0)),"코드 확인"))</f>
        <v/>
      </c>
      <c r="D934" s="15"/>
      <c r="E934" s="15"/>
      <c r="F934" s="16"/>
      <c r="G934" s="16"/>
      <c r="H934" s="21" t="str">
        <f aca="false">IF(OR($B934="",F934=0),"",G934/F934)</f>
        <v/>
      </c>
      <c r="I934" s="22" t="str">
        <f aca="false">IF($B934="","",MAX(F934-G934,0))</f>
        <v/>
      </c>
      <c r="J934" s="23" t="str">
        <f aca="false">IF($B934="","",IFERROR(INDEX(고객사!$G$5:$G$104,MATCH($B934,고객사!$A$5:$A$104,0)),""))</f>
        <v/>
      </c>
      <c r="K934" s="16"/>
      <c r="L934" s="22" t="str">
        <f aca="false">IF($B934="","",K934*IFERROR(INDEX(고객사!$L$5:$L$104,MATCH($B934,고객사!$A$5:$A$104,0)),0))</f>
        <v/>
      </c>
      <c r="M934" s="23" t="str">
        <f aca="false">IF($B934="","",IF(AND(J934="N",G934&gt;0,K934=0,IFERROR(INDEX(고객사!$H$5:$H$104,MATCH($B934,고객사!$A$5:$A$104,0)),"")="자사 차량 운행"),"차량 미배정",""))</f>
        <v/>
      </c>
      <c r="N934" s="22" t="str">
        <f aca="false">IF($B934="","",IFERROR(INDEX(고객사!$J$5:$J$104,MATCH($B934,고객사!$A$5:$A$104,0)),0))</f>
        <v/>
      </c>
      <c r="O934" s="22" t="str">
        <f aca="false">IF($B934="","",G934*N934)</f>
        <v/>
      </c>
      <c r="P934" s="22" t="str">
        <f aca="false">IF($B934="","",IFERROR(INDEX(고객사!$K$5:$K$104,MATCH($B934,고객사!$A$5:$A$104,0)),0))</f>
        <v/>
      </c>
      <c r="Q934" s="22" t="str">
        <f aca="false">IF($B934="","",G934*P934)</f>
        <v/>
      </c>
      <c r="R934" s="22" t="str">
        <f aca="false">IF($B934="","",O934-Q934-L934)</f>
        <v/>
      </c>
      <c r="S934" s="21" t="str">
        <f aca="false">IF(OR($B934="",N(O934)=0),"",R934/O934)</f>
        <v/>
      </c>
      <c r="T934" s="14"/>
      <c r="U934" s="19" t="n">
        <f aca="false">IF(OR($B934="",$A934=""),0,IF(COUNTIFS($A$5:$A934,$A934,$B$5:$B934,$B934)=1,1,0))</f>
        <v>0</v>
      </c>
    </row>
    <row r="935" customFormat="false" ht="15" hidden="false" customHeight="false" outlineLevel="0" collapsed="false">
      <c r="A935" s="17"/>
      <c r="B935" s="13"/>
      <c r="C935" s="20" t="str">
        <f aca="false">IF($B935="","",IFERROR(INDEX(고객사!$B$5:$B$104,MATCH($B935,고객사!$A$5:$A$104,0)),"코드 확인"))</f>
        <v/>
      </c>
      <c r="D935" s="15"/>
      <c r="E935" s="15"/>
      <c r="F935" s="16"/>
      <c r="G935" s="16"/>
      <c r="H935" s="21" t="str">
        <f aca="false">IF(OR($B935="",F935=0),"",G935/F935)</f>
        <v/>
      </c>
      <c r="I935" s="22" t="str">
        <f aca="false">IF($B935="","",MAX(F935-G935,0))</f>
        <v/>
      </c>
      <c r="J935" s="23" t="str">
        <f aca="false">IF($B935="","",IFERROR(INDEX(고객사!$G$5:$G$104,MATCH($B935,고객사!$A$5:$A$104,0)),""))</f>
        <v/>
      </c>
      <c r="K935" s="16"/>
      <c r="L935" s="22" t="str">
        <f aca="false">IF($B935="","",K935*IFERROR(INDEX(고객사!$L$5:$L$104,MATCH($B935,고객사!$A$5:$A$104,0)),0))</f>
        <v/>
      </c>
      <c r="M935" s="23" t="str">
        <f aca="false">IF($B935="","",IF(AND(J935="N",G935&gt;0,K935=0,IFERROR(INDEX(고객사!$H$5:$H$104,MATCH($B935,고객사!$A$5:$A$104,0)),"")="자사 차량 운행"),"차량 미배정",""))</f>
        <v/>
      </c>
      <c r="N935" s="22" t="str">
        <f aca="false">IF($B935="","",IFERROR(INDEX(고객사!$J$5:$J$104,MATCH($B935,고객사!$A$5:$A$104,0)),0))</f>
        <v/>
      </c>
      <c r="O935" s="22" t="str">
        <f aca="false">IF($B935="","",G935*N935)</f>
        <v/>
      </c>
      <c r="P935" s="22" t="str">
        <f aca="false">IF($B935="","",IFERROR(INDEX(고객사!$K$5:$K$104,MATCH($B935,고객사!$A$5:$A$104,0)),0))</f>
        <v/>
      </c>
      <c r="Q935" s="22" t="str">
        <f aca="false">IF($B935="","",G935*P935)</f>
        <v/>
      </c>
      <c r="R935" s="22" t="str">
        <f aca="false">IF($B935="","",O935-Q935-L935)</f>
        <v/>
      </c>
      <c r="S935" s="21" t="str">
        <f aca="false">IF(OR($B935="",N(O935)=0),"",R935/O935)</f>
        <v/>
      </c>
      <c r="T935" s="14"/>
      <c r="U935" s="19" t="n">
        <f aca="false">IF(OR($B935="",$A935=""),0,IF(COUNTIFS($A$5:$A935,$A935,$B$5:$B935,$B935)=1,1,0))</f>
        <v>0</v>
      </c>
    </row>
    <row r="936" customFormat="false" ht="15" hidden="false" customHeight="false" outlineLevel="0" collapsed="false">
      <c r="A936" s="17"/>
      <c r="B936" s="13"/>
      <c r="C936" s="20" t="str">
        <f aca="false">IF($B936="","",IFERROR(INDEX(고객사!$B$5:$B$104,MATCH($B936,고객사!$A$5:$A$104,0)),"코드 확인"))</f>
        <v/>
      </c>
      <c r="D936" s="15"/>
      <c r="E936" s="15"/>
      <c r="F936" s="16"/>
      <c r="G936" s="16"/>
      <c r="H936" s="21" t="str">
        <f aca="false">IF(OR($B936="",F936=0),"",G936/F936)</f>
        <v/>
      </c>
      <c r="I936" s="22" t="str">
        <f aca="false">IF($B936="","",MAX(F936-G936,0))</f>
        <v/>
      </c>
      <c r="J936" s="23" t="str">
        <f aca="false">IF($B936="","",IFERROR(INDEX(고객사!$G$5:$G$104,MATCH($B936,고객사!$A$5:$A$104,0)),""))</f>
        <v/>
      </c>
      <c r="K936" s="16"/>
      <c r="L936" s="22" t="str">
        <f aca="false">IF($B936="","",K936*IFERROR(INDEX(고객사!$L$5:$L$104,MATCH($B936,고객사!$A$5:$A$104,0)),0))</f>
        <v/>
      </c>
      <c r="M936" s="23" t="str">
        <f aca="false">IF($B936="","",IF(AND(J936="N",G936&gt;0,K936=0,IFERROR(INDEX(고객사!$H$5:$H$104,MATCH($B936,고객사!$A$5:$A$104,0)),"")="자사 차량 운행"),"차량 미배정",""))</f>
        <v/>
      </c>
      <c r="N936" s="22" t="str">
        <f aca="false">IF($B936="","",IFERROR(INDEX(고객사!$J$5:$J$104,MATCH($B936,고객사!$A$5:$A$104,0)),0))</f>
        <v/>
      </c>
      <c r="O936" s="22" t="str">
        <f aca="false">IF($B936="","",G936*N936)</f>
        <v/>
      </c>
      <c r="P936" s="22" t="str">
        <f aca="false">IF($B936="","",IFERROR(INDEX(고객사!$K$5:$K$104,MATCH($B936,고객사!$A$5:$A$104,0)),0))</f>
        <v/>
      </c>
      <c r="Q936" s="22" t="str">
        <f aca="false">IF($B936="","",G936*P936)</f>
        <v/>
      </c>
      <c r="R936" s="22" t="str">
        <f aca="false">IF($B936="","",O936-Q936-L936)</f>
        <v/>
      </c>
      <c r="S936" s="21" t="str">
        <f aca="false">IF(OR($B936="",N(O936)=0),"",R936/O936)</f>
        <v/>
      </c>
      <c r="T936" s="14"/>
      <c r="U936" s="19" t="n">
        <f aca="false">IF(OR($B936="",$A936=""),0,IF(COUNTIFS($A$5:$A936,$A936,$B$5:$B936,$B936)=1,1,0))</f>
        <v>0</v>
      </c>
    </row>
    <row r="937" customFormat="false" ht="15" hidden="false" customHeight="false" outlineLevel="0" collapsed="false">
      <c r="A937" s="17"/>
      <c r="B937" s="13"/>
      <c r="C937" s="20" t="str">
        <f aca="false">IF($B937="","",IFERROR(INDEX(고객사!$B$5:$B$104,MATCH($B937,고객사!$A$5:$A$104,0)),"코드 확인"))</f>
        <v/>
      </c>
      <c r="D937" s="15"/>
      <c r="E937" s="15"/>
      <c r="F937" s="16"/>
      <c r="G937" s="16"/>
      <c r="H937" s="21" t="str">
        <f aca="false">IF(OR($B937="",F937=0),"",G937/F937)</f>
        <v/>
      </c>
      <c r="I937" s="22" t="str">
        <f aca="false">IF($B937="","",MAX(F937-G937,0))</f>
        <v/>
      </c>
      <c r="J937" s="23" t="str">
        <f aca="false">IF($B937="","",IFERROR(INDEX(고객사!$G$5:$G$104,MATCH($B937,고객사!$A$5:$A$104,0)),""))</f>
        <v/>
      </c>
      <c r="K937" s="16"/>
      <c r="L937" s="22" t="str">
        <f aca="false">IF($B937="","",K937*IFERROR(INDEX(고객사!$L$5:$L$104,MATCH($B937,고객사!$A$5:$A$104,0)),0))</f>
        <v/>
      </c>
      <c r="M937" s="23" t="str">
        <f aca="false">IF($B937="","",IF(AND(J937="N",G937&gt;0,K937=0,IFERROR(INDEX(고객사!$H$5:$H$104,MATCH($B937,고객사!$A$5:$A$104,0)),"")="자사 차량 운행"),"차량 미배정",""))</f>
        <v/>
      </c>
      <c r="N937" s="22" t="str">
        <f aca="false">IF($B937="","",IFERROR(INDEX(고객사!$J$5:$J$104,MATCH($B937,고객사!$A$5:$A$104,0)),0))</f>
        <v/>
      </c>
      <c r="O937" s="22" t="str">
        <f aca="false">IF($B937="","",G937*N937)</f>
        <v/>
      </c>
      <c r="P937" s="22" t="str">
        <f aca="false">IF($B937="","",IFERROR(INDEX(고객사!$K$5:$K$104,MATCH($B937,고객사!$A$5:$A$104,0)),0))</f>
        <v/>
      </c>
      <c r="Q937" s="22" t="str">
        <f aca="false">IF($B937="","",G937*P937)</f>
        <v/>
      </c>
      <c r="R937" s="22" t="str">
        <f aca="false">IF($B937="","",O937-Q937-L937)</f>
        <v/>
      </c>
      <c r="S937" s="21" t="str">
        <f aca="false">IF(OR($B937="",N(O937)=0),"",R937/O937)</f>
        <v/>
      </c>
      <c r="T937" s="14"/>
      <c r="U937" s="19" t="n">
        <f aca="false">IF(OR($B937="",$A937=""),0,IF(COUNTIFS($A$5:$A937,$A937,$B$5:$B937,$B937)=1,1,0))</f>
        <v>0</v>
      </c>
    </row>
    <row r="938" customFormat="false" ht="15" hidden="false" customHeight="false" outlineLevel="0" collapsed="false">
      <c r="A938" s="17"/>
      <c r="B938" s="13"/>
      <c r="C938" s="20" t="str">
        <f aca="false">IF($B938="","",IFERROR(INDEX(고객사!$B$5:$B$104,MATCH($B938,고객사!$A$5:$A$104,0)),"코드 확인"))</f>
        <v/>
      </c>
      <c r="D938" s="15"/>
      <c r="E938" s="15"/>
      <c r="F938" s="16"/>
      <c r="G938" s="16"/>
      <c r="H938" s="21" t="str">
        <f aca="false">IF(OR($B938="",F938=0),"",G938/F938)</f>
        <v/>
      </c>
      <c r="I938" s="22" t="str">
        <f aca="false">IF($B938="","",MAX(F938-G938,0))</f>
        <v/>
      </c>
      <c r="J938" s="23" t="str">
        <f aca="false">IF($B938="","",IFERROR(INDEX(고객사!$G$5:$G$104,MATCH($B938,고객사!$A$5:$A$104,0)),""))</f>
        <v/>
      </c>
      <c r="K938" s="16"/>
      <c r="L938" s="22" t="str">
        <f aca="false">IF($B938="","",K938*IFERROR(INDEX(고객사!$L$5:$L$104,MATCH($B938,고객사!$A$5:$A$104,0)),0))</f>
        <v/>
      </c>
      <c r="M938" s="23" t="str">
        <f aca="false">IF($B938="","",IF(AND(J938="N",G938&gt;0,K938=0,IFERROR(INDEX(고객사!$H$5:$H$104,MATCH($B938,고객사!$A$5:$A$104,0)),"")="자사 차량 운행"),"차량 미배정",""))</f>
        <v/>
      </c>
      <c r="N938" s="22" t="str">
        <f aca="false">IF($B938="","",IFERROR(INDEX(고객사!$J$5:$J$104,MATCH($B938,고객사!$A$5:$A$104,0)),0))</f>
        <v/>
      </c>
      <c r="O938" s="22" t="str">
        <f aca="false">IF($B938="","",G938*N938)</f>
        <v/>
      </c>
      <c r="P938" s="22" t="str">
        <f aca="false">IF($B938="","",IFERROR(INDEX(고객사!$K$5:$K$104,MATCH($B938,고객사!$A$5:$A$104,0)),0))</f>
        <v/>
      </c>
      <c r="Q938" s="22" t="str">
        <f aca="false">IF($B938="","",G938*P938)</f>
        <v/>
      </c>
      <c r="R938" s="22" t="str">
        <f aca="false">IF($B938="","",O938-Q938-L938)</f>
        <v/>
      </c>
      <c r="S938" s="21" t="str">
        <f aca="false">IF(OR($B938="",N(O938)=0),"",R938/O938)</f>
        <v/>
      </c>
      <c r="T938" s="14"/>
      <c r="U938" s="19" t="n">
        <f aca="false">IF(OR($B938="",$A938=""),0,IF(COUNTIFS($A$5:$A938,$A938,$B$5:$B938,$B938)=1,1,0))</f>
        <v>0</v>
      </c>
    </row>
    <row r="939" customFormat="false" ht="15" hidden="false" customHeight="false" outlineLevel="0" collapsed="false">
      <c r="A939" s="17"/>
      <c r="B939" s="13"/>
      <c r="C939" s="20" t="str">
        <f aca="false">IF($B939="","",IFERROR(INDEX(고객사!$B$5:$B$104,MATCH($B939,고객사!$A$5:$A$104,0)),"코드 확인"))</f>
        <v/>
      </c>
      <c r="D939" s="15"/>
      <c r="E939" s="15"/>
      <c r="F939" s="16"/>
      <c r="G939" s="16"/>
      <c r="H939" s="21" t="str">
        <f aca="false">IF(OR($B939="",F939=0),"",G939/F939)</f>
        <v/>
      </c>
      <c r="I939" s="22" t="str">
        <f aca="false">IF($B939="","",MAX(F939-G939,0))</f>
        <v/>
      </c>
      <c r="J939" s="23" t="str">
        <f aca="false">IF($B939="","",IFERROR(INDEX(고객사!$G$5:$G$104,MATCH($B939,고객사!$A$5:$A$104,0)),""))</f>
        <v/>
      </c>
      <c r="K939" s="16"/>
      <c r="L939" s="22" t="str">
        <f aca="false">IF($B939="","",K939*IFERROR(INDEX(고객사!$L$5:$L$104,MATCH($B939,고객사!$A$5:$A$104,0)),0))</f>
        <v/>
      </c>
      <c r="M939" s="23" t="str">
        <f aca="false">IF($B939="","",IF(AND(J939="N",G939&gt;0,K939=0,IFERROR(INDEX(고객사!$H$5:$H$104,MATCH($B939,고객사!$A$5:$A$104,0)),"")="자사 차량 운행"),"차량 미배정",""))</f>
        <v/>
      </c>
      <c r="N939" s="22" t="str">
        <f aca="false">IF($B939="","",IFERROR(INDEX(고객사!$J$5:$J$104,MATCH($B939,고객사!$A$5:$A$104,0)),0))</f>
        <v/>
      </c>
      <c r="O939" s="22" t="str">
        <f aca="false">IF($B939="","",G939*N939)</f>
        <v/>
      </c>
      <c r="P939" s="22" t="str">
        <f aca="false">IF($B939="","",IFERROR(INDEX(고객사!$K$5:$K$104,MATCH($B939,고객사!$A$5:$A$104,0)),0))</f>
        <v/>
      </c>
      <c r="Q939" s="22" t="str">
        <f aca="false">IF($B939="","",G939*P939)</f>
        <v/>
      </c>
      <c r="R939" s="22" t="str">
        <f aca="false">IF($B939="","",O939-Q939-L939)</f>
        <v/>
      </c>
      <c r="S939" s="21" t="str">
        <f aca="false">IF(OR($B939="",N(O939)=0),"",R939/O939)</f>
        <v/>
      </c>
      <c r="T939" s="14"/>
      <c r="U939" s="19" t="n">
        <f aca="false">IF(OR($B939="",$A939=""),0,IF(COUNTIFS($A$5:$A939,$A939,$B$5:$B939,$B939)=1,1,0))</f>
        <v>0</v>
      </c>
    </row>
    <row r="940" customFormat="false" ht="15" hidden="false" customHeight="false" outlineLevel="0" collapsed="false">
      <c r="A940" s="17"/>
      <c r="B940" s="13"/>
      <c r="C940" s="20" t="str">
        <f aca="false">IF($B940="","",IFERROR(INDEX(고객사!$B$5:$B$104,MATCH($B940,고객사!$A$5:$A$104,0)),"코드 확인"))</f>
        <v/>
      </c>
      <c r="D940" s="15"/>
      <c r="E940" s="15"/>
      <c r="F940" s="16"/>
      <c r="G940" s="16"/>
      <c r="H940" s="21" t="str">
        <f aca="false">IF(OR($B940="",F940=0),"",G940/F940)</f>
        <v/>
      </c>
      <c r="I940" s="22" t="str">
        <f aca="false">IF($B940="","",MAX(F940-G940,0))</f>
        <v/>
      </c>
      <c r="J940" s="23" t="str">
        <f aca="false">IF($B940="","",IFERROR(INDEX(고객사!$G$5:$G$104,MATCH($B940,고객사!$A$5:$A$104,0)),""))</f>
        <v/>
      </c>
      <c r="K940" s="16"/>
      <c r="L940" s="22" t="str">
        <f aca="false">IF($B940="","",K940*IFERROR(INDEX(고객사!$L$5:$L$104,MATCH($B940,고객사!$A$5:$A$104,0)),0))</f>
        <v/>
      </c>
      <c r="M940" s="23" t="str">
        <f aca="false">IF($B940="","",IF(AND(J940="N",G940&gt;0,K940=0,IFERROR(INDEX(고객사!$H$5:$H$104,MATCH($B940,고객사!$A$5:$A$104,0)),"")="자사 차량 운행"),"차량 미배정",""))</f>
        <v/>
      </c>
      <c r="N940" s="22" t="str">
        <f aca="false">IF($B940="","",IFERROR(INDEX(고객사!$J$5:$J$104,MATCH($B940,고객사!$A$5:$A$104,0)),0))</f>
        <v/>
      </c>
      <c r="O940" s="22" t="str">
        <f aca="false">IF($B940="","",G940*N940)</f>
        <v/>
      </c>
      <c r="P940" s="22" t="str">
        <f aca="false">IF($B940="","",IFERROR(INDEX(고객사!$K$5:$K$104,MATCH($B940,고객사!$A$5:$A$104,0)),0))</f>
        <v/>
      </c>
      <c r="Q940" s="22" t="str">
        <f aca="false">IF($B940="","",G940*P940)</f>
        <v/>
      </c>
      <c r="R940" s="22" t="str">
        <f aca="false">IF($B940="","",O940-Q940-L940)</f>
        <v/>
      </c>
      <c r="S940" s="21" t="str">
        <f aca="false">IF(OR($B940="",N(O940)=0),"",R940/O940)</f>
        <v/>
      </c>
      <c r="T940" s="14"/>
      <c r="U940" s="19" t="n">
        <f aca="false">IF(OR($B940="",$A940=""),0,IF(COUNTIFS($A$5:$A940,$A940,$B$5:$B940,$B940)=1,1,0))</f>
        <v>0</v>
      </c>
    </row>
    <row r="941" customFormat="false" ht="15" hidden="false" customHeight="false" outlineLevel="0" collapsed="false">
      <c r="A941" s="17"/>
      <c r="B941" s="13"/>
      <c r="C941" s="20" t="str">
        <f aca="false">IF($B941="","",IFERROR(INDEX(고객사!$B$5:$B$104,MATCH($B941,고객사!$A$5:$A$104,0)),"코드 확인"))</f>
        <v/>
      </c>
      <c r="D941" s="15"/>
      <c r="E941" s="15"/>
      <c r="F941" s="16"/>
      <c r="G941" s="16"/>
      <c r="H941" s="21" t="str">
        <f aca="false">IF(OR($B941="",F941=0),"",G941/F941)</f>
        <v/>
      </c>
      <c r="I941" s="22" t="str">
        <f aca="false">IF($B941="","",MAX(F941-G941,0))</f>
        <v/>
      </c>
      <c r="J941" s="23" t="str">
        <f aca="false">IF($B941="","",IFERROR(INDEX(고객사!$G$5:$G$104,MATCH($B941,고객사!$A$5:$A$104,0)),""))</f>
        <v/>
      </c>
      <c r="K941" s="16"/>
      <c r="L941" s="22" t="str">
        <f aca="false">IF($B941="","",K941*IFERROR(INDEX(고객사!$L$5:$L$104,MATCH($B941,고객사!$A$5:$A$104,0)),0))</f>
        <v/>
      </c>
      <c r="M941" s="23" t="str">
        <f aca="false">IF($B941="","",IF(AND(J941="N",G941&gt;0,K941=0,IFERROR(INDEX(고객사!$H$5:$H$104,MATCH($B941,고객사!$A$5:$A$104,0)),"")="자사 차량 운행"),"차량 미배정",""))</f>
        <v/>
      </c>
      <c r="N941" s="22" t="str">
        <f aca="false">IF($B941="","",IFERROR(INDEX(고객사!$J$5:$J$104,MATCH($B941,고객사!$A$5:$A$104,0)),0))</f>
        <v/>
      </c>
      <c r="O941" s="22" t="str">
        <f aca="false">IF($B941="","",G941*N941)</f>
        <v/>
      </c>
      <c r="P941" s="22" t="str">
        <f aca="false">IF($B941="","",IFERROR(INDEX(고객사!$K$5:$K$104,MATCH($B941,고객사!$A$5:$A$104,0)),0))</f>
        <v/>
      </c>
      <c r="Q941" s="22" t="str">
        <f aca="false">IF($B941="","",G941*P941)</f>
        <v/>
      </c>
      <c r="R941" s="22" t="str">
        <f aca="false">IF($B941="","",O941-Q941-L941)</f>
        <v/>
      </c>
      <c r="S941" s="21" t="str">
        <f aca="false">IF(OR($B941="",N(O941)=0),"",R941/O941)</f>
        <v/>
      </c>
      <c r="T941" s="14"/>
      <c r="U941" s="19" t="n">
        <f aca="false">IF(OR($B941="",$A941=""),0,IF(COUNTIFS($A$5:$A941,$A941,$B$5:$B941,$B941)=1,1,0))</f>
        <v>0</v>
      </c>
    </row>
    <row r="942" customFormat="false" ht="15" hidden="false" customHeight="false" outlineLevel="0" collapsed="false">
      <c r="A942" s="17"/>
      <c r="B942" s="13"/>
      <c r="C942" s="20" t="str">
        <f aca="false">IF($B942="","",IFERROR(INDEX(고객사!$B$5:$B$104,MATCH($B942,고객사!$A$5:$A$104,0)),"코드 확인"))</f>
        <v/>
      </c>
      <c r="D942" s="15"/>
      <c r="E942" s="15"/>
      <c r="F942" s="16"/>
      <c r="G942" s="16"/>
      <c r="H942" s="21" t="str">
        <f aca="false">IF(OR($B942="",F942=0),"",G942/F942)</f>
        <v/>
      </c>
      <c r="I942" s="22" t="str">
        <f aca="false">IF($B942="","",MAX(F942-G942,0))</f>
        <v/>
      </c>
      <c r="J942" s="23" t="str">
        <f aca="false">IF($B942="","",IFERROR(INDEX(고객사!$G$5:$G$104,MATCH($B942,고객사!$A$5:$A$104,0)),""))</f>
        <v/>
      </c>
      <c r="K942" s="16"/>
      <c r="L942" s="22" t="str">
        <f aca="false">IF($B942="","",K942*IFERROR(INDEX(고객사!$L$5:$L$104,MATCH($B942,고객사!$A$5:$A$104,0)),0))</f>
        <v/>
      </c>
      <c r="M942" s="23" t="str">
        <f aca="false">IF($B942="","",IF(AND(J942="N",G942&gt;0,K942=0,IFERROR(INDEX(고객사!$H$5:$H$104,MATCH($B942,고객사!$A$5:$A$104,0)),"")="자사 차량 운행"),"차량 미배정",""))</f>
        <v/>
      </c>
      <c r="N942" s="22" t="str">
        <f aca="false">IF($B942="","",IFERROR(INDEX(고객사!$J$5:$J$104,MATCH($B942,고객사!$A$5:$A$104,0)),0))</f>
        <v/>
      </c>
      <c r="O942" s="22" t="str">
        <f aca="false">IF($B942="","",G942*N942)</f>
        <v/>
      </c>
      <c r="P942" s="22" t="str">
        <f aca="false">IF($B942="","",IFERROR(INDEX(고객사!$K$5:$K$104,MATCH($B942,고객사!$A$5:$A$104,0)),0))</f>
        <v/>
      </c>
      <c r="Q942" s="22" t="str">
        <f aca="false">IF($B942="","",G942*P942)</f>
        <v/>
      </c>
      <c r="R942" s="22" t="str">
        <f aca="false">IF($B942="","",O942-Q942-L942)</f>
        <v/>
      </c>
      <c r="S942" s="21" t="str">
        <f aca="false">IF(OR($B942="",N(O942)=0),"",R942/O942)</f>
        <v/>
      </c>
      <c r="T942" s="14"/>
      <c r="U942" s="19" t="n">
        <f aca="false">IF(OR($B942="",$A942=""),0,IF(COUNTIFS($A$5:$A942,$A942,$B$5:$B942,$B942)=1,1,0))</f>
        <v>0</v>
      </c>
    </row>
    <row r="943" customFormat="false" ht="15" hidden="false" customHeight="false" outlineLevel="0" collapsed="false">
      <c r="A943" s="17"/>
      <c r="B943" s="13"/>
      <c r="C943" s="20" t="str">
        <f aca="false">IF($B943="","",IFERROR(INDEX(고객사!$B$5:$B$104,MATCH($B943,고객사!$A$5:$A$104,0)),"코드 확인"))</f>
        <v/>
      </c>
      <c r="D943" s="15"/>
      <c r="E943" s="15"/>
      <c r="F943" s="16"/>
      <c r="G943" s="16"/>
      <c r="H943" s="21" t="str">
        <f aca="false">IF(OR($B943="",F943=0),"",G943/F943)</f>
        <v/>
      </c>
      <c r="I943" s="22" t="str">
        <f aca="false">IF($B943="","",MAX(F943-G943,0))</f>
        <v/>
      </c>
      <c r="J943" s="23" t="str">
        <f aca="false">IF($B943="","",IFERROR(INDEX(고객사!$G$5:$G$104,MATCH($B943,고객사!$A$5:$A$104,0)),""))</f>
        <v/>
      </c>
      <c r="K943" s="16"/>
      <c r="L943" s="22" t="str">
        <f aca="false">IF($B943="","",K943*IFERROR(INDEX(고객사!$L$5:$L$104,MATCH($B943,고객사!$A$5:$A$104,0)),0))</f>
        <v/>
      </c>
      <c r="M943" s="23" t="str">
        <f aca="false">IF($B943="","",IF(AND(J943="N",G943&gt;0,K943=0,IFERROR(INDEX(고객사!$H$5:$H$104,MATCH($B943,고객사!$A$5:$A$104,0)),"")="자사 차량 운행"),"차량 미배정",""))</f>
        <v/>
      </c>
      <c r="N943" s="22" t="str">
        <f aca="false">IF($B943="","",IFERROR(INDEX(고객사!$J$5:$J$104,MATCH($B943,고객사!$A$5:$A$104,0)),0))</f>
        <v/>
      </c>
      <c r="O943" s="22" t="str">
        <f aca="false">IF($B943="","",G943*N943)</f>
        <v/>
      </c>
      <c r="P943" s="22" t="str">
        <f aca="false">IF($B943="","",IFERROR(INDEX(고객사!$K$5:$K$104,MATCH($B943,고객사!$A$5:$A$104,0)),0))</f>
        <v/>
      </c>
      <c r="Q943" s="22" t="str">
        <f aca="false">IF($B943="","",G943*P943)</f>
        <v/>
      </c>
      <c r="R943" s="22" t="str">
        <f aca="false">IF($B943="","",O943-Q943-L943)</f>
        <v/>
      </c>
      <c r="S943" s="21" t="str">
        <f aca="false">IF(OR($B943="",N(O943)=0),"",R943/O943)</f>
        <v/>
      </c>
      <c r="T943" s="14"/>
      <c r="U943" s="19" t="n">
        <f aca="false">IF(OR($B943="",$A943=""),0,IF(COUNTIFS($A$5:$A943,$A943,$B$5:$B943,$B943)=1,1,0))</f>
        <v>0</v>
      </c>
    </row>
    <row r="944" customFormat="false" ht="15" hidden="false" customHeight="false" outlineLevel="0" collapsed="false">
      <c r="A944" s="17"/>
      <c r="B944" s="13"/>
      <c r="C944" s="20" t="str">
        <f aca="false">IF($B944="","",IFERROR(INDEX(고객사!$B$5:$B$104,MATCH($B944,고객사!$A$5:$A$104,0)),"코드 확인"))</f>
        <v/>
      </c>
      <c r="D944" s="15"/>
      <c r="E944" s="15"/>
      <c r="F944" s="16"/>
      <c r="G944" s="16"/>
      <c r="H944" s="21" t="str">
        <f aca="false">IF(OR($B944="",F944=0),"",G944/F944)</f>
        <v/>
      </c>
      <c r="I944" s="22" t="str">
        <f aca="false">IF($B944="","",MAX(F944-G944,0))</f>
        <v/>
      </c>
      <c r="J944" s="23" t="str">
        <f aca="false">IF($B944="","",IFERROR(INDEX(고객사!$G$5:$G$104,MATCH($B944,고객사!$A$5:$A$104,0)),""))</f>
        <v/>
      </c>
      <c r="K944" s="16"/>
      <c r="L944" s="22" t="str">
        <f aca="false">IF($B944="","",K944*IFERROR(INDEX(고객사!$L$5:$L$104,MATCH($B944,고객사!$A$5:$A$104,0)),0))</f>
        <v/>
      </c>
      <c r="M944" s="23" t="str">
        <f aca="false">IF($B944="","",IF(AND(J944="N",G944&gt;0,K944=0,IFERROR(INDEX(고객사!$H$5:$H$104,MATCH($B944,고객사!$A$5:$A$104,0)),"")="자사 차량 운행"),"차량 미배정",""))</f>
        <v/>
      </c>
      <c r="N944" s="22" t="str">
        <f aca="false">IF($B944="","",IFERROR(INDEX(고객사!$J$5:$J$104,MATCH($B944,고객사!$A$5:$A$104,0)),0))</f>
        <v/>
      </c>
      <c r="O944" s="22" t="str">
        <f aca="false">IF($B944="","",G944*N944)</f>
        <v/>
      </c>
      <c r="P944" s="22" t="str">
        <f aca="false">IF($B944="","",IFERROR(INDEX(고객사!$K$5:$K$104,MATCH($B944,고객사!$A$5:$A$104,0)),0))</f>
        <v/>
      </c>
      <c r="Q944" s="22" t="str">
        <f aca="false">IF($B944="","",G944*P944)</f>
        <v/>
      </c>
      <c r="R944" s="22" t="str">
        <f aca="false">IF($B944="","",O944-Q944-L944)</f>
        <v/>
      </c>
      <c r="S944" s="21" t="str">
        <f aca="false">IF(OR($B944="",N(O944)=0),"",R944/O944)</f>
        <v/>
      </c>
      <c r="T944" s="14"/>
      <c r="U944" s="19" t="n">
        <f aca="false">IF(OR($B944="",$A944=""),0,IF(COUNTIFS($A$5:$A944,$A944,$B$5:$B944,$B944)=1,1,0))</f>
        <v>0</v>
      </c>
    </row>
    <row r="945" customFormat="false" ht="15" hidden="false" customHeight="false" outlineLevel="0" collapsed="false">
      <c r="A945" s="17"/>
      <c r="B945" s="13"/>
      <c r="C945" s="20" t="str">
        <f aca="false">IF($B945="","",IFERROR(INDEX(고객사!$B$5:$B$104,MATCH($B945,고객사!$A$5:$A$104,0)),"코드 확인"))</f>
        <v/>
      </c>
      <c r="D945" s="15"/>
      <c r="E945" s="15"/>
      <c r="F945" s="16"/>
      <c r="G945" s="16"/>
      <c r="H945" s="21" t="str">
        <f aca="false">IF(OR($B945="",F945=0),"",G945/F945)</f>
        <v/>
      </c>
      <c r="I945" s="22" t="str">
        <f aca="false">IF($B945="","",MAX(F945-G945,0))</f>
        <v/>
      </c>
      <c r="J945" s="23" t="str">
        <f aca="false">IF($B945="","",IFERROR(INDEX(고객사!$G$5:$G$104,MATCH($B945,고객사!$A$5:$A$104,0)),""))</f>
        <v/>
      </c>
      <c r="K945" s="16"/>
      <c r="L945" s="22" t="str">
        <f aca="false">IF($B945="","",K945*IFERROR(INDEX(고객사!$L$5:$L$104,MATCH($B945,고객사!$A$5:$A$104,0)),0))</f>
        <v/>
      </c>
      <c r="M945" s="23" t="str">
        <f aca="false">IF($B945="","",IF(AND(J945="N",G945&gt;0,K945=0,IFERROR(INDEX(고객사!$H$5:$H$104,MATCH($B945,고객사!$A$5:$A$104,0)),"")="자사 차량 운행"),"차량 미배정",""))</f>
        <v/>
      </c>
      <c r="N945" s="22" t="str">
        <f aca="false">IF($B945="","",IFERROR(INDEX(고객사!$J$5:$J$104,MATCH($B945,고객사!$A$5:$A$104,0)),0))</f>
        <v/>
      </c>
      <c r="O945" s="22" t="str">
        <f aca="false">IF($B945="","",G945*N945)</f>
        <v/>
      </c>
      <c r="P945" s="22" t="str">
        <f aca="false">IF($B945="","",IFERROR(INDEX(고객사!$K$5:$K$104,MATCH($B945,고객사!$A$5:$A$104,0)),0))</f>
        <v/>
      </c>
      <c r="Q945" s="22" t="str">
        <f aca="false">IF($B945="","",G945*P945)</f>
        <v/>
      </c>
      <c r="R945" s="22" t="str">
        <f aca="false">IF($B945="","",O945-Q945-L945)</f>
        <v/>
      </c>
      <c r="S945" s="21" t="str">
        <f aca="false">IF(OR($B945="",N(O945)=0),"",R945/O945)</f>
        <v/>
      </c>
      <c r="T945" s="14"/>
      <c r="U945" s="19" t="n">
        <f aca="false">IF(OR($B945="",$A945=""),0,IF(COUNTIFS($A$5:$A945,$A945,$B$5:$B945,$B945)=1,1,0))</f>
        <v>0</v>
      </c>
    </row>
    <row r="946" customFormat="false" ht="15" hidden="false" customHeight="false" outlineLevel="0" collapsed="false">
      <c r="A946" s="17"/>
      <c r="B946" s="13"/>
      <c r="C946" s="20" t="str">
        <f aca="false">IF($B946="","",IFERROR(INDEX(고객사!$B$5:$B$104,MATCH($B946,고객사!$A$5:$A$104,0)),"코드 확인"))</f>
        <v/>
      </c>
      <c r="D946" s="15"/>
      <c r="E946" s="15"/>
      <c r="F946" s="16"/>
      <c r="G946" s="16"/>
      <c r="H946" s="21" t="str">
        <f aca="false">IF(OR($B946="",F946=0),"",G946/F946)</f>
        <v/>
      </c>
      <c r="I946" s="22" t="str">
        <f aca="false">IF($B946="","",MAX(F946-G946,0))</f>
        <v/>
      </c>
      <c r="J946" s="23" t="str">
        <f aca="false">IF($B946="","",IFERROR(INDEX(고객사!$G$5:$G$104,MATCH($B946,고객사!$A$5:$A$104,0)),""))</f>
        <v/>
      </c>
      <c r="K946" s="16"/>
      <c r="L946" s="22" t="str">
        <f aca="false">IF($B946="","",K946*IFERROR(INDEX(고객사!$L$5:$L$104,MATCH($B946,고객사!$A$5:$A$104,0)),0))</f>
        <v/>
      </c>
      <c r="M946" s="23" t="str">
        <f aca="false">IF($B946="","",IF(AND(J946="N",G946&gt;0,K946=0,IFERROR(INDEX(고객사!$H$5:$H$104,MATCH($B946,고객사!$A$5:$A$104,0)),"")="자사 차량 운행"),"차량 미배정",""))</f>
        <v/>
      </c>
      <c r="N946" s="22" t="str">
        <f aca="false">IF($B946="","",IFERROR(INDEX(고객사!$J$5:$J$104,MATCH($B946,고객사!$A$5:$A$104,0)),0))</f>
        <v/>
      </c>
      <c r="O946" s="22" t="str">
        <f aca="false">IF($B946="","",G946*N946)</f>
        <v/>
      </c>
      <c r="P946" s="22" t="str">
        <f aca="false">IF($B946="","",IFERROR(INDEX(고객사!$K$5:$K$104,MATCH($B946,고객사!$A$5:$A$104,0)),0))</f>
        <v/>
      </c>
      <c r="Q946" s="22" t="str">
        <f aca="false">IF($B946="","",G946*P946)</f>
        <v/>
      </c>
      <c r="R946" s="22" t="str">
        <f aca="false">IF($B946="","",O946-Q946-L946)</f>
        <v/>
      </c>
      <c r="S946" s="21" t="str">
        <f aca="false">IF(OR($B946="",N(O946)=0),"",R946/O946)</f>
        <v/>
      </c>
      <c r="T946" s="14"/>
      <c r="U946" s="19" t="n">
        <f aca="false">IF(OR($B946="",$A946=""),0,IF(COUNTIFS($A$5:$A946,$A946,$B$5:$B946,$B946)=1,1,0))</f>
        <v>0</v>
      </c>
    </row>
    <row r="947" customFormat="false" ht="15" hidden="false" customHeight="false" outlineLevel="0" collapsed="false">
      <c r="A947" s="17"/>
      <c r="B947" s="13"/>
      <c r="C947" s="20" t="str">
        <f aca="false">IF($B947="","",IFERROR(INDEX(고객사!$B$5:$B$104,MATCH($B947,고객사!$A$5:$A$104,0)),"코드 확인"))</f>
        <v/>
      </c>
      <c r="D947" s="15"/>
      <c r="E947" s="15"/>
      <c r="F947" s="16"/>
      <c r="G947" s="16"/>
      <c r="H947" s="21" t="str">
        <f aca="false">IF(OR($B947="",F947=0),"",G947/F947)</f>
        <v/>
      </c>
      <c r="I947" s="22" t="str">
        <f aca="false">IF($B947="","",MAX(F947-G947,0))</f>
        <v/>
      </c>
      <c r="J947" s="23" t="str">
        <f aca="false">IF($B947="","",IFERROR(INDEX(고객사!$G$5:$G$104,MATCH($B947,고객사!$A$5:$A$104,0)),""))</f>
        <v/>
      </c>
      <c r="K947" s="16"/>
      <c r="L947" s="22" t="str">
        <f aca="false">IF($B947="","",K947*IFERROR(INDEX(고객사!$L$5:$L$104,MATCH($B947,고객사!$A$5:$A$104,0)),0))</f>
        <v/>
      </c>
      <c r="M947" s="23" t="str">
        <f aca="false">IF($B947="","",IF(AND(J947="N",G947&gt;0,K947=0,IFERROR(INDEX(고객사!$H$5:$H$104,MATCH($B947,고객사!$A$5:$A$104,0)),"")="자사 차량 운행"),"차량 미배정",""))</f>
        <v/>
      </c>
      <c r="N947" s="22" t="str">
        <f aca="false">IF($B947="","",IFERROR(INDEX(고객사!$J$5:$J$104,MATCH($B947,고객사!$A$5:$A$104,0)),0))</f>
        <v/>
      </c>
      <c r="O947" s="22" t="str">
        <f aca="false">IF($B947="","",G947*N947)</f>
        <v/>
      </c>
      <c r="P947" s="22" t="str">
        <f aca="false">IF($B947="","",IFERROR(INDEX(고객사!$K$5:$K$104,MATCH($B947,고객사!$A$5:$A$104,0)),0))</f>
        <v/>
      </c>
      <c r="Q947" s="22" t="str">
        <f aca="false">IF($B947="","",G947*P947)</f>
        <v/>
      </c>
      <c r="R947" s="22" t="str">
        <f aca="false">IF($B947="","",O947-Q947-L947)</f>
        <v/>
      </c>
      <c r="S947" s="21" t="str">
        <f aca="false">IF(OR($B947="",N(O947)=0),"",R947/O947)</f>
        <v/>
      </c>
      <c r="T947" s="14"/>
      <c r="U947" s="19" t="n">
        <f aca="false">IF(OR($B947="",$A947=""),0,IF(COUNTIFS($A$5:$A947,$A947,$B$5:$B947,$B947)=1,1,0))</f>
        <v>0</v>
      </c>
    </row>
    <row r="948" customFormat="false" ht="15" hidden="false" customHeight="false" outlineLevel="0" collapsed="false">
      <c r="A948" s="17"/>
      <c r="B948" s="13"/>
      <c r="C948" s="20" t="str">
        <f aca="false">IF($B948="","",IFERROR(INDEX(고객사!$B$5:$B$104,MATCH($B948,고객사!$A$5:$A$104,0)),"코드 확인"))</f>
        <v/>
      </c>
      <c r="D948" s="15"/>
      <c r="E948" s="15"/>
      <c r="F948" s="16"/>
      <c r="G948" s="16"/>
      <c r="H948" s="21" t="str">
        <f aca="false">IF(OR($B948="",F948=0),"",G948/F948)</f>
        <v/>
      </c>
      <c r="I948" s="22" t="str">
        <f aca="false">IF($B948="","",MAX(F948-G948,0))</f>
        <v/>
      </c>
      <c r="J948" s="23" t="str">
        <f aca="false">IF($B948="","",IFERROR(INDEX(고객사!$G$5:$G$104,MATCH($B948,고객사!$A$5:$A$104,0)),""))</f>
        <v/>
      </c>
      <c r="K948" s="16"/>
      <c r="L948" s="22" t="str">
        <f aca="false">IF($B948="","",K948*IFERROR(INDEX(고객사!$L$5:$L$104,MATCH($B948,고객사!$A$5:$A$104,0)),0))</f>
        <v/>
      </c>
      <c r="M948" s="23" t="str">
        <f aca="false">IF($B948="","",IF(AND(J948="N",G948&gt;0,K948=0,IFERROR(INDEX(고객사!$H$5:$H$104,MATCH($B948,고객사!$A$5:$A$104,0)),"")="자사 차량 운행"),"차량 미배정",""))</f>
        <v/>
      </c>
      <c r="N948" s="22" t="str">
        <f aca="false">IF($B948="","",IFERROR(INDEX(고객사!$J$5:$J$104,MATCH($B948,고객사!$A$5:$A$104,0)),0))</f>
        <v/>
      </c>
      <c r="O948" s="22" t="str">
        <f aca="false">IF($B948="","",G948*N948)</f>
        <v/>
      </c>
      <c r="P948" s="22" t="str">
        <f aca="false">IF($B948="","",IFERROR(INDEX(고객사!$K$5:$K$104,MATCH($B948,고객사!$A$5:$A$104,0)),0))</f>
        <v/>
      </c>
      <c r="Q948" s="22" t="str">
        <f aca="false">IF($B948="","",G948*P948)</f>
        <v/>
      </c>
      <c r="R948" s="22" t="str">
        <f aca="false">IF($B948="","",O948-Q948-L948)</f>
        <v/>
      </c>
      <c r="S948" s="21" t="str">
        <f aca="false">IF(OR($B948="",N(O948)=0),"",R948/O948)</f>
        <v/>
      </c>
      <c r="T948" s="14"/>
      <c r="U948" s="19" t="n">
        <f aca="false">IF(OR($B948="",$A948=""),0,IF(COUNTIFS($A$5:$A948,$A948,$B$5:$B948,$B948)=1,1,0))</f>
        <v>0</v>
      </c>
    </row>
    <row r="949" customFormat="false" ht="15" hidden="false" customHeight="false" outlineLevel="0" collapsed="false">
      <c r="A949" s="17"/>
      <c r="B949" s="13"/>
      <c r="C949" s="20" t="str">
        <f aca="false">IF($B949="","",IFERROR(INDEX(고객사!$B$5:$B$104,MATCH($B949,고객사!$A$5:$A$104,0)),"코드 확인"))</f>
        <v/>
      </c>
      <c r="D949" s="15"/>
      <c r="E949" s="15"/>
      <c r="F949" s="16"/>
      <c r="G949" s="16"/>
      <c r="H949" s="21" t="str">
        <f aca="false">IF(OR($B949="",F949=0),"",G949/F949)</f>
        <v/>
      </c>
      <c r="I949" s="22" t="str">
        <f aca="false">IF($B949="","",MAX(F949-G949,0))</f>
        <v/>
      </c>
      <c r="J949" s="23" t="str">
        <f aca="false">IF($B949="","",IFERROR(INDEX(고객사!$G$5:$G$104,MATCH($B949,고객사!$A$5:$A$104,0)),""))</f>
        <v/>
      </c>
      <c r="K949" s="16"/>
      <c r="L949" s="22" t="str">
        <f aca="false">IF($B949="","",K949*IFERROR(INDEX(고객사!$L$5:$L$104,MATCH($B949,고객사!$A$5:$A$104,0)),0))</f>
        <v/>
      </c>
      <c r="M949" s="23" t="str">
        <f aca="false">IF($B949="","",IF(AND(J949="N",G949&gt;0,K949=0,IFERROR(INDEX(고객사!$H$5:$H$104,MATCH($B949,고객사!$A$5:$A$104,0)),"")="자사 차량 운행"),"차량 미배정",""))</f>
        <v/>
      </c>
      <c r="N949" s="22" t="str">
        <f aca="false">IF($B949="","",IFERROR(INDEX(고객사!$J$5:$J$104,MATCH($B949,고객사!$A$5:$A$104,0)),0))</f>
        <v/>
      </c>
      <c r="O949" s="22" t="str">
        <f aca="false">IF($B949="","",G949*N949)</f>
        <v/>
      </c>
      <c r="P949" s="22" t="str">
        <f aca="false">IF($B949="","",IFERROR(INDEX(고객사!$K$5:$K$104,MATCH($B949,고객사!$A$5:$A$104,0)),0))</f>
        <v/>
      </c>
      <c r="Q949" s="22" t="str">
        <f aca="false">IF($B949="","",G949*P949)</f>
        <v/>
      </c>
      <c r="R949" s="22" t="str">
        <f aca="false">IF($B949="","",O949-Q949-L949)</f>
        <v/>
      </c>
      <c r="S949" s="21" t="str">
        <f aca="false">IF(OR($B949="",N(O949)=0),"",R949/O949)</f>
        <v/>
      </c>
      <c r="T949" s="14"/>
      <c r="U949" s="19" t="n">
        <f aca="false">IF(OR($B949="",$A949=""),0,IF(COUNTIFS($A$5:$A949,$A949,$B$5:$B949,$B949)=1,1,0))</f>
        <v>0</v>
      </c>
    </row>
    <row r="950" customFormat="false" ht="15" hidden="false" customHeight="false" outlineLevel="0" collapsed="false">
      <c r="A950" s="17"/>
      <c r="B950" s="13"/>
      <c r="C950" s="20" t="str">
        <f aca="false">IF($B950="","",IFERROR(INDEX(고객사!$B$5:$B$104,MATCH($B950,고객사!$A$5:$A$104,0)),"코드 확인"))</f>
        <v/>
      </c>
      <c r="D950" s="15"/>
      <c r="E950" s="15"/>
      <c r="F950" s="16"/>
      <c r="G950" s="16"/>
      <c r="H950" s="21" t="str">
        <f aca="false">IF(OR($B950="",F950=0),"",G950/F950)</f>
        <v/>
      </c>
      <c r="I950" s="22" t="str">
        <f aca="false">IF($B950="","",MAX(F950-G950,0))</f>
        <v/>
      </c>
      <c r="J950" s="23" t="str">
        <f aca="false">IF($B950="","",IFERROR(INDEX(고객사!$G$5:$G$104,MATCH($B950,고객사!$A$5:$A$104,0)),""))</f>
        <v/>
      </c>
      <c r="K950" s="16"/>
      <c r="L950" s="22" t="str">
        <f aca="false">IF($B950="","",K950*IFERROR(INDEX(고객사!$L$5:$L$104,MATCH($B950,고객사!$A$5:$A$104,0)),0))</f>
        <v/>
      </c>
      <c r="M950" s="23" t="str">
        <f aca="false">IF($B950="","",IF(AND(J950="N",G950&gt;0,K950=0,IFERROR(INDEX(고객사!$H$5:$H$104,MATCH($B950,고객사!$A$5:$A$104,0)),"")="자사 차량 운행"),"차량 미배정",""))</f>
        <v/>
      </c>
      <c r="N950" s="22" t="str">
        <f aca="false">IF($B950="","",IFERROR(INDEX(고객사!$J$5:$J$104,MATCH($B950,고객사!$A$5:$A$104,0)),0))</f>
        <v/>
      </c>
      <c r="O950" s="22" t="str">
        <f aca="false">IF($B950="","",G950*N950)</f>
        <v/>
      </c>
      <c r="P950" s="22" t="str">
        <f aca="false">IF($B950="","",IFERROR(INDEX(고객사!$K$5:$K$104,MATCH($B950,고객사!$A$5:$A$104,0)),0))</f>
        <v/>
      </c>
      <c r="Q950" s="22" t="str">
        <f aca="false">IF($B950="","",G950*P950)</f>
        <v/>
      </c>
      <c r="R950" s="22" t="str">
        <f aca="false">IF($B950="","",O950-Q950-L950)</f>
        <v/>
      </c>
      <c r="S950" s="21" t="str">
        <f aca="false">IF(OR($B950="",N(O950)=0),"",R950/O950)</f>
        <v/>
      </c>
      <c r="T950" s="14"/>
      <c r="U950" s="19" t="n">
        <f aca="false">IF(OR($B950="",$A950=""),0,IF(COUNTIFS($A$5:$A950,$A950,$B$5:$B950,$B950)=1,1,0))</f>
        <v>0</v>
      </c>
    </row>
    <row r="951" customFormat="false" ht="15" hidden="false" customHeight="false" outlineLevel="0" collapsed="false">
      <c r="A951" s="17"/>
      <c r="B951" s="13"/>
      <c r="C951" s="20" t="str">
        <f aca="false">IF($B951="","",IFERROR(INDEX(고객사!$B$5:$B$104,MATCH($B951,고객사!$A$5:$A$104,0)),"코드 확인"))</f>
        <v/>
      </c>
      <c r="D951" s="15"/>
      <c r="E951" s="15"/>
      <c r="F951" s="16"/>
      <c r="G951" s="16"/>
      <c r="H951" s="21" t="str">
        <f aca="false">IF(OR($B951="",F951=0),"",G951/F951)</f>
        <v/>
      </c>
      <c r="I951" s="22" t="str">
        <f aca="false">IF($B951="","",MAX(F951-G951,0))</f>
        <v/>
      </c>
      <c r="J951" s="23" t="str">
        <f aca="false">IF($B951="","",IFERROR(INDEX(고객사!$G$5:$G$104,MATCH($B951,고객사!$A$5:$A$104,0)),""))</f>
        <v/>
      </c>
      <c r="K951" s="16"/>
      <c r="L951" s="22" t="str">
        <f aca="false">IF($B951="","",K951*IFERROR(INDEX(고객사!$L$5:$L$104,MATCH($B951,고객사!$A$5:$A$104,0)),0))</f>
        <v/>
      </c>
      <c r="M951" s="23" t="str">
        <f aca="false">IF($B951="","",IF(AND(J951="N",G951&gt;0,K951=0,IFERROR(INDEX(고객사!$H$5:$H$104,MATCH($B951,고객사!$A$5:$A$104,0)),"")="자사 차량 운행"),"차량 미배정",""))</f>
        <v/>
      </c>
      <c r="N951" s="22" t="str">
        <f aca="false">IF($B951="","",IFERROR(INDEX(고객사!$J$5:$J$104,MATCH($B951,고객사!$A$5:$A$104,0)),0))</f>
        <v/>
      </c>
      <c r="O951" s="22" t="str">
        <f aca="false">IF($B951="","",G951*N951)</f>
        <v/>
      </c>
      <c r="P951" s="22" t="str">
        <f aca="false">IF($B951="","",IFERROR(INDEX(고객사!$K$5:$K$104,MATCH($B951,고객사!$A$5:$A$104,0)),0))</f>
        <v/>
      </c>
      <c r="Q951" s="22" t="str">
        <f aca="false">IF($B951="","",G951*P951)</f>
        <v/>
      </c>
      <c r="R951" s="22" t="str">
        <f aca="false">IF($B951="","",O951-Q951-L951)</f>
        <v/>
      </c>
      <c r="S951" s="21" t="str">
        <f aca="false">IF(OR($B951="",N(O951)=0),"",R951/O951)</f>
        <v/>
      </c>
      <c r="T951" s="14"/>
      <c r="U951" s="19" t="n">
        <f aca="false">IF(OR($B951="",$A951=""),0,IF(COUNTIFS($A$5:$A951,$A951,$B$5:$B951,$B951)=1,1,0))</f>
        <v>0</v>
      </c>
    </row>
    <row r="952" customFormat="false" ht="15" hidden="false" customHeight="false" outlineLevel="0" collapsed="false">
      <c r="A952" s="17"/>
      <c r="B952" s="13"/>
      <c r="C952" s="20" t="str">
        <f aca="false">IF($B952="","",IFERROR(INDEX(고객사!$B$5:$B$104,MATCH($B952,고객사!$A$5:$A$104,0)),"코드 확인"))</f>
        <v/>
      </c>
      <c r="D952" s="15"/>
      <c r="E952" s="15"/>
      <c r="F952" s="16"/>
      <c r="G952" s="16"/>
      <c r="H952" s="21" t="str">
        <f aca="false">IF(OR($B952="",F952=0),"",G952/F952)</f>
        <v/>
      </c>
      <c r="I952" s="22" t="str">
        <f aca="false">IF($B952="","",MAX(F952-G952,0))</f>
        <v/>
      </c>
      <c r="J952" s="23" t="str">
        <f aca="false">IF($B952="","",IFERROR(INDEX(고객사!$G$5:$G$104,MATCH($B952,고객사!$A$5:$A$104,0)),""))</f>
        <v/>
      </c>
      <c r="K952" s="16"/>
      <c r="L952" s="22" t="str">
        <f aca="false">IF($B952="","",K952*IFERROR(INDEX(고객사!$L$5:$L$104,MATCH($B952,고객사!$A$5:$A$104,0)),0))</f>
        <v/>
      </c>
      <c r="M952" s="23" t="str">
        <f aca="false">IF($B952="","",IF(AND(J952="N",G952&gt;0,K952=0,IFERROR(INDEX(고객사!$H$5:$H$104,MATCH($B952,고객사!$A$5:$A$104,0)),"")="자사 차량 운행"),"차량 미배정",""))</f>
        <v/>
      </c>
      <c r="N952" s="22" t="str">
        <f aca="false">IF($B952="","",IFERROR(INDEX(고객사!$J$5:$J$104,MATCH($B952,고객사!$A$5:$A$104,0)),0))</f>
        <v/>
      </c>
      <c r="O952" s="22" t="str">
        <f aca="false">IF($B952="","",G952*N952)</f>
        <v/>
      </c>
      <c r="P952" s="22" t="str">
        <f aca="false">IF($B952="","",IFERROR(INDEX(고객사!$K$5:$K$104,MATCH($B952,고객사!$A$5:$A$104,0)),0))</f>
        <v/>
      </c>
      <c r="Q952" s="22" t="str">
        <f aca="false">IF($B952="","",G952*P952)</f>
        <v/>
      </c>
      <c r="R952" s="22" t="str">
        <f aca="false">IF($B952="","",O952-Q952-L952)</f>
        <v/>
      </c>
      <c r="S952" s="21" t="str">
        <f aca="false">IF(OR($B952="",N(O952)=0),"",R952/O952)</f>
        <v/>
      </c>
      <c r="T952" s="14"/>
      <c r="U952" s="19" t="n">
        <f aca="false">IF(OR($B952="",$A952=""),0,IF(COUNTIFS($A$5:$A952,$A952,$B$5:$B952,$B952)=1,1,0))</f>
        <v>0</v>
      </c>
    </row>
    <row r="953" customFormat="false" ht="15" hidden="false" customHeight="false" outlineLevel="0" collapsed="false">
      <c r="A953" s="17"/>
      <c r="B953" s="13"/>
      <c r="C953" s="20" t="str">
        <f aca="false">IF($B953="","",IFERROR(INDEX(고객사!$B$5:$B$104,MATCH($B953,고객사!$A$5:$A$104,0)),"코드 확인"))</f>
        <v/>
      </c>
      <c r="D953" s="15"/>
      <c r="E953" s="15"/>
      <c r="F953" s="16"/>
      <c r="G953" s="16"/>
      <c r="H953" s="21" t="str">
        <f aca="false">IF(OR($B953="",F953=0),"",G953/F953)</f>
        <v/>
      </c>
      <c r="I953" s="22" t="str">
        <f aca="false">IF($B953="","",MAX(F953-G953,0))</f>
        <v/>
      </c>
      <c r="J953" s="23" t="str">
        <f aca="false">IF($B953="","",IFERROR(INDEX(고객사!$G$5:$G$104,MATCH($B953,고객사!$A$5:$A$104,0)),""))</f>
        <v/>
      </c>
      <c r="K953" s="16"/>
      <c r="L953" s="22" t="str">
        <f aca="false">IF($B953="","",K953*IFERROR(INDEX(고객사!$L$5:$L$104,MATCH($B953,고객사!$A$5:$A$104,0)),0))</f>
        <v/>
      </c>
      <c r="M953" s="23" t="str">
        <f aca="false">IF($B953="","",IF(AND(J953="N",G953&gt;0,K953=0,IFERROR(INDEX(고객사!$H$5:$H$104,MATCH($B953,고객사!$A$5:$A$104,0)),"")="자사 차량 운행"),"차량 미배정",""))</f>
        <v/>
      </c>
      <c r="N953" s="22" t="str">
        <f aca="false">IF($B953="","",IFERROR(INDEX(고객사!$J$5:$J$104,MATCH($B953,고객사!$A$5:$A$104,0)),0))</f>
        <v/>
      </c>
      <c r="O953" s="22" t="str">
        <f aca="false">IF($B953="","",G953*N953)</f>
        <v/>
      </c>
      <c r="P953" s="22" t="str">
        <f aca="false">IF($B953="","",IFERROR(INDEX(고객사!$K$5:$K$104,MATCH($B953,고객사!$A$5:$A$104,0)),0))</f>
        <v/>
      </c>
      <c r="Q953" s="22" t="str">
        <f aca="false">IF($B953="","",G953*P953)</f>
        <v/>
      </c>
      <c r="R953" s="22" t="str">
        <f aca="false">IF($B953="","",O953-Q953-L953)</f>
        <v/>
      </c>
      <c r="S953" s="21" t="str">
        <f aca="false">IF(OR($B953="",N(O953)=0),"",R953/O953)</f>
        <v/>
      </c>
      <c r="T953" s="14"/>
      <c r="U953" s="19" t="n">
        <f aca="false">IF(OR($B953="",$A953=""),0,IF(COUNTIFS($A$5:$A953,$A953,$B$5:$B953,$B953)=1,1,0))</f>
        <v>0</v>
      </c>
    </row>
    <row r="954" customFormat="false" ht="15" hidden="false" customHeight="false" outlineLevel="0" collapsed="false">
      <c r="A954" s="17"/>
      <c r="B954" s="13"/>
      <c r="C954" s="20" t="str">
        <f aca="false">IF($B954="","",IFERROR(INDEX(고객사!$B$5:$B$104,MATCH($B954,고객사!$A$5:$A$104,0)),"코드 확인"))</f>
        <v/>
      </c>
      <c r="D954" s="15"/>
      <c r="E954" s="15"/>
      <c r="F954" s="16"/>
      <c r="G954" s="16"/>
      <c r="H954" s="21" t="str">
        <f aca="false">IF(OR($B954="",F954=0),"",G954/F954)</f>
        <v/>
      </c>
      <c r="I954" s="22" t="str">
        <f aca="false">IF($B954="","",MAX(F954-G954,0))</f>
        <v/>
      </c>
      <c r="J954" s="23" t="str">
        <f aca="false">IF($B954="","",IFERROR(INDEX(고객사!$G$5:$G$104,MATCH($B954,고객사!$A$5:$A$104,0)),""))</f>
        <v/>
      </c>
      <c r="K954" s="16"/>
      <c r="L954" s="22" t="str">
        <f aca="false">IF($B954="","",K954*IFERROR(INDEX(고객사!$L$5:$L$104,MATCH($B954,고객사!$A$5:$A$104,0)),0))</f>
        <v/>
      </c>
      <c r="M954" s="23" t="str">
        <f aca="false">IF($B954="","",IF(AND(J954="N",G954&gt;0,K954=0,IFERROR(INDEX(고객사!$H$5:$H$104,MATCH($B954,고객사!$A$5:$A$104,0)),"")="자사 차량 운행"),"차량 미배정",""))</f>
        <v/>
      </c>
      <c r="N954" s="22" t="str">
        <f aca="false">IF($B954="","",IFERROR(INDEX(고객사!$J$5:$J$104,MATCH($B954,고객사!$A$5:$A$104,0)),0))</f>
        <v/>
      </c>
      <c r="O954" s="22" t="str">
        <f aca="false">IF($B954="","",G954*N954)</f>
        <v/>
      </c>
      <c r="P954" s="22" t="str">
        <f aca="false">IF($B954="","",IFERROR(INDEX(고객사!$K$5:$K$104,MATCH($B954,고객사!$A$5:$A$104,0)),0))</f>
        <v/>
      </c>
      <c r="Q954" s="22" t="str">
        <f aca="false">IF($B954="","",G954*P954)</f>
        <v/>
      </c>
      <c r="R954" s="22" t="str">
        <f aca="false">IF($B954="","",O954-Q954-L954)</f>
        <v/>
      </c>
      <c r="S954" s="21" t="str">
        <f aca="false">IF(OR($B954="",N(O954)=0),"",R954/O954)</f>
        <v/>
      </c>
      <c r="T954" s="14"/>
      <c r="U954" s="19" t="n">
        <f aca="false">IF(OR($B954="",$A954=""),0,IF(COUNTIFS($A$5:$A954,$A954,$B$5:$B954,$B954)=1,1,0))</f>
        <v>0</v>
      </c>
    </row>
    <row r="955" customFormat="false" ht="15" hidden="false" customHeight="false" outlineLevel="0" collapsed="false">
      <c r="A955" s="17"/>
      <c r="B955" s="13"/>
      <c r="C955" s="20" t="str">
        <f aca="false">IF($B955="","",IFERROR(INDEX(고객사!$B$5:$B$104,MATCH($B955,고객사!$A$5:$A$104,0)),"코드 확인"))</f>
        <v/>
      </c>
      <c r="D955" s="15"/>
      <c r="E955" s="15"/>
      <c r="F955" s="16"/>
      <c r="G955" s="16"/>
      <c r="H955" s="21" t="str">
        <f aca="false">IF(OR($B955="",F955=0),"",G955/F955)</f>
        <v/>
      </c>
      <c r="I955" s="22" t="str">
        <f aca="false">IF($B955="","",MAX(F955-G955,0))</f>
        <v/>
      </c>
      <c r="J955" s="23" t="str">
        <f aca="false">IF($B955="","",IFERROR(INDEX(고객사!$G$5:$G$104,MATCH($B955,고객사!$A$5:$A$104,0)),""))</f>
        <v/>
      </c>
      <c r="K955" s="16"/>
      <c r="L955" s="22" t="str">
        <f aca="false">IF($B955="","",K955*IFERROR(INDEX(고객사!$L$5:$L$104,MATCH($B955,고객사!$A$5:$A$104,0)),0))</f>
        <v/>
      </c>
      <c r="M955" s="23" t="str">
        <f aca="false">IF($B955="","",IF(AND(J955="N",G955&gt;0,K955=0,IFERROR(INDEX(고객사!$H$5:$H$104,MATCH($B955,고객사!$A$5:$A$104,0)),"")="자사 차량 운행"),"차량 미배정",""))</f>
        <v/>
      </c>
      <c r="N955" s="22" t="str">
        <f aca="false">IF($B955="","",IFERROR(INDEX(고객사!$J$5:$J$104,MATCH($B955,고객사!$A$5:$A$104,0)),0))</f>
        <v/>
      </c>
      <c r="O955" s="22" t="str">
        <f aca="false">IF($B955="","",G955*N955)</f>
        <v/>
      </c>
      <c r="P955" s="22" t="str">
        <f aca="false">IF($B955="","",IFERROR(INDEX(고객사!$K$5:$K$104,MATCH($B955,고객사!$A$5:$A$104,0)),0))</f>
        <v/>
      </c>
      <c r="Q955" s="22" t="str">
        <f aca="false">IF($B955="","",G955*P955)</f>
        <v/>
      </c>
      <c r="R955" s="22" t="str">
        <f aca="false">IF($B955="","",O955-Q955-L955)</f>
        <v/>
      </c>
      <c r="S955" s="21" t="str">
        <f aca="false">IF(OR($B955="",N(O955)=0),"",R955/O955)</f>
        <v/>
      </c>
      <c r="T955" s="14"/>
      <c r="U955" s="19" t="n">
        <f aca="false">IF(OR($B955="",$A955=""),0,IF(COUNTIFS($A$5:$A955,$A955,$B$5:$B955,$B955)=1,1,0))</f>
        <v>0</v>
      </c>
    </row>
    <row r="956" customFormat="false" ht="15" hidden="false" customHeight="false" outlineLevel="0" collapsed="false">
      <c r="A956" s="17"/>
      <c r="B956" s="13"/>
      <c r="C956" s="20" t="str">
        <f aca="false">IF($B956="","",IFERROR(INDEX(고객사!$B$5:$B$104,MATCH($B956,고객사!$A$5:$A$104,0)),"코드 확인"))</f>
        <v/>
      </c>
      <c r="D956" s="15"/>
      <c r="E956" s="15"/>
      <c r="F956" s="16"/>
      <c r="G956" s="16"/>
      <c r="H956" s="21" t="str">
        <f aca="false">IF(OR($B956="",F956=0),"",G956/F956)</f>
        <v/>
      </c>
      <c r="I956" s="22" t="str">
        <f aca="false">IF($B956="","",MAX(F956-G956,0))</f>
        <v/>
      </c>
      <c r="J956" s="23" t="str">
        <f aca="false">IF($B956="","",IFERROR(INDEX(고객사!$G$5:$G$104,MATCH($B956,고객사!$A$5:$A$104,0)),""))</f>
        <v/>
      </c>
      <c r="K956" s="16"/>
      <c r="L956" s="22" t="str">
        <f aca="false">IF($B956="","",K956*IFERROR(INDEX(고객사!$L$5:$L$104,MATCH($B956,고객사!$A$5:$A$104,0)),0))</f>
        <v/>
      </c>
      <c r="M956" s="23" t="str">
        <f aca="false">IF($B956="","",IF(AND(J956="N",G956&gt;0,K956=0,IFERROR(INDEX(고객사!$H$5:$H$104,MATCH($B956,고객사!$A$5:$A$104,0)),"")="자사 차량 운행"),"차량 미배정",""))</f>
        <v/>
      </c>
      <c r="N956" s="22" t="str">
        <f aca="false">IF($B956="","",IFERROR(INDEX(고객사!$J$5:$J$104,MATCH($B956,고객사!$A$5:$A$104,0)),0))</f>
        <v/>
      </c>
      <c r="O956" s="22" t="str">
        <f aca="false">IF($B956="","",G956*N956)</f>
        <v/>
      </c>
      <c r="P956" s="22" t="str">
        <f aca="false">IF($B956="","",IFERROR(INDEX(고객사!$K$5:$K$104,MATCH($B956,고객사!$A$5:$A$104,0)),0))</f>
        <v/>
      </c>
      <c r="Q956" s="22" t="str">
        <f aca="false">IF($B956="","",G956*P956)</f>
        <v/>
      </c>
      <c r="R956" s="22" t="str">
        <f aca="false">IF($B956="","",O956-Q956-L956)</f>
        <v/>
      </c>
      <c r="S956" s="21" t="str">
        <f aca="false">IF(OR($B956="",N(O956)=0),"",R956/O956)</f>
        <v/>
      </c>
      <c r="T956" s="14"/>
      <c r="U956" s="19" t="n">
        <f aca="false">IF(OR($B956="",$A956=""),0,IF(COUNTIFS($A$5:$A956,$A956,$B$5:$B956,$B956)=1,1,0))</f>
        <v>0</v>
      </c>
    </row>
    <row r="957" customFormat="false" ht="15" hidden="false" customHeight="false" outlineLevel="0" collapsed="false">
      <c r="A957" s="17"/>
      <c r="B957" s="13"/>
      <c r="C957" s="20" t="str">
        <f aca="false">IF($B957="","",IFERROR(INDEX(고객사!$B$5:$B$104,MATCH($B957,고객사!$A$5:$A$104,0)),"코드 확인"))</f>
        <v/>
      </c>
      <c r="D957" s="15"/>
      <c r="E957" s="15"/>
      <c r="F957" s="16"/>
      <c r="G957" s="16"/>
      <c r="H957" s="21" t="str">
        <f aca="false">IF(OR($B957="",F957=0),"",G957/F957)</f>
        <v/>
      </c>
      <c r="I957" s="22" t="str">
        <f aca="false">IF($B957="","",MAX(F957-G957,0))</f>
        <v/>
      </c>
      <c r="J957" s="23" t="str">
        <f aca="false">IF($B957="","",IFERROR(INDEX(고객사!$G$5:$G$104,MATCH($B957,고객사!$A$5:$A$104,0)),""))</f>
        <v/>
      </c>
      <c r="K957" s="16"/>
      <c r="L957" s="22" t="str">
        <f aca="false">IF($B957="","",K957*IFERROR(INDEX(고객사!$L$5:$L$104,MATCH($B957,고객사!$A$5:$A$104,0)),0))</f>
        <v/>
      </c>
      <c r="M957" s="23" t="str">
        <f aca="false">IF($B957="","",IF(AND(J957="N",G957&gt;0,K957=0,IFERROR(INDEX(고객사!$H$5:$H$104,MATCH($B957,고객사!$A$5:$A$104,0)),"")="자사 차량 운행"),"차량 미배정",""))</f>
        <v/>
      </c>
      <c r="N957" s="22" t="str">
        <f aca="false">IF($B957="","",IFERROR(INDEX(고객사!$J$5:$J$104,MATCH($B957,고객사!$A$5:$A$104,0)),0))</f>
        <v/>
      </c>
      <c r="O957" s="22" t="str">
        <f aca="false">IF($B957="","",G957*N957)</f>
        <v/>
      </c>
      <c r="P957" s="22" t="str">
        <f aca="false">IF($B957="","",IFERROR(INDEX(고객사!$K$5:$K$104,MATCH($B957,고객사!$A$5:$A$104,0)),0))</f>
        <v/>
      </c>
      <c r="Q957" s="22" t="str">
        <f aca="false">IF($B957="","",G957*P957)</f>
        <v/>
      </c>
      <c r="R957" s="22" t="str">
        <f aca="false">IF($B957="","",O957-Q957-L957)</f>
        <v/>
      </c>
      <c r="S957" s="21" t="str">
        <f aca="false">IF(OR($B957="",N(O957)=0),"",R957/O957)</f>
        <v/>
      </c>
      <c r="T957" s="14"/>
      <c r="U957" s="19" t="n">
        <f aca="false">IF(OR($B957="",$A957=""),0,IF(COUNTIFS($A$5:$A957,$A957,$B$5:$B957,$B957)=1,1,0))</f>
        <v>0</v>
      </c>
    </row>
    <row r="958" customFormat="false" ht="15" hidden="false" customHeight="false" outlineLevel="0" collapsed="false">
      <c r="A958" s="17"/>
      <c r="B958" s="13"/>
      <c r="C958" s="20" t="str">
        <f aca="false">IF($B958="","",IFERROR(INDEX(고객사!$B$5:$B$104,MATCH($B958,고객사!$A$5:$A$104,0)),"코드 확인"))</f>
        <v/>
      </c>
      <c r="D958" s="15"/>
      <c r="E958" s="15"/>
      <c r="F958" s="16"/>
      <c r="G958" s="16"/>
      <c r="H958" s="21" t="str">
        <f aca="false">IF(OR($B958="",F958=0),"",G958/F958)</f>
        <v/>
      </c>
      <c r="I958" s="22" t="str">
        <f aca="false">IF($B958="","",MAX(F958-G958,0))</f>
        <v/>
      </c>
      <c r="J958" s="23" t="str">
        <f aca="false">IF($B958="","",IFERROR(INDEX(고객사!$G$5:$G$104,MATCH($B958,고객사!$A$5:$A$104,0)),""))</f>
        <v/>
      </c>
      <c r="K958" s="16"/>
      <c r="L958" s="22" t="str">
        <f aca="false">IF($B958="","",K958*IFERROR(INDEX(고객사!$L$5:$L$104,MATCH($B958,고객사!$A$5:$A$104,0)),0))</f>
        <v/>
      </c>
      <c r="M958" s="23" t="str">
        <f aca="false">IF($B958="","",IF(AND(J958="N",G958&gt;0,K958=0,IFERROR(INDEX(고객사!$H$5:$H$104,MATCH($B958,고객사!$A$5:$A$104,0)),"")="자사 차량 운행"),"차량 미배정",""))</f>
        <v/>
      </c>
      <c r="N958" s="22" t="str">
        <f aca="false">IF($B958="","",IFERROR(INDEX(고객사!$J$5:$J$104,MATCH($B958,고객사!$A$5:$A$104,0)),0))</f>
        <v/>
      </c>
      <c r="O958" s="22" t="str">
        <f aca="false">IF($B958="","",G958*N958)</f>
        <v/>
      </c>
      <c r="P958" s="22" t="str">
        <f aca="false">IF($B958="","",IFERROR(INDEX(고객사!$K$5:$K$104,MATCH($B958,고객사!$A$5:$A$104,0)),0))</f>
        <v/>
      </c>
      <c r="Q958" s="22" t="str">
        <f aca="false">IF($B958="","",G958*P958)</f>
        <v/>
      </c>
      <c r="R958" s="22" t="str">
        <f aca="false">IF($B958="","",O958-Q958-L958)</f>
        <v/>
      </c>
      <c r="S958" s="21" t="str">
        <f aca="false">IF(OR($B958="",N(O958)=0),"",R958/O958)</f>
        <v/>
      </c>
      <c r="T958" s="14"/>
      <c r="U958" s="19" t="n">
        <f aca="false">IF(OR($B958="",$A958=""),0,IF(COUNTIFS($A$5:$A958,$A958,$B$5:$B958,$B958)=1,1,0))</f>
        <v>0</v>
      </c>
    </row>
    <row r="959" customFormat="false" ht="15" hidden="false" customHeight="false" outlineLevel="0" collapsed="false">
      <c r="A959" s="17"/>
      <c r="B959" s="13"/>
      <c r="C959" s="20" t="str">
        <f aca="false">IF($B959="","",IFERROR(INDEX(고객사!$B$5:$B$104,MATCH($B959,고객사!$A$5:$A$104,0)),"코드 확인"))</f>
        <v/>
      </c>
      <c r="D959" s="15"/>
      <c r="E959" s="15"/>
      <c r="F959" s="16"/>
      <c r="G959" s="16"/>
      <c r="H959" s="21" t="str">
        <f aca="false">IF(OR($B959="",F959=0),"",G959/F959)</f>
        <v/>
      </c>
      <c r="I959" s="22" t="str">
        <f aca="false">IF($B959="","",MAX(F959-G959,0))</f>
        <v/>
      </c>
      <c r="J959" s="23" t="str">
        <f aca="false">IF($B959="","",IFERROR(INDEX(고객사!$G$5:$G$104,MATCH($B959,고객사!$A$5:$A$104,0)),""))</f>
        <v/>
      </c>
      <c r="K959" s="16"/>
      <c r="L959" s="22" t="str">
        <f aca="false">IF($B959="","",K959*IFERROR(INDEX(고객사!$L$5:$L$104,MATCH($B959,고객사!$A$5:$A$104,0)),0))</f>
        <v/>
      </c>
      <c r="M959" s="23" t="str">
        <f aca="false">IF($B959="","",IF(AND(J959="N",G959&gt;0,K959=0,IFERROR(INDEX(고객사!$H$5:$H$104,MATCH($B959,고객사!$A$5:$A$104,0)),"")="자사 차량 운행"),"차량 미배정",""))</f>
        <v/>
      </c>
      <c r="N959" s="22" t="str">
        <f aca="false">IF($B959="","",IFERROR(INDEX(고객사!$J$5:$J$104,MATCH($B959,고객사!$A$5:$A$104,0)),0))</f>
        <v/>
      </c>
      <c r="O959" s="22" t="str">
        <f aca="false">IF($B959="","",G959*N959)</f>
        <v/>
      </c>
      <c r="P959" s="22" t="str">
        <f aca="false">IF($B959="","",IFERROR(INDEX(고객사!$K$5:$K$104,MATCH($B959,고객사!$A$5:$A$104,0)),0))</f>
        <v/>
      </c>
      <c r="Q959" s="22" t="str">
        <f aca="false">IF($B959="","",G959*P959)</f>
        <v/>
      </c>
      <c r="R959" s="22" t="str">
        <f aca="false">IF($B959="","",O959-Q959-L959)</f>
        <v/>
      </c>
      <c r="S959" s="21" t="str">
        <f aca="false">IF(OR($B959="",N(O959)=0),"",R959/O959)</f>
        <v/>
      </c>
      <c r="T959" s="14"/>
      <c r="U959" s="19" t="n">
        <f aca="false">IF(OR($B959="",$A959=""),0,IF(COUNTIFS($A$5:$A959,$A959,$B$5:$B959,$B959)=1,1,0))</f>
        <v>0</v>
      </c>
    </row>
    <row r="960" customFormat="false" ht="15" hidden="false" customHeight="false" outlineLevel="0" collapsed="false">
      <c r="A960" s="17"/>
      <c r="B960" s="13"/>
      <c r="C960" s="20" t="str">
        <f aca="false">IF($B960="","",IFERROR(INDEX(고객사!$B$5:$B$104,MATCH($B960,고객사!$A$5:$A$104,0)),"코드 확인"))</f>
        <v/>
      </c>
      <c r="D960" s="15"/>
      <c r="E960" s="15"/>
      <c r="F960" s="16"/>
      <c r="G960" s="16"/>
      <c r="H960" s="21" t="str">
        <f aca="false">IF(OR($B960="",F960=0),"",G960/F960)</f>
        <v/>
      </c>
      <c r="I960" s="22" t="str">
        <f aca="false">IF($B960="","",MAX(F960-G960,0))</f>
        <v/>
      </c>
      <c r="J960" s="23" t="str">
        <f aca="false">IF($B960="","",IFERROR(INDEX(고객사!$G$5:$G$104,MATCH($B960,고객사!$A$5:$A$104,0)),""))</f>
        <v/>
      </c>
      <c r="K960" s="16"/>
      <c r="L960" s="22" t="str">
        <f aca="false">IF($B960="","",K960*IFERROR(INDEX(고객사!$L$5:$L$104,MATCH($B960,고객사!$A$5:$A$104,0)),0))</f>
        <v/>
      </c>
      <c r="M960" s="23" t="str">
        <f aca="false">IF($B960="","",IF(AND(J960="N",G960&gt;0,K960=0,IFERROR(INDEX(고객사!$H$5:$H$104,MATCH($B960,고객사!$A$5:$A$104,0)),"")="자사 차량 운행"),"차량 미배정",""))</f>
        <v/>
      </c>
      <c r="N960" s="22" t="str">
        <f aca="false">IF($B960="","",IFERROR(INDEX(고객사!$J$5:$J$104,MATCH($B960,고객사!$A$5:$A$104,0)),0))</f>
        <v/>
      </c>
      <c r="O960" s="22" t="str">
        <f aca="false">IF($B960="","",G960*N960)</f>
        <v/>
      </c>
      <c r="P960" s="22" t="str">
        <f aca="false">IF($B960="","",IFERROR(INDEX(고객사!$K$5:$K$104,MATCH($B960,고객사!$A$5:$A$104,0)),0))</f>
        <v/>
      </c>
      <c r="Q960" s="22" t="str">
        <f aca="false">IF($B960="","",G960*P960)</f>
        <v/>
      </c>
      <c r="R960" s="22" t="str">
        <f aca="false">IF($B960="","",O960-Q960-L960)</f>
        <v/>
      </c>
      <c r="S960" s="21" t="str">
        <f aca="false">IF(OR($B960="",N(O960)=0),"",R960/O960)</f>
        <v/>
      </c>
      <c r="T960" s="14"/>
      <c r="U960" s="19" t="n">
        <f aca="false">IF(OR($B960="",$A960=""),0,IF(COUNTIFS($A$5:$A960,$A960,$B$5:$B960,$B960)=1,1,0))</f>
        <v>0</v>
      </c>
    </row>
    <row r="961" customFormat="false" ht="15" hidden="false" customHeight="false" outlineLevel="0" collapsed="false">
      <c r="A961" s="17"/>
      <c r="B961" s="13"/>
      <c r="C961" s="20" t="str">
        <f aca="false">IF($B961="","",IFERROR(INDEX(고객사!$B$5:$B$104,MATCH($B961,고객사!$A$5:$A$104,0)),"코드 확인"))</f>
        <v/>
      </c>
      <c r="D961" s="15"/>
      <c r="E961" s="15"/>
      <c r="F961" s="16"/>
      <c r="G961" s="16"/>
      <c r="H961" s="21" t="str">
        <f aca="false">IF(OR($B961="",F961=0),"",G961/F961)</f>
        <v/>
      </c>
      <c r="I961" s="22" t="str">
        <f aca="false">IF($B961="","",MAX(F961-G961,0))</f>
        <v/>
      </c>
      <c r="J961" s="23" t="str">
        <f aca="false">IF($B961="","",IFERROR(INDEX(고객사!$G$5:$G$104,MATCH($B961,고객사!$A$5:$A$104,0)),""))</f>
        <v/>
      </c>
      <c r="K961" s="16"/>
      <c r="L961" s="22" t="str">
        <f aca="false">IF($B961="","",K961*IFERROR(INDEX(고객사!$L$5:$L$104,MATCH($B961,고객사!$A$5:$A$104,0)),0))</f>
        <v/>
      </c>
      <c r="M961" s="23" t="str">
        <f aca="false">IF($B961="","",IF(AND(J961="N",G961&gt;0,K961=0,IFERROR(INDEX(고객사!$H$5:$H$104,MATCH($B961,고객사!$A$5:$A$104,0)),"")="자사 차량 운행"),"차량 미배정",""))</f>
        <v/>
      </c>
      <c r="N961" s="22" t="str">
        <f aca="false">IF($B961="","",IFERROR(INDEX(고객사!$J$5:$J$104,MATCH($B961,고객사!$A$5:$A$104,0)),0))</f>
        <v/>
      </c>
      <c r="O961" s="22" t="str">
        <f aca="false">IF($B961="","",G961*N961)</f>
        <v/>
      </c>
      <c r="P961" s="22" t="str">
        <f aca="false">IF($B961="","",IFERROR(INDEX(고객사!$K$5:$K$104,MATCH($B961,고객사!$A$5:$A$104,0)),0))</f>
        <v/>
      </c>
      <c r="Q961" s="22" t="str">
        <f aca="false">IF($B961="","",G961*P961)</f>
        <v/>
      </c>
      <c r="R961" s="22" t="str">
        <f aca="false">IF($B961="","",O961-Q961-L961)</f>
        <v/>
      </c>
      <c r="S961" s="21" t="str">
        <f aca="false">IF(OR($B961="",N(O961)=0),"",R961/O961)</f>
        <v/>
      </c>
      <c r="T961" s="14"/>
      <c r="U961" s="19" t="n">
        <f aca="false">IF(OR($B961="",$A961=""),0,IF(COUNTIFS($A$5:$A961,$A961,$B$5:$B961,$B961)=1,1,0))</f>
        <v>0</v>
      </c>
    </row>
    <row r="962" customFormat="false" ht="15" hidden="false" customHeight="false" outlineLevel="0" collapsed="false">
      <c r="A962" s="17"/>
      <c r="B962" s="13"/>
      <c r="C962" s="20" t="str">
        <f aca="false">IF($B962="","",IFERROR(INDEX(고객사!$B$5:$B$104,MATCH($B962,고객사!$A$5:$A$104,0)),"코드 확인"))</f>
        <v/>
      </c>
      <c r="D962" s="15"/>
      <c r="E962" s="15"/>
      <c r="F962" s="16"/>
      <c r="G962" s="16"/>
      <c r="H962" s="21" t="str">
        <f aca="false">IF(OR($B962="",F962=0),"",G962/F962)</f>
        <v/>
      </c>
      <c r="I962" s="22" t="str">
        <f aca="false">IF($B962="","",MAX(F962-G962,0))</f>
        <v/>
      </c>
      <c r="J962" s="23" t="str">
        <f aca="false">IF($B962="","",IFERROR(INDEX(고객사!$G$5:$G$104,MATCH($B962,고객사!$A$5:$A$104,0)),""))</f>
        <v/>
      </c>
      <c r="K962" s="16"/>
      <c r="L962" s="22" t="str">
        <f aca="false">IF($B962="","",K962*IFERROR(INDEX(고객사!$L$5:$L$104,MATCH($B962,고객사!$A$5:$A$104,0)),0))</f>
        <v/>
      </c>
      <c r="M962" s="23" t="str">
        <f aca="false">IF($B962="","",IF(AND(J962="N",G962&gt;0,K962=0,IFERROR(INDEX(고객사!$H$5:$H$104,MATCH($B962,고객사!$A$5:$A$104,0)),"")="자사 차량 운행"),"차량 미배정",""))</f>
        <v/>
      </c>
      <c r="N962" s="22" t="str">
        <f aca="false">IF($B962="","",IFERROR(INDEX(고객사!$J$5:$J$104,MATCH($B962,고객사!$A$5:$A$104,0)),0))</f>
        <v/>
      </c>
      <c r="O962" s="22" t="str">
        <f aca="false">IF($B962="","",G962*N962)</f>
        <v/>
      </c>
      <c r="P962" s="22" t="str">
        <f aca="false">IF($B962="","",IFERROR(INDEX(고객사!$K$5:$K$104,MATCH($B962,고객사!$A$5:$A$104,0)),0))</f>
        <v/>
      </c>
      <c r="Q962" s="22" t="str">
        <f aca="false">IF($B962="","",G962*P962)</f>
        <v/>
      </c>
      <c r="R962" s="22" t="str">
        <f aca="false">IF($B962="","",O962-Q962-L962)</f>
        <v/>
      </c>
      <c r="S962" s="21" t="str">
        <f aca="false">IF(OR($B962="",N(O962)=0),"",R962/O962)</f>
        <v/>
      </c>
      <c r="T962" s="14"/>
      <c r="U962" s="19" t="n">
        <f aca="false">IF(OR($B962="",$A962=""),0,IF(COUNTIFS($A$5:$A962,$A962,$B$5:$B962,$B962)=1,1,0))</f>
        <v>0</v>
      </c>
    </row>
    <row r="963" customFormat="false" ht="15" hidden="false" customHeight="false" outlineLevel="0" collapsed="false">
      <c r="A963" s="17"/>
      <c r="B963" s="13"/>
      <c r="C963" s="20" t="str">
        <f aca="false">IF($B963="","",IFERROR(INDEX(고객사!$B$5:$B$104,MATCH($B963,고객사!$A$5:$A$104,0)),"코드 확인"))</f>
        <v/>
      </c>
      <c r="D963" s="15"/>
      <c r="E963" s="15"/>
      <c r="F963" s="16"/>
      <c r="G963" s="16"/>
      <c r="H963" s="21" t="str">
        <f aca="false">IF(OR($B963="",F963=0),"",G963/F963)</f>
        <v/>
      </c>
      <c r="I963" s="22" t="str">
        <f aca="false">IF($B963="","",MAX(F963-G963,0))</f>
        <v/>
      </c>
      <c r="J963" s="23" t="str">
        <f aca="false">IF($B963="","",IFERROR(INDEX(고객사!$G$5:$G$104,MATCH($B963,고객사!$A$5:$A$104,0)),""))</f>
        <v/>
      </c>
      <c r="K963" s="16"/>
      <c r="L963" s="22" t="str">
        <f aca="false">IF($B963="","",K963*IFERROR(INDEX(고객사!$L$5:$L$104,MATCH($B963,고객사!$A$5:$A$104,0)),0))</f>
        <v/>
      </c>
      <c r="M963" s="23" t="str">
        <f aca="false">IF($B963="","",IF(AND(J963="N",G963&gt;0,K963=0,IFERROR(INDEX(고객사!$H$5:$H$104,MATCH($B963,고객사!$A$5:$A$104,0)),"")="자사 차량 운행"),"차량 미배정",""))</f>
        <v/>
      </c>
      <c r="N963" s="22" t="str">
        <f aca="false">IF($B963="","",IFERROR(INDEX(고객사!$J$5:$J$104,MATCH($B963,고객사!$A$5:$A$104,0)),0))</f>
        <v/>
      </c>
      <c r="O963" s="22" t="str">
        <f aca="false">IF($B963="","",G963*N963)</f>
        <v/>
      </c>
      <c r="P963" s="22" t="str">
        <f aca="false">IF($B963="","",IFERROR(INDEX(고객사!$K$5:$K$104,MATCH($B963,고객사!$A$5:$A$104,0)),0))</f>
        <v/>
      </c>
      <c r="Q963" s="22" t="str">
        <f aca="false">IF($B963="","",G963*P963)</f>
        <v/>
      </c>
      <c r="R963" s="22" t="str">
        <f aca="false">IF($B963="","",O963-Q963-L963)</f>
        <v/>
      </c>
      <c r="S963" s="21" t="str">
        <f aca="false">IF(OR($B963="",N(O963)=0),"",R963/O963)</f>
        <v/>
      </c>
      <c r="T963" s="14"/>
      <c r="U963" s="19" t="n">
        <f aca="false">IF(OR($B963="",$A963=""),0,IF(COUNTIFS($A$5:$A963,$A963,$B$5:$B963,$B963)=1,1,0))</f>
        <v>0</v>
      </c>
    </row>
    <row r="964" customFormat="false" ht="15" hidden="false" customHeight="false" outlineLevel="0" collapsed="false">
      <c r="A964" s="17"/>
      <c r="B964" s="13"/>
      <c r="C964" s="20" t="str">
        <f aca="false">IF($B964="","",IFERROR(INDEX(고객사!$B$5:$B$104,MATCH($B964,고객사!$A$5:$A$104,0)),"코드 확인"))</f>
        <v/>
      </c>
      <c r="D964" s="15"/>
      <c r="E964" s="15"/>
      <c r="F964" s="16"/>
      <c r="G964" s="16"/>
      <c r="H964" s="21" t="str">
        <f aca="false">IF(OR($B964="",F964=0),"",G964/F964)</f>
        <v/>
      </c>
      <c r="I964" s="22" t="str">
        <f aca="false">IF($B964="","",MAX(F964-G964,0))</f>
        <v/>
      </c>
      <c r="J964" s="23" t="str">
        <f aca="false">IF($B964="","",IFERROR(INDEX(고객사!$G$5:$G$104,MATCH($B964,고객사!$A$5:$A$104,0)),""))</f>
        <v/>
      </c>
      <c r="K964" s="16"/>
      <c r="L964" s="22" t="str">
        <f aca="false">IF($B964="","",K964*IFERROR(INDEX(고객사!$L$5:$L$104,MATCH($B964,고객사!$A$5:$A$104,0)),0))</f>
        <v/>
      </c>
      <c r="M964" s="23" t="str">
        <f aca="false">IF($B964="","",IF(AND(J964="N",G964&gt;0,K964=0,IFERROR(INDEX(고객사!$H$5:$H$104,MATCH($B964,고객사!$A$5:$A$104,0)),"")="자사 차량 운행"),"차량 미배정",""))</f>
        <v/>
      </c>
      <c r="N964" s="22" t="str">
        <f aca="false">IF($B964="","",IFERROR(INDEX(고객사!$J$5:$J$104,MATCH($B964,고객사!$A$5:$A$104,0)),0))</f>
        <v/>
      </c>
      <c r="O964" s="22" t="str">
        <f aca="false">IF($B964="","",G964*N964)</f>
        <v/>
      </c>
      <c r="P964" s="22" t="str">
        <f aca="false">IF($B964="","",IFERROR(INDEX(고객사!$K$5:$K$104,MATCH($B964,고객사!$A$5:$A$104,0)),0))</f>
        <v/>
      </c>
      <c r="Q964" s="22" t="str">
        <f aca="false">IF($B964="","",G964*P964)</f>
        <v/>
      </c>
      <c r="R964" s="22" t="str">
        <f aca="false">IF($B964="","",O964-Q964-L964)</f>
        <v/>
      </c>
      <c r="S964" s="21" t="str">
        <f aca="false">IF(OR($B964="",N(O964)=0),"",R964/O964)</f>
        <v/>
      </c>
      <c r="T964" s="14"/>
      <c r="U964" s="19" t="n">
        <f aca="false">IF(OR($B964="",$A964=""),0,IF(COUNTIFS($A$5:$A964,$A964,$B$5:$B964,$B964)=1,1,0))</f>
        <v>0</v>
      </c>
    </row>
    <row r="965" customFormat="false" ht="15" hidden="false" customHeight="false" outlineLevel="0" collapsed="false">
      <c r="A965" s="17"/>
      <c r="B965" s="13"/>
      <c r="C965" s="20" t="str">
        <f aca="false">IF($B965="","",IFERROR(INDEX(고객사!$B$5:$B$104,MATCH($B965,고객사!$A$5:$A$104,0)),"코드 확인"))</f>
        <v/>
      </c>
      <c r="D965" s="15"/>
      <c r="E965" s="15"/>
      <c r="F965" s="16"/>
      <c r="G965" s="16"/>
      <c r="H965" s="21" t="str">
        <f aca="false">IF(OR($B965="",F965=0),"",G965/F965)</f>
        <v/>
      </c>
      <c r="I965" s="22" t="str">
        <f aca="false">IF($B965="","",MAX(F965-G965,0))</f>
        <v/>
      </c>
      <c r="J965" s="23" t="str">
        <f aca="false">IF($B965="","",IFERROR(INDEX(고객사!$G$5:$G$104,MATCH($B965,고객사!$A$5:$A$104,0)),""))</f>
        <v/>
      </c>
      <c r="K965" s="16"/>
      <c r="L965" s="22" t="str">
        <f aca="false">IF($B965="","",K965*IFERROR(INDEX(고객사!$L$5:$L$104,MATCH($B965,고객사!$A$5:$A$104,0)),0))</f>
        <v/>
      </c>
      <c r="M965" s="23" t="str">
        <f aca="false">IF($B965="","",IF(AND(J965="N",G965&gt;0,K965=0,IFERROR(INDEX(고객사!$H$5:$H$104,MATCH($B965,고객사!$A$5:$A$104,0)),"")="자사 차량 운행"),"차량 미배정",""))</f>
        <v/>
      </c>
      <c r="N965" s="22" t="str">
        <f aca="false">IF($B965="","",IFERROR(INDEX(고객사!$J$5:$J$104,MATCH($B965,고객사!$A$5:$A$104,0)),0))</f>
        <v/>
      </c>
      <c r="O965" s="22" t="str">
        <f aca="false">IF($B965="","",G965*N965)</f>
        <v/>
      </c>
      <c r="P965" s="22" t="str">
        <f aca="false">IF($B965="","",IFERROR(INDEX(고객사!$K$5:$K$104,MATCH($B965,고객사!$A$5:$A$104,0)),0))</f>
        <v/>
      </c>
      <c r="Q965" s="22" t="str">
        <f aca="false">IF($B965="","",G965*P965)</f>
        <v/>
      </c>
      <c r="R965" s="22" t="str">
        <f aca="false">IF($B965="","",O965-Q965-L965)</f>
        <v/>
      </c>
      <c r="S965" s="21" t="str">
        <f aca="false">IF(OR($B965="",N(O965)=0),"",R965/O965)</f>
        <v/>
      </c>
      <c r="T965" s="14"/>
      <c r="U965" s="19" t="n">
        <f aca="false">IF(OR($B965="",$A965=""),0,IF(COUNTIFS($A$5:$A965,$A965,$B$5:$B965,$B965)=1,1,0))</f>
        <v>0</v>
      </c>
    </row>
    <row r="966" customFormat="false" ht="15" hidden="false" customHeight="false" outlineLevel="0" collapsed="false">
      <c r="A966" s="17"/>
      <c r="B966" s="13"/>
      <c r="C966" s="20" t="str">
        <f aca="false">IF($B966="","",IFERROR(INDEX(고객사!$B$5:$B$104,MATCH($B966,고객사!$A$5:$A$104,0)),"코드 확인"))</f>
        <v/>
      </c>
      <c r="D966" s="15"/>
      <c r="E966" s="15"/>
      <c r="F966" s="16"/>
      <c r="G966" s="16"/>
      <c r="H966" s="21" t="str">
        <f aca="false">IF(OR($B966="",F966=0),"",G966/F966)</f>
        <v/>
      </c>
      <c r="I966" s="22" t="str">
        <f aca="false">IF($B966="","",MAX(F966-G966,0))</f>
        <v/>
      </c>
      <c r="J966" s="23" t="str">
        <f aca="false">IF($B966="","",IFERROR(INDEX(고객사!$G$5:$G$104,MATCH($B966,고객사!$A$5:$A$104,0)),""))</f>
        <v/>
      </c>
      <c r="K966" s="16"/>
      <c r="L966" s="22" t="str">
        <f aca="false">IF($B966="","",K966*IFERROR(INDEX(고객사!$L$5:$L$104,MATCH($B966,고객사!$A$5:$A$104,0)),0))</f>
        <v/>
      </c>
      <c r="M966" s="23" t="str">
        <f aca="false">IF($B966="","",IF(AND(J966="N",G966&gt;0,K966=0,IFERROR(INDEX(고객사!$H$5:$H$104,MATCH($B966,고객사!$A$5:$A$104,0)),"")="자사 차량 운행"),"차량 미배정",""))</f>
        <v/>
      </c>
      <c r="N966" s="22" t="str">
        <f aca="false">IF($B966="","",IFERROR(INDEX(고객사!$J$5:$J$104,MATCH($B966,고객사!$A$5:$A$104,0)),0))</f>
        <v/>
      </c>
      <c r="O966" s="22" t="str">
        <f aca="false">IF($B966="","",G966*N966)</f>
        <v/>
      </c>
      <c r="P966" s="22" t="str">
        <f aca="false">IF($B966="","",IFERROR(INDEX(고객사!$K$5:$K$104,MATCH($B966,고객사!$A$5:$A$104,0)),0))</f>
        <v/>
      </c>
      <c r="Q966" s="22" t="str">
        <f aca="false">IF($B966="","",G966*P966)</f>
        <v/>
      </c>
      <c r="R966" s="22" t="str">
        <f aca="false">IF($B966="","",O966-Q966-L966)</f>
        <v/>
      </c>
      <c r="S966" s="21" t="str">
        <f aca="false">IF(OR($B966="",N(O966)=0),"",R966/O966)</f>
        <v/>
      </c>
      <c r="T966" s="14"/>
      <c r="U966" s="19" t="n">
        <f aca="false">IF(OR($B966="",$A966=""),0,IF(COUNTIFS($A$5:$A966,$A966,$B$5:$B966,$B966)=1,1,0))</f>
        <v>0</v>
      </c>
    </row>
    <row r="967" customFormat="false" ht="15" hidden="false" customHeight="false" outlineLevel="0" collapsed="false">
      <c r="A967" s="17"/>
      <c r="B967" s="13"/>
      <c r="C967" s="20" t="str">
        <f aca="false">IF($B967="","",IFERROR(INDEX(고객사!$B$5:$B$104,MATCH($B967,고객사!$A$5:$A$104,0)),"코드 확인"))</f>
        <v/>
      </c>
      <c r="D967" s="15"/>
      <c r="E967" s="15"/>
      <c r="F967" s="16"/>
      <c r="G967" s="16"/>
      <c r="H967" s="21" t="str">
        <f aca="false">IF(OR($B967="",F967=0),"",G967/F967)</f>
        <v/>
      </c>
      <c r="I967" s="22" t="str">
        <f aca="false">IF($B967="","",MAX(F967-G967,0))</f>
        <v/>
      </c>
      <c r="J967" s="23" t="str">
        <f aca="false">IF($B967="","",IFERROR(INDEX(고객사!$G$5:$G$104,MATCH($B967,고객사!$A$5:$A$104,0)),""))</f>
        <v/>
      </c>
      <c r="K967" s="16"/>
      <c r="L967" s="22" t="str">
        <f aca="false">IF($B967="","",K967*IFERROR(INDEX(고객사!$L$5:$L$104,MATCH($B967,고객사!$A$5:$A$104,0)),0))</f>
        <v/>
      </c>
      <c r="M967" s="23" t="str">
        <f aca="false">IF($B967="","",IF(AND(J967="N",G967&gt;0,K967=0,IFERROR(INDEX(고객사!$H$5:$H$104,MATCH($B967,고객사!$A$5:$A$104,0)),"")="자사 차량 운행"),"차량 미배정",""))</f>
        <v/>
      </c>
      <c r="N967" s="22" t="str">
        <f aca="false">IF($B967="","",IFERROR(INDEX(고객사!$J$5:$J$104,MATCH($B967,고객사!$A$5:$A$104,0)),0))</f>
        <v/>
      </c>
      <c r="O967" s="22" t="str">
        <f aca="false">IF($B967="","",G967*N967)</f>
        <v/>
      </c>
      <c r="P967" s="22" t="str">
        <f aca="false">IF($B967="","",IFERROR(INDEX(고객사!$K$5:$K$104,MATCH($B967,고객사!$A$5:$A$104,0)),0))</f>
        <v/>
      </c>
      <c r="Q967" s="22" t="str">
        <f aca="false">IF($B967="","",G967*P967)</f>
        <v/>
      </c>
      <c r="R967" s="22" t="str">
        <f aca="false">IF($B967="","",O967-Q967-L967)</f>
        <v/>
      </c>
      <c r="S967" s="21" t="str">
        <f aca="false">IF(OR($B967="",N(O967)=0),"",R967/O967)</f>
        <v/>
      </c>
      <c r="T967" s="14"/>
      <c r="U967" s="19" t="n">
        <f aca="false">IF(OR($B967="",$A967=""),0,IF(COUNTIFS($A$5:$A967,$A967,$B$5:$B967,$B967)=1,1,0))</f>
        <v>0</v>
      </c>
    </row>
    <row r="968" customFormat="false" ht="15" hidden="false" customHeight="false" outlineLevel="0" collapsed="false">
      <c r="A968" s="17"/>
      <c r="B968" s="13"/>
      <c r="C968" s="20" t="str">
        <f aca="false">IF($B968="","",IFERROR(INDEX(고객사!$B$5:$B$104,MATCH($B968,고객사!$A$5:$A$104,0)),"코드 확인"))</f>
        <v/>
      </c>
      <c r="D968" s="15"/>
      <c r="E968" s="15"/>
      <c r="F968" s="16"/>
      <c r="G968" s="16"/>
      <c r="H968" s="21" t="str">
        <f aca="false">IF(OR($B968="",F968=0),"",G968/F968)</f>
        <v/>
      </c>
      <c r="I968" s="22" t="str">
        <f aca="false">IF($B968="","",MAX(F968-G968,0))</f>
        <v/>
      </c>
      <c r="J968" s="23" t="str">
        <f aca="false">IF($B968="","",IFERROR(INDEX(고객사!$G$5:$G$104,MATCH($B968,고객사!$A$5:$A$104,0)),""))</f>
        <v/>
      </c>
      <c r="K968" s="16"/>
      <c r="L968" s="22" t="str">
        <f aca="false">IF($B968="","",K968*IFERROR(INDEX(고객사!$L$5:$L$104,MATCH($B968,고객사!$A$5:$A$104,0)),0))</f>
        <v/>
      </c>
      <c r="M968" s="23" t="str">
        <f aca="false">IF($B968="","",IF(AND(J968="N",G968&gt;0,K968=0,IFERROR(INDEX(고객사!$H$5:$H$104,MATCH($B968,고객사!$A$5:$A$104,0)),"")="자사 차량 운행"),"차량 미배정",""))</f>
        <v/>
      </c>
      <c r="N968" s="22" t="str">
        <f aca="false">IF($B968="","",IFERROR(INDEX(고객사!$J$5:$J$104,MATCH($B968,고객사!$A$5:$A$104,0)),0))</f>
        <v/>
      </c>
      <c r="O968" s="22" t="str">
        <f aca="false">IF($B968="","",G968*N968)</f>
        <v/>
      </c>
      <c r="P968" s="22" t="str">
        <f aca="false">IF($B968="","",IFERROR(INDEX(고객사!$K$5:$K$104,MATCH($B968,고객사!$A$5:$A$104,0)),0))</f>
        <v/>
      </c>
      <c r="Q968" s="22" t="str">
        <f aca="false">IF($B968="","",G968*P968)</f>
        <v/>
      </c>
      <c r="R968" s="22" t="str">
        <f aca="false">IF($B968="","",O968-Q968-L968)</f>
        <v/>
      </c>
      <c r="S968" s="21" t="str">
        <f aca="false">IF(OR($B968="",N(O968)=0),"",R968/O968)</f>
        <v/>
      </c>
      <c r="T968" s="14"/>
      <c r="U968" s="19" t="n">
        <f aca="false">IF(OR($B968="",$A968=""),0,IF(COUNTIFS($A$5:$A968,$A968,$B$5:$B968,$B968)=1,1,0))</f>
        <v>0</v>
      </c>
    </row>
    <row r="969" customFormat="false" ht="15" hidden="false" customHeight="false" outlineLevel="0" collapsed="false">
      <c r="A969" s="17"/>
      <c r="B969" s="13"/>
      <c r="C969" s="20" t="str">
        <f aca="false">IF($B969="","",IFERROR(INDEX(고객사!$B$5:$B$104,MATCH($B969,고객사!$A$5:$A$104,0)),"코드 확인"))</f>
        <v/>
      </c>
      <c r="D969" s="15"/>
      <c r="E969" s="15"/>
      <c r="F969" s="16"/>
      <c r="G969" s="16"/>
      <c r="H969" s="21" t="str">
        <f aca="false">IF(OR($B969="",F969=0),"",G969/F969)</f>
        <v/>
      </c>
      <c r="I969" s="22" t="str">
        <f aca="false">IF($B969="","",MAX(F969-G969,0))</f>
        <v/>
      </c>
      <c r="J969" s="23" t="str">
        <f aca="false">IF($B969="","",IFERROR(INDEX(고객사!$G$5:$G$104,MATCH($B969,고객사!$A$5:$A$104,0)),""))</f>
        <v/>
      </c>
      <c r="K969" s="16"/>
      <c r="L969" s="22" t="str">
        <f aca="false">IF($B969="","",K969*IFERROR(INDEX(고객사!$L$5:$L$104,MATCH($B969,고객사!$A$5:$A$104,0)),0))</f>
        <v/>
      </c>
      <c r="M969" s="23" t="str">
        <f aca="false">IF($B969="","",IF(AND(J969="N",G969&gt;0,K969=0,IFERROR(INDEX(고객사!$H$5:$H$104,MATCH($B969,고객사!$A$5:$A$104,0)),"")="자사 차량 운행"),"차량 미배정",""))</f>
        <v/>
      </c>
      <c r="N969" s="22" t="str">
        <f aca="false">IF($B969="","",IFERROR(INDEX(고객사!$J$5:$J$104,MATCH($B969,고객사!$A$5:$A$104,0)),0))</f>
        <v/>
      </c>
      <c r="O969" s="22" t="str">
        <f aca="false">IF($B969="","",G969*N969)</f>
        <v/>
      </c>
      <c r="P969" s="22" t="str">
        <f aca="false">IF($B969="","",IFERROR(INDEX(고객사!$K$5:$K$104,MATCH($B969,고객사!$A$5:$A$104,0)),0))</f>
        <v/>
      </c>
      <c r="Q969" s="22" t="str">
        <f aca="false">IF($B969="","",G969*P969)</f>
        <v/>
      </c>
      <c r="R969" s="22" t="str">
        <f aca="false">IF($B969="","",O969-Q969-L969)</f>
        <v/>
      </c>
      <c r="S969" s="21" t="str">
        <f aca="false">IF(OR($B969="",N(O969)=0),"",R969/O969)</f>
        <v/>
      </c>
      <c r="T969" s="14"/>
      <c r="U969" s="19" t="n">
        <f aca="false">IF(OR($B969="",$A969=""),0,IF(COUNTIFS($A$5:$A969,$A969,$B$5:$B969,$B969)=1,1,0))</f>
        <v>0</v>
      </c>
    </row>
    <row r="970" customFormat="false" ht="15" hidden="false" customHeight="false" outlineLevel="0" collapsed="false">
      <c r="A970" s="17"/>
      <c r="B970" s="13"/>
      <c r="C970" s="20" t="str">
        <f aca="false">IF($B970="","",IFERROR(INDEX(고객사!$B$5:$B$104,MATCH($B970,고객사!$A$5:$A$104,0)),"코드 확인"))</f>
        <v/>
      </c>
      <c r="D970" s="15"/>
      <c r="E970" s="15"/>
      <c r="F970" s="16"/>
      <c r="G970" s="16"/>
      <c r="H970" s="21" t="str">
        <f aca="false">IF(OR($B970="",F970=0),"",G970/F970)</f>
        <v/>
      </c>
      <c r="I970" s="22" t="str">
        <f aca="false">IF($B970="","",MAX(F970-G970,0))</f>
        <v/>
      </c>
      <c r="J970" s="23" t="str">
        <f aca="false">IF($B970="","",IFERROR(INDEX(고객사!$G$5:$G$104,MATCH($B970,고객사!$A$5:$A$104,0)),""))</f>
        <v/>
      </c>
      <c r="K970" s="16"/>
      <c r="L970" s="22" t="str">
        <f aca="false">IF($B970="","",K970*IFERROR(INDEX(고객사!$L$5:$L$104,MATCH($B970,고객사!$A$5:$A$104,0)),0))</f>
        <v/>
      </c>
      <c r="M970" s="23" t="str">
        <f aca="false">IF($B970="","",IF(AND(J970="N",G970&gt;0,K970=0,IFERROR(INDEX(고객사!$H$5:$H$104,MATCH($B970,고객사!$A$5:$A$104,0)),"")="자사 차량 운행"),"차량 미배정",""))</f>
        <v/>
      </c>
      <c r="N970" s="22" t="str">
        <f aca="false">IF($B970="","",IFERROR(INDEX(고객사!$J$5:$J$104,MATCH($B970,고객사!$A$5:$A$104,0)),0))</f>
        <v/>
      </c>
      <c r="O970" s="22" t="str">
        <f aca="false">IF($B970="","",G970*N970)</f>
        <v/>
      </c>
      <c r="P970" s="22" t="str">
        <f aca="false">IF($B970="","",IFERROR(INDEX(고객사!$K$5:$K$104,MATCH($B970,고객사!$A$5:$A$104,0)),0))</f>
        <v/>
      </c>
      <c r="Q970" s="22" t="str">
        <f aca="false">IF($B970="","",G970*P970)</f>
        <v/>
      </c>
      <c r="R970" s="22" t="str">
        <f aca="false">IF($B970="","",O970-Q970-L970)</f>
        <v/>
      </c>
      <c r="S970" s="21" t="str">
        <f aca="false">IF(OR($B970="",N(O970)=0),"",R970/O970)</f>
        <v/>
      </c>
      <c r="T970" s="14"/>
      <c r="U970" s="19" t="n">
        <f aca="false">IF(OR($B970="",$A970=""),0,IF(COUNTIFS($A$5:$A970,$A970,$B$5:$B970,$B970)=1,1,0))</f>
        <v>0</v>
      </c>
    </row>
    <row r="971" customFormat="false" ht="15" hidden="false" customHeight="false" outlineLevel="0" collapsed="false">
      <c r="A971" s="17"/>
      <c r="B971" s="13"/>
      <c r="C971" s="20" t="str">
        <f aca="false">IF($B971="","",IFERROR(INDEX(고객사!$B$5:$B$104,MATCH($B971,고객사!$A$5:$A$104,0)),"코드 확인"))</f>
        <v/>
      </c>
      <c r="D971" s="15"/>
      <c r="E971" s="15"/>
      <c r="F971" s="16"/>
      <c r="G971" s="16"/>
      <c r="H971" s="21" t="str">
        <f aca="false">IF(OR($B971="",F971=0),"",G971/F971)</f>
        <v/>
      </c>
      <c r="I971" s="22" t="str">
        <f aca="false">IF($B971="","",MAX(F971-G971,0))</f>
        <v/>
      </c>
      <c r="J971" s="23" t="str">
        <f aca="false">IF($B971="","",IFERROR(INDEX(고객사!$G$5:$G$104,MATCH($B971,고객사!$A$5:$A$104,0)),""))</f>
        <v/>
      </c>
      <c r="K971" s="16"/>
      <c r="L971" s="22" t="str">
        <f aca="false">IF($B971="","",K971*IFERROR(INDEX(고객사!$L$5:$L$104,MATCH($B971,고객사!$A$5:$A$104,0)),0))</f>
        <v/>
      </c>
      <c r="M971" s="23" t="str">
        <f aca="false">IF($B971="","",IF(AND(J971="N",G971&gt;0,K971=0,IFERROR(INDEX(고객사!$H$5:$H$104,MATCH($B971,고객사!$A$5:$A$104,0)),"")="자사 차량 운행"),"차량 미배정",""))</f>
        <v/>
      </c>
      <c r="N971" s="22" t="str">
        <f aca="false">IF($B971="","",IFERROR(INDEX(고객사!$J$5:$J$104,MATCH($B971,고객사!$A$5:$A$104,0)),0))</f>
        <v/>
      </c>
      <c r="O971" s="22" t="str">
        <f aca="false">IF($B971="","",G971*N971)</f>
        <v/>
      </c>
      <c r="P971" s="22" t="str">
        <f aca="false">IF($B971="","",IFERROR(INDEX(고객사!$K$5:$K$104,MATCH($B971,고객사!$A$5:$A$104,0)),0))</f>
        <v/>
      </c>
      <c r="Q971" s="22" t="str">
        <f aca="false">IF($B971="","",G971*P971)</f>
        <v/>
      </c>
      <c r="R971" s="22" t="str">
        <f aca="false">IF($B971="","",O971-Q971-L971)</f>
        <v/>
      </c>
      <c r="S971" s="21" t="str">
        <f aca="false">IF(OR($B971="",N(O971)=0),"",R971/O971)</f>
        <v/>
      </c>
      <c r="T971" s="14"/>
      <c r="U971" s="19" t="n">
        <f aca="false">IF(OR($B971="",$A971=""),0,IF(COUNTIFS($A$5:$A971,$A971,$B$5:$B971,$B971)=1,1,0))</f>
        <v>0</v>
      </c>
    </row>
    <row r="972" customFormat="false" ht="15" hidden="false" customHeight="false" outlineLevel="0" collapsed="false">
      <c r="A972" s="17"/>
      <c r="B972" s="13"/>
      <c r="C972" s="20" t="str">
        <f aca="false">IF($B972="","",IFERROR(INDEX(고객사!$B$5:$B$104,MATCH($B972,고객사!$A$5:$A$104,0)),"코드 확인"))</f>
        <v/>
      </c>
      <c r="D972" s="15"/>
      <c r="E972" s="15"/>
      <c r="F972" s="16"/>
      <c r="G972" s="16"/>
      <c r="H972" s="21" t="str">
        <f aca="false">IF(OR($B972="",F972=0),"",G972/F972)</f>
        <v/>
      </c>
      <c r="I972" s="22" t="str">
        <f aca="false">IF($B972="","",MAX(F972-G972,0))</f>
        <v/>
      </c>
      <c r="J972" s="23" t="str">
        <f aca="false">IF($B972="","",IFERROR(INDEX(고객사!$G$5:$G$104,MATCH($B972,고객사!$A$5:$A$104,0)),""))</f>
        <v/>
      </c>
      <c r="K972" s="16"/>
      <c r="L972" s="22" t="str">
        <f aca="false">IF($B972="","",K972*IFERROR(INDEX(고객사!$L$5:$L$104,MATCH($B972,고객사!$A$5:$A$104,0)),0))</f>
        <v/>
      </c>
      <c r="M972" s="23" t="str">
        <f aca="false">IF($B972="","",IF(AND(J972="N",G972&gt;0,K972=0,IFERROR(INDEX(고객사!$H$5:$H$104,MATCH($B972,고객사!$A$5:$A$104,0)),"")="자사 차량 운행"),"차량 미배정",""))</f>
        <v/>
      </c>
      <c r="N972" s="22" t="str">
        <f aca="false">IF($B972="","",IFERROR(INDEX(고객사!$J$5:$J$104,MATCH($B972,고객사!$A$5:$A$104,0)),0))</f>
        <v/>
      </c>
      <c r="O972" s="22" t="str">
        <f aca="false">IF($B972="","",G972*N972)</f>
        <v/>
      </c>
      <c r="P972" s="22" t="str">
        <f aca="false">IF($B972="","",IFERROR(INDEX(고객사!$K$5:$K$104,MATCH($B972,고객사!$A$5:$A$104,0)),0))</f>
        <v/>
      </c>
      <c r="Q972" s="22" t="str">
        <f aca="false">IF($B972="","",G972*P972)</f>
        <v/>
      </c>
      <c r="R972" s="22" t="str">
        <f aca="false">IF($B972="","",O972-Q972-L972)</f>
        <v/>
      </c>
      <c r="S972" s="21" t="str">
        <f aca="false">IF(OR($B972="",N(O972)=0),"",R972/O972)</f>
        <v/>
      </c>
      <c r="T972" s="14"/>
      <c r="U972" s="19" t="n">
        <f aca="false">IF(OR($B972="",$A972=""),0,IF(COUNTIFS($A$5:$A972,$A972,$B$5:$B972,$B972)=1,1,0))</f>
        <v>0</v>
      </c>
    </row>
    <row r="973" customFormat="false" ht="15" hidden="false" customHeight="false" outlineLevel="0" collapsed="false">
      <c r="A973" s="17"/>
      <c r="B973" s="13"/>
      <c r="C973" s="20" t="str">
        <f aca="false">IF($B973="","",IFERROR(INDEX(고객사!$B$5:$B$104,MATCH($B973,고객사!$A$5:$A$104,0)),"코드 확인"))</f>
        <v/>
      </c>
      <c r="D973" s="15"/>
      <c r="E973" s="15"/>
      <c r="F973" s="16"/>
      <c r="G973" s="16"/>
      <c r="H973" s="21" t="str">
        <f aca="false">IF(OR($B973="",F973=0),"",G973/F973)</f>
        <v/>
      </c>
      <c r="I973" s="22" t="str">
        <f aca="false">IF($B973="","",MAX(F973-G973,0))</f>
        <v/>
      </c>
      <c r="J973" s="23" t="str">
        <f aca="false">IF($B973="","",IFERROR(INDEX(고객사!$G$5:$G$104,MATCH($B973,고객사!$A$5:$A$104,0)),""))</f>
        <v/>
      </c>
      <c r="K973" s="16"/>
      <c r="L973" s="22" t="str">
        <f aca="false">IF($B973="","",K973*IFERROR(INDEX(고객사!$L$5:$L$104,MATCH($B973,고객사!$A$5:$A$104,0)),0))</f>
        <v/>
      </c>
      <c r="M973" s="23" t="str">
        <f aca="false">IF($B973="","",IF(AND(J973="N",G973&gt;0,K973=0,IFERROR(INDEX(고객사!$H$5:$H$104,MATCH($B973,고객사!$A$5:$A$104,0)),"")="자사 차량 운행"),"차량 미배정",""))</f>
        <v/>
      </c>
      <c r="N973" s="22" t="str">
        <f aca="false">IF($B973="","",IFERROR(INDEX(고객사!$J$5:$J$104,MATCH($B973,고객사!$A$5:$A$104,0)),0))</f>
        <v/>
      </c>
      <c r="O973" s="22" t="str">
        <f aca="false">IF($B973="","",G973*N973)</f>
        <v/>
      </c>
      <c r="P973" s="22" t="str">
        <f aca="false">IF($B973="","",IFERROR(INDEX(고객사!$K$5:$K$104,MATCH($B973,고객사!$A$5:$A$104,0)),0))</f>
        <v/>
      </c>
      <c r="Q973" s="22" t="str">
        <f aca="false">IF($B973="","",G973*P973)</f>
        <v/>
      </c>
      <c r="R973" s="22" t="str">
        <f aca="false">IF($B973="","",O973-Q973-L973)</f>
        <v/>
      </c>
      <c r="S973" s="21" t="str">
        <f aca="false">IF(OR($B973="",N(O973)=0),"",R973/O973)</f>
        <v/>
      </c>
      <c r="T973" s="14"/>
      <c r="U973" s="19" t="n">
        <f aca="false">IF(OR($B973="",$A973=""),0,IF(COUNTIFS($A$5:$A973,$A973,$B$5:$B973,$B973)=1,1,0))</f>
        <v>0</v>
      </c>
    </row>
    <row r="974" customFormat="false" ht="15" hidden="false" customHeight="false" outlineLevel="0" collapsed="false">
      <c r="A974" s="17"/>
      <c r="B974" s="13"/>
      <c r="C974" s="20" t="str">
        <f aca="false">IF($B974="","",IFERROR(INDEX(고객사!$B$5:$B$104,MATCH($B974,고객사!$A$5:$A$104,0)),"코드 확인"))</f>
        <v/>
      </c>
      <c r="D974" s="15"/>
      <c r="E974" s="15"/>
      <c r="F974" s="16"/>
      <c r="G974" s="16"/>
      <c r="H974" s="21" t="str">
        <f aca="false">IF(OR($B974="",F974=0),"",G974/F974)</f>
        <v/>
      </c>
      <c r="I974" s="22" t="str">
        <f aca="false">IF($B974="","",MAX(F974-G974,0))</f>
        <v/>
      </c>
      <c r="J974" s="23" t="str">
        <f aca="false">IF($B974="","",IFERROR(INDEX(고객사!$G$5:$G$104,MATCH($B974,고객사!$A$5:$A$104,0)),""))</f>
        <v/>
      </c>
      <c r="K974" s="16"/>
      <c r="L974" s="22" t="str">
        <f aca="false">IF($B974="","",K974*IFERROR(INDEX(고객사!$L$5:$L$104,MATCH($B974,고객사!$A$5:$A$104,0)),0))</f>
        <v/>
      </c>
      <c r="M974" s="23" t="str">
        <f aca="false">IF($B974="","",IF(AND(J974="N",G974&gt;0,K974=0,IFERROR(INDEX(고객사!$H$5:$H$104,MATCH($B974,고객사!$A$5:$A$104,0)),"")="자사 차량 운행"),"차량 미배정",""))</f>
        <v/>
      </c>
      <c r="N974" s="22" t="str">
        <f aca="false">IF($B974="","",IFERROR(INDEX(고객사!$J$5:$J$104,MATCH($B974,고객사!$A$5:$A$104,0)),0))</f>
        <v/>
      </c>
      <c r="O974" s="22" t="str">
        <f aca="false">IF($B974="","",G974*N974)</f>
        <v/>
      </c>
      <c r="P974" s="22" t="str">
        <f aca="false">IF($B974="","",IFERROR(INDEX(고객사!$K$5:$K$104,MATCH($B974,고객사!$A$5:$A$104,0)),0))</f>
        <v/>
      </c>
      <c r="Q974" s="22" t="str">
        <f aca="false">IF($B974="","",G974*P974)</f>
        <v/>
      </c>
      <c r="R974" s="22" t="str">
        <f aca="false">IF($B974="","",O974-Q974-L974)</f>
        <v/>
      </c>
      <c r="S974" s="21" t="str">
        <f aca="false">IF(OR($B974="",N(O974)=0),"",R974/O974)</f>
        <v/>
      </c>
      <c r="T974" s="14"/>
      <c r="U974" s="19" t="n">
        <f aca="false">IF(OR($B974="",$A974=""),0,IF(COUNTIFS($A$5:$A974,$A974,$B$5:$B974,$B974)=1,1,0))</f>
        <v>0</v>
      </c>
    </row>
    <row r="975" customFormat="false" ht="15" hidden="false" customHeight="false" outlineLevel="0" collapsed="false">
      <c r="A975" s="17"/>
      <c r="B975" s="13"/>
      <c r="C975" s="20" t="str">
        <f aca="false">IF($B975="","",IFERROR(INDEX(고객사!$B$5:$B$104,MATCH($B975,고객사!$A$5:$A$104,0)),"코드 확인"))</f>
        <v/>
      </c>
      <c r="D975" s="15"/>
      <c r="E975" s="15"/>
      <c r="F975" s="16"/>
      <c r="G975" s="16"/>
      <c r="H975" s="21" t="str">
        <f aca="false">IF(OR($B975="",F975=0),"",G975/F975)</f>
        <v/>
      </c>
      <c r="I975" s="22" t="str">
        <f aca="false">IF($B975="","",MAX(F975-G975,0))</f>
        <v/>
      </c>
      <c r="J975" s="23" t="str">
        <f aca="false">IF($B975="","",IFERROR(INDEX(고객사!$G$5:$G$104,MATCH($B975,고객사!$A$5:$A$104,0)),""))</f>
        <v/>
      </c>
      <c r="K975" s="16"/>
      <c r="L975" s="22" t="str">
        <f aca="false">IF($B975="","",K975*IFERROR(INDEX(고객사!$L$5:$L$104,MATCH($B975,고객사!$A$5:$A$104,0)),0))</f>
        <v/>
      </c>
      <c r="M975" s="23" t="str">
        <f aca="false">IF($B975="","",IF(AND(J975="N",G975&gt;0,K975=0,IFERROR(INDEX(고객사!$H$5:$H$104,MATCH($B975,고객사!$A$5:$A$104,0)),"")="자사 차량 운행"),"차량 미배정",""))</f>
        <v/>
      </c>
      <c r="N975" s="22" t="str">
        <f aca="false">IF($B975="","",IFERROR(INDEX(고객사!$J$5:$J$104,MATCH($B975,고객사!$A$5:$A$104,0)),0))</f>
        <v/>
      </c>
      <c r="O975" s="22" t="str">
        <f aca="false">IF($B975="","",G975*N975)</f>
        <v/>
      </c>
      <c r="P975" s="22" t="str">
        <f aca="false">IF($B975="","",IFERROR(INDEX(고객사!$K$5:$K$104,MATCH($B975,고객사!$A$5:$A$104,0)),0))</f>
        <v/>
      </c>
      <c r="Q975" s="22" t="str">
        <f aca="false">IF($B975="","",G975*P975)</f>
        <v/>
      </c>
      <c r="R975" s="22" t="str">
        <f aca="false">IF($B975="","",O975-Q975-L975)</f>
        <v/>
      </c>
      <c r="S975" s="21" t="str">
        <f aca="false">IF(OR($B975="",N(O975)=0),"",R975/O975)</f>
        <v/>
      </c>
      <c r="T975" s="14"/>
      <c r="U975" s="19" t="n">
        <f aca="false">IF(OR($B975="",$A975=""),0,IF(COUNTIFS($A$5:$A975,$A975,$B$5:$B975,$B975)=1,1,0))</f>
        <v>0</v>
      </c>
    </row>
    <row r="976" customFormat="false" ht="15" hidden="false" customHeight="false" outlineLevel="0" collapsed="false">
      <c r="A976" s="17"/>
      <c r="B976" s="13"/>
      <c r="C976" s="20" t="str">
        <f aca="false">IF($B976="","",IFERROR(INDEX(고객사!$B$5:$B$104,MATCH($B976,고객사!$A$5:$A$104,0)),"코드 확인"))</f>
        <v/>
      </c>
      <c r="D976" s="15"/>
      <c r="E976" s="15"/>
      <c r="F976" s="16"/>
      <c r="G976" s="16"/>
      <c r="H976" s="21" t="str">
        <f aca="false">IF(OR($B976="",F976=0),"",G976/F976)</f>
        <v/>
      </c>
      <c r="I976" s="22" t="str">
        <f aca="false">IF($B976="","",MAX(F976-G976,0))</f>
        <v/>
      </c>
      <c r="J976" s="23" t="str">
        <f aca="false">IF($B976="","",IFERROR(INDEX(고객사!$G$5:$G$104,MATCH($B976,고객사!$A$5:$A$104,0)),""))</f>
        <v/>
      </c>
      <c r="K976" s="16"/>
      <c r="L976" s="22" t="str">
        <f aca="false">IF($B976="","",K976*IFERROR(INDEX(고객사!$L$5:$L$104,MATCH($B976,고객사!$A$5:$A$104,0)),0))</f>
        <v/>
      </c>
      <c r="M976" s="23" t="str">
        <f aca="false">IF($B976="","",IF(AND(J976="N",G976&gt;0,K976=0,IFERROR(INDEX(고객사!$H$5:$H$104,MATCH($B976,고객사!$A$5:$A$104,0)),"")="자사 차량 운행"),"차량 미배정",""))</f>
        <v/>
      </c>
      <c r="N976" s="22" t="str">
        <f aca="false">IF($B976="","",IFERROR(INDEX(고객사!$J$5:$J$104,MATCH($B976,고객사!$A$5:$A$104,0)),0))</f>
        <v/>
      </c>
      <c r="O976" s="22" t="str">
        <f aca="false">IF($B976="","",G976*N976)</f>
        <v/>
      </c>
      <c r="P976" s="22" t="str">
        <f aca="false">IF($B976="","",IFERROR(INDEX(고객사!$K$5:$K$104,MATCH($B976,고객사!$A$5:$A$104,0)),0))</f>
        <v/>
      </c>
      <c r="Q976" s="22" t="str">
        <f aca="false">IF($B976="","",G976*P976)</f>
        <v/>
      </c>
      <c r="R976" s="22" t="str">
        <f aca="false">IF($B976="","",O976-Q976-L976)</f>
        <v/>
      </c>
      <c r="S976" s="21" t="str">
        <f aca="false">IF(OR($B976="",N(O976)=0),"",R976/O976)</f>
        <v/>
      </c>
      <c r="T976" s="14"/>
      <c r="U976" s="19" t="n">
        <f aca="false">IF(OR($B976="",$A976=""),0,IF(COUNTIFS($A$5:$A976,$A976,$B$5:$B976,$B976)=1,1,0))</f>
        <v>0</v>
      </c>
    </row>
    <row r="977" customFormat="false" ht="15" hidden="false" customHeight="false" outlineLevel="0" collapsed="false">
      <c r="A977" s="17"/>
      <c r="B977" s="13"/>
      <c r="C977" s="20" t="str">
        <f aca="false">IF($B977="","",IFERROR(INDEX(고객사!$B$5:$B$104,MATCH($B977,고객사!$A$5:$A$104,0)),"코드 확인"))</f>
        <v/>
      </c>
      <c r="D977" s="15"/>
      <c r="E977" s="15"/>
      <c r="F977" s="16"/>
      <c r="G977" s="16"/>
      <c r="H977" s="21" t="str">
        <f aca="false">IF(OR($B977="",F977=0),"",G977/F977)</f>
        <v/>
      </c>
      <c r="I977" s="22" t="str">
        <f aca="false">IF($B977="","",MAX(F977-G977,0))</f>
        <v/>
      </c>
      <c r="J977" s="23" t="str">
        <f aca="false">IF($B977="","",IFERROR(INDEX(고객사!$G$5:$G$104,MATCH($B977,고객사!$A$5:$A$104,0)),""))</f>
        <v/>
      </c>
      <c r="K977" s="16"/>
      <c r="L977" s="22" t="str">
        <f aca="false">IF($B977="","",K977*IFERROR(INDEX(고객사!$L$5:$L$104,MATCH($B977,고객사!$A$5:$A$104,0)),0))</f>
        <v/>
      </c>
      <c r="M977" s="23" t="str">
        <f aca="false">IF($B977="","",IF(AND(J977="N",G977&gt;0,K977=0,IFERROR(INDEX(고객사!$H$5:$H$104,MATCH($B977,고객사!$A$5:$A$104,0)),"")="자사 차량 운행"),"차량 미배정",""))</f>
        <v/>
      </c>
      <c r="N977" s="22" t="str">
        <f aca="false">IF($B977="","",IFERROR(INDEX(고객사!$J$5:$J$104,MATCH($B977,고객사!$A$5:$A$104,0)),0))</f>
        <v/>
      </c>
      <c r="O977" s="22" t="str">
        <f aca="false">IF($B977="","",G977*N977)</f>
        <v/>
      </c>
      <c r="P977" s="22" t="str">
        <f aca="false">IF($B977="","",IFERROR(INDEX(고객사!$K$5:$K$104,MATCH($B977,고객사!$A$5:$A$104,0)),0))</f>
        <v/>
      </c>
      <c r="Q977" s="22" t="str">
        <f aca="false">IF($B977="","",G977*P977)</f>
        <v/>
      </c>
      <c r="R977" s="22" t="str">
        <f aca="false">IF($B977="","",O977-Q977-L977)</f>
        <v/>
      </c>
      <c r="S977" s="21" t="str">
        <f aca="false">IF(OR($B977="",N(O977)=0),"",R977/O977)</f>
        <v/>
      </c>
      <c r="T977" s="14"/>
      <c r="U977" s="19" t="n">
        <f aca="false">IF(OR($B977="",$A977=""),0,IF(COUNTIFS($A$5:$A977,$A977,$B$5:$B977,$B977)=1,1,0))</f>
        <v>0</v>
      </c>
    </row>
    <row r="978" customFormat="false" ht="15" hidden="false" customHeight="false" outlineLevel="0" collapsed="false">
      <c r="A978" s="17"/>
      <c r="B978" s="13"/>
      <c r="C978" s="20" t="str">
        <f aca="false">IF($B978="","",IFERROR(INDEX(고객사!$B$5:$B$104,MATCH($B978,고객사!$A$5:$A$104,0)),"코드 확인"))</f>
        <v/>
      </c>
      <c r="D978" s="15"/>
      <c r="E978" s="15"/>
      <c r="F978" s="16"/>
      <c r="G978" s="16"/>
      <c r="H978" s="21" t="str">
        <f aca="false">IF(OR($B978="",F978=0),"",G978/F978)</f>
        <v/>
      </c>
      <c r="I978" s="22" t="str">
        <f aca="false">IF($B978="","",MAX(F978-G978,0))</f>
        <v/>
      </c>
      <c r="J978" s="23" t="str">
        <f aca="false">IF($B978="","",IFERROR(INDEX(고객사!$G$5:$G$104,MATCH($B978,고객사!$A$5:$A$104,0)),""))</f>
        <v/>
      </c>
      <c r="K978" s="16"/>
      <c r="L978" s="22" t="str">
        <f aca="false">IF($B978="","",K978*IFERROR(INDEX(고객사!$L$5:$L$104,MATCH($B978,고객사!$A$5:$A$104,0)),0))</f>
        <v/>
      </c>
      <c r="M978" s="23" t="str">
        <f aca="false">IF($B978="","",IF(AND(J978="N",G978&gt;0,K978=0,IFERROR(INDEX(고객사!$H$5:$H$104,MATCH($B978,고객사!$A$5:$A$104,0)),"")="자사 차량 운행"),"차량 미배정",""))</f>
        <v/>
      </c>
      <c r="N978" s="22" t="str">
        <f aca="false">IF($B978="","",IFERROR(INDEX(고객사!$J$5:$J$104,MATCH($B978,고객사!$A$5:$A$104,0)),0))</f>
        <v/>
      </c>
      <c r="O978" s="22" t="str">
        <f aca="false">IF($B978="","",G978*N978)</f>
        <v/>
      </c>
      <c r="P978" s="22" t="str">
        <f aca="false">IF($B978="","",IFERROR(INDEX(고객사!$K$5:$K$104,MATCH($B978,고객사!$A$5:$A$104,0)),0))</f>
        <v/>
      </c>
      <c r="Q978" s="22" t="str">
        <f aca="false">IF($B978="","",G978*P978)</f>
        <v/>
      </c>
      <c r="R978" s="22" t="str">
        <f aca="false">IF($B978="","",O978-Q978-L978)</f>
        <v/>
      </c>
      <c r="S978" s="21" t="str">
        <f aca="false">IF(OR($B978="",N(O978)=0),"",R978/O978)</f>
        <v/>
      </c>
      <c r="T978" s="14"/>
      <c r="U978" s="19" t="n">
        <f aca="false">IF(OR($B978="",$A978=""),0,IF(COUNTIFS($A$5:$A978,$A978,$B$5:$B978,$B978)=1,1,0))</f>
        <v>0</v>
      </c>
    </row>
    <row r="979" customFormat="false" ht="15" hidden="false" customHeight="false" outlineLevel="0" collapsed="false">
      <c r="A979" s="17"/>
      <c r="B979" s="13"/>
      <c r="C979" s="20" t="str">
        <f aca="false">IF($B979="","",IFERROR(INDEX(고객사!$B$5:$B$104,MATCH($B979,고객사!$A$5:$A$104,0)),"코드 확인"))</f>
        <v/>
      </c>
      <c r="D979" s="15"/>
      <c r="E979" s="15"/>
      <c r="F979" s="16"/>
      <c r="G979" s="16"/>
      <c r="H979" s="21" t="str">
        <f aca="false">IF(OR($B979="",F979=0),"",G979/F979)</f>
        <v/>
      </c>
      <c r="I979" s="22" t="str">
        <f aca="false">IF($B979="","",MAX(F979-G979,0))</f>
        <v/>
      </c>
      <c r="J979" s="23" t="str">
        <f aca="false">IF($B979="","",IFERROR(INDEX(고객사!$G$5:$G$104,MATCH($B979,고객사!$A$5:$A$104,0)),""))</f>
        <v/>
      </c>
      <c r="K979" s="16"/>
      <c r="L979" s="22" t="str">
        <f aca="false">IF($B979="","",K979*IFERROR(INDEX(고객사!$L$5:$L$104,MATCH($B979,고객사!$A$5:$A$104,0)),0))</f>
        <v/>
      </c>
      <c r="M979" s="23" t="str">
        <f aca="false">IF($B979="","",IF(AND(J979="N",G979&gt;0,K979=0,IFERROR(INDEX(고객사!$H$5:$H$104,MATCH($B979,고객사!$A$5:$A$104,0)),"")="자사 차량 운행"),"차량 미배정",""))</f>
        <v/>
      </c>
      <c r="N979" s="22" t="str">
        <f aca="false">IF($B979="","",IFERROR(INDEX(고객사!$J$5:$J$104,MATCH($B979,고객사!$A$5:$A$104,0)),0))</f>
        <v/>
      </c>
      <c r="O979" s="22" t="str">
        <f aca="false">IF($B979="","",G979*N979)</f>
        <v/>
      </c>
      <c r="P979" s="22" t="str">
        <f aca="false">IF($B979="","",IFERROR(INDEX(고객사!$K$5:$K$104,MATCH($B979,고객사!$A$5:$A$104,0)),0))</f>
        <v/>
      </c>
      <c r="Q979" s="22" t="str">
        <f aca="false">IF($B979="","",G979*P979)</f>
        <v/>
      </c>
      <c r="R979" s="22" t="str">
        <f aca="false">IF($B979="","",O979-Q979-L979)</f>
        <v/>
      </c>
      <c r="S979" s="21" t="str">
        <f aca="false">IF(OR($B979="",N(O979)=0),"",R979/O979)</f>
        <v/>
      </c>
      <c r="T979" s="14"/>
      <c r="U979" s="19" t="n">
        <f aca="false">IF(OR($B979="",$A979=""),0,IF(COUNTIFS($A$5:$A979,$A979,$B$5:$B979,$B979)=1,1,0))</f>
        <v>0</v>
      </c>
    </row>
    <row r="980" customFormat="false" ht="15" hidden="false" customHeight="false" outlineLevel="0" collapsed="false">
      <c r="A980" s="17"/>
      <c r="B980" s="13"/>
      <c r="C980" s="20" t="str">
        <f aca="false">IF($B980="","",IFERROR(INDEX(고객사!$B$5:$B$104,MATCH($B980,고객사!$A$5:$A$104,0)),"코드 확인"))</f>
        <v/>
      </c>
      <c r="D980" s="15"/>
      <c r="E980" s="15"/>
      <c r="F980" s="16"/>
      <c r="G980" s="16"/>
      <c r="H980" s="21" t="str">
        <f aca="false">IF(OR($B980="",F980=0),"",G980/F980)</f>
        <v/>
      </c>
      <c r="I980" s="22" t="str">
        <f aca="false">IF($B980="","",MAX(F980-G980,0))</f>
        <v/>
      </c>
      <c r="J980" s="23" t="str">
        <f aca="false">IF($B980="","",IFERROR(INDEX(고객사!$G$5:$G$104,MATCH($B980,고객사!$A$5:$A$104,0)),""))</f>
        <v/>
      </c>
      <c r="K980" s="16"/>
      <c r="L980" s="22" t="str">
        <f aca="false">IF($B980="","",K980*IFERROR(INDEX(고객사!$L$5:$L$104,MATCH($B980,고객사!$A$5:$A$104,0)),0))</f>
        <v/>
      </c>
      <c r="M980" s="23" t="str">
        <f aca="false">IF($B980="","",IF(AND(J980="N",G980&gt;0,K980=0,IFERROR(INDEX(고객사!$H$5:$H$104,MATCH($B980,고객사!$A$5:$A$104,0)),"")="자사 차량 운행"),"차량 미배정",""))</f>
        <v/>
      </c>
      <c r="N980" s="22" t="str">
        <f aca="false">IF($B980="","",IFERROR(INDEX(고객사!$J$5:$J$104,MATCH($B980,고객사!$A$5:$A$104,0)),0))</f>
        <v/>
      </c>
      <c r="O980" s="22" t="str">
        <f aca="false">IF($B980="","",G980*N980)</f>
        <v/>
      </c>
      <c r="P980" s="22" t="str">
        <f aca="false">IF($B980="","",IFERROR(INDEX(고객사!$K$5:$K$104,MATCH($B980,고객사!$A$5:$A$104,0)),0))</f>
        <v/>
      </c>
      <c r="Q980" s="22" t="str">
        <f aca="false">IF($B980="","",G980*P980)</f>
        <v/>
      </c>
      <c r="R980" s="22" t="str">
        <f aca="false">IF($B980="","",O980-Q980-L980)</f>
        <v/>
      </c>
      <c r="S980" s="21" t="str">
        <f aca="false">IF(OR($B980="",N(O980)=0),"",R980/O980)</f>
        <v/>
      </c>
      <c r="T980" s="14"/>
      <c r="U980" s="19" t="n">
        <f aca="false">IF(OR($B980="",$A980=""),0,IF(COUNTIFS($A$5:$A980,$A980,$B$5:$B980,$B980)=1,1,0))</f>
        <v>0</v>
      </c>
    </row>
    <row r="981" customFormat="false" ht="15" hidden="false" customHeight="false" outlineLevel="0" collapsed="false">
      <c r="A981" s="17"/>
      <c r="B981" s="13"/>
      <c r="C981" s="20" t="str">
        <f aca="false">IF($B981="","",IFERROR(INDEX(고객사!$B$5:$B$104,MATCH($B981,고객사!$A$5:$A$104,0)),"코드 확인"))</f>
        <v/>
      </c>
      <c r="D981" s="15"/>
      <c r="E981" s="15"/>
      <c r="F981" s="16"/>
      <c r="G981" s="16"/>
      <c r="H981" s="21" t="str">
        <f aca="false">IF(OR($B981="",F981=0),"",G981/F981)</f>
        <v/>
      </c>
      <c r="I981" s="22" t="str">
        <f aca="false">IF($B981="","",MAX(F981-G981,0))</f>
        <v/>
      </c>
      <c r="J981" s="23" t="str">
        <f aca="false">IF($B981="","",IFERROR(INDEX(고객사!$G$5:$G$104,MATCH($B981,고객사!$A$5:$A$104,0)),""))</f>
        <v/>
      </c>
      <c r="K981" s="16"/>
      <c r="L981" s="22" t="str">
        <f aca="false">IF($B981="","",K981*IFERROR(INDEX(고객사!$L$5:$L$104,MATCH($B981,고객사!$A$5:$A$104,0)),0))</f>
        <v/>
      </c>
      <c r="M981" s="23" t="str">
        <f aca="false">IF($B981="","",IF(AND(J981="N",G981&gt;0,K981=0,IFERROR(INDEX(고객사!$H$5:$H$104,MATCH($B981,고객사!$A$5:$A$104,0)),"")="자사 차량 운행"),"차량 미배정",""))</f>
        <v/>
      </c>
      <c r="N981" s="22" t="str">
        <f aca="false">IF($B981="","",IFERROR(INDEX(고객사!$J$5:$J$104,MATCH($B981,고객사!$A$5:$A$104,0)),0))</f>
        <v/>
      </c>
      <c r="O981" s="22" t="str">
        <f aca="false">IF($B981="","",G981*N981)</f>
        <v/>
      </c>
      <c r="P981" s="22" t="str">
        <f aca="false">IF($B981="","",IFERROR(INDEX(고객사!$K$5:$K$104,MATCH($B981,고객사!$A$5:$A$104,0)),0))</f>
        <v/>
      </c>
      <c r="Q981" s="22" t="str">
        <f aca="false">IF($B981="","",G981*P981)</f>
        <v/>
      </c>
      <c r="R981" s="22" t="str">
        <f aca="false">IF($B981="","",O981-Q981-L981)</f>
        <v/>
      </c>
      <c r="S981" s="21" t="str">
        <f aca="false">IF(OR($B981="",N(O981)=0),"",R981/O981)</f>
        <v/>
      </c>
      <c r="T981" s="14"/>
      <c r="U981" s="19" t="n">
        <f aca="false">IF(OR($B981="",$A981=""),0,IF(COUNTIFS($A$5:$A981,$A981,$B$5:$B981,$B981)=1,1,0))</f>
        <v>0</v>
      </c>
    </row>
    <row r="982" customFormat="false" ht="15" hidden="false" customHeight="false" outlineLevel="0" collapsed="false">
      <c r="A982" s="17"/>
      <c r="B982" s="13"/>
      <c r="C982" s="20" t="str">
        <f aca="false">IF($B982="","",IFERROR(INDEX(고객사!$B$5:$B$104,MATCH($B982,고객사!$A$5:$A$104,0)),"코드 확인"))</f>
        <v/>
      </c>
      <c r="D982" s="15"/>
      <c r="E982" s="15"/>
      <c r="F982" s="16"/>
      <c r="G982" s="16"/>
      <c r="H982" s="21" t="str">
        <f aca="false">IF(OR($B982="",F982=0),"",G982/F982)</f>
        <v/>
      </c>
      <c r="I982" s="22" t="str">
        <f aca="false">IF($B982="","",MAX(F982-G982,0))</f>
        <v/>
      </c>
      <c r="J982" s="23" t="str">
        <f aca="false">IF($B982="","",IFERROR(INDEX(고객사!$G$5:$G$104,MATCH($B982,고객사!$A$5:$A$104,0)),""))</f>
        <v/>
      </c>
      <c r="K982" s="16"/>
      <c r="L982" s="22" t="str">
        <f aca="false">IF($B982="","",K982*IFERROR(INDEX(고객사!$L$5:$L$104,MATCH($B982,고객사!$A$5:$A$104,0)),0))</f>
        <v/>
      </c>
      <c r="M982" s="23" t="str">
        <f aca="false">IF($B982="","",IF(AND(J982="N",G982&gt;0,K982=0,IFERROR(INDEX(고객사!$H$5:$H$104,MATCH($B982,고객사!$A$5:$A$104,0)),"")="자사 차량 운행"),"차량 미배정",""))</f>
        <v/>
      </c>
      <c r="N982" s="22" t="str">
        <f aca="false">IF($B982="","",IFERROR(INDEX(고객사!$J$5:$J$104,MATCH($B982,고객사!$A$5:$A$104,0)),0))</f>
        <v/>
      </c>
      <c r="O982" s="22" t="str">
        <f aca="false">IF($B982="","",G982*N982)</f>
        <v/>
      </c>
      <c r="P982" s="22" t="str">
        <f aca="false">IF($B982="","",IFERROR(INDEX(고객사!$K$5:$K$104,MATCH($B982,고객사!$A$5:$A$104,0)),0))</f>
        <v/>
      </c>
      <c r="Q982" s="22" t="str">
        <f aca="false">IF($B982="","",G982*P982)</f>
        <v/>
      </c>
      <c r="R982" s="22" t="str">
        <f aca="false">IF($B982="","",O982-Q982-L982)</f>
        <v/>
      </c>
      <c r="S982" s="21" t="str">
        <f aca="false">IF(OR($B982="",N(O982)=0),"",R982/O982)</f>
        <v/>
      </c>
      <c r="T982" s="14"/>
      <c r="U982" s="19" t="n">
        <f aca="false">IF(OR($B982="",$A982=""),0,IF(COUNTIFS($A$5:$A982,$A982,$B$5:$B982,$B982)=1,1,0))</f>
        <v>0</v>
      </c>
    </row>
    <row r="983" customFormat="false" ht="15" hidden="false" customHeight="false" outlineLevel="0" collapsed="false">
      <c r="A983" s="17"/>
      <c r="B983" s="13"/>
      <c r="C983" s="20" t="str">
        <f aca="false">IF($B983="","",IFERROR(INDEX(고객사!$B$5:$B$104,MATCH($B983,고객사!$A$5:$A$104,0)),"코드 확인"))</f>
        <v/>
      </c>
      <c r="D983" s="15"/>
      <c r="E983" s="15"/>
      <c r="F983" s="16"/>
      <c r="G983" s="16"/>
      <c r="H983" s="21" t="str">
        <f aca="false">IF(OR($B983="",F983=0),"",G983/F983)</f>
        <v/>
      </c>
      <c r="I983" s="22" t="str">
        <f aca="false">IF($B983="","",MAX(F983-G983,0))</f>
        <v/>
      </c>
      <c r="J983" s="23" t="str">
        <f aca="false">IF($B983="","",IFERROR(INDEX(고객사!$G$5:$G$104,MATCH($B983,고객사!$A$5:$A$104,0)),""))</f>
        <v/>
      </c>
      <c r="K983" s="16"/>
      <c r="L983" s="22" t="str">
        <f aca="false">IF($B983="","",K983*IFERROR(INDEX(고객사!$L$5:$L$104,MATCH($B983,고객사!$A$5:$A$104,0)),0))</f>
        <v/>
      </c>
      <c r="M983" s="23" t="str">
        <f aca="false">IF($B983="","",IF(AND(J983="N",G983&gt;0,K983=0,IFERROR(INDEX(고객사!$H$5:$H$104,MATCH($B983,고객사!$A$5:$A$104,0)),"")="자사 차량 운행"),"차량 미배정",""))</f>
        <v/>
      </c>
      <c r="N983" s="22" t="str">
        <f aca="false">IF($B983="","",IFERROR(INDEX(고객사!$J$5:$J$104,MATCH($B983,고객사!$A$5:$A$104,0)),0))</f>
        <v/>
      </c>
      <c r="O983" s="22" t="str">
        <f aca="false">IF($B983="","",G983*N983)</f>
        <v/>
      </c>
      <c r="P983" s="22" t="str">
        <f aca="false">IF($B983="","",IFERROR(INDEX(고객사!$K$5:$K$104,MATCH($B983,고객사!$A$5:$A$104,0)),0))</f>
        <v/>
      </c>
      <c r="Q983" s="22" t="str">
        <f aca="false">IF($B983="","",G983*P983)</f>
        <v/>
      </c>
      <c r="R983" s="22" t="str">
        <f aca="false">IF($B983="","",O983-Q983-L983)</f>
        <v/>
      </c>
      <c r="S983" s="21" t="str">
        <f aca="false">IF(OR($B983="",N(O983)=0),"",R983/O983)</f>
        <v/>
      </c>
      <c r="T983" s="14"/>
      <c r="U983" s="19" t="n">
        <f aca="false">IF(OR($B983="",$A983=""),0,IF(COUNTIFS($A$5:$A983,$A983,$B$5:$B983,$B983)=1,1,0))</f>
        <v>0</v>
      </c>
    </row>
    <row r="984" customFormat="false" ht="15" hidden="false" customHeight="false" outlineLevel="0" collapsed="false">
      <c r="A984" s="17"/>
      <c r="B984" s="13"/>
      <c r="C984" s="20" t="str">
        <f aca="false">IF($B984="","",IFERROR(INDEX(고객사!$B$5:$B$104,MATCH($B984,고객사!$A$5:$A$104,0)),"코드 확인"))</f>
        <v/>
      </c>
      <c r="D984" s="15"/>
      <c r="E984" s="15"/>
      <c r="F984" s="16"/>
      <c r="G984" s="16"/>
      <c r="H984" s="21" t="str">
        <f aca="false">IF(OR($B984="",F984=0),"",G984/F984)</f>
        <v/>
      </c>
      <c r="I984" s="22" t="str">
        <f aca="false">IF($B984="","",MAX(F984-G984,0))</f>
        <v/>
      </c>
      <c r="J984" s="23" t="str">
        <f aca="false">IF($B984="","",IFERROR(INDEX(고객사!$G$5:$G$104,MATCH($B984,고객사!$A$5:$A$104,0)),""))</f>
        <v/>
      </c>
      <c r="K984" s="16"/>
      <c r="L984" s="22" t="str">
        <f aca="false">IF($B984="","",K984*IFERROR(INDEX(고객사!$L$5:$L$104,MATCH($B984,고객사!$A$5:$A$104,0)),0))</f>
        <v/>
      </c>
      <c r="M984" s="23" t="str">
        <f aca="false">IF($B984="","",IF(AND(J984="N",G984&gt;0,K984=0,IFERROR(INDEX(고객사!$H$5:$H$104,MATCH($B984,고객사!$A$5:$A$104,0)),"")="자사 차량 운행"),"차량 미배정",""))</f>
        <v/>
      </c>
      <c r="N984" s="22" t="str">
        <f aca="false">IF($B984="","",IFERROR(INDEX(고객사!$J$5:$J$104,MATCH($B984,고객사!$A$5:$A$104,0)),0))</f>
        <v/>
      </c>
      <c r="O984" s="22" t="str">
        <f aca="false">IF($B984="","",G984*N984)</f>
        <v/>
      </c>
      <c r="P984" s="22" t="str">
        <f aca="false">IF($B984="","",IFERROR(INDEX(고객사!$K$5:$K$104,MATCH($B984,고객사!$A$5:$A$104,0)),0))</f>
        <v/>
      </c>
      <c r="Q984" s="22" t="str">
        <f aca="false">IF($B984="","",G984*P984)</f>
        <v/>
      </c>
      <c r="R984" s="22" t="str">
        <f aca="false">IF($B984="","",O984-Q984-L984)</f>
        <v/>
      </c>
      <c r="S984" s="21" t="str">
        <f aca="false">IF(OR($B984="",N(O984)=0),"",R984/O984)</f>
        <v/>
      </c>
      <c r="T984" s="14"/>
      <c r="U984" s="19" t="n">
        <f aca="false">IF(OR($B984="",$A984=""),0,IF(COUNTIFS($A$5:$A984,$A984,$B$5:$B984,$B984)=1,1,0))</f>
        <v>0</v>
      </c>
    </row>
    <row r="985" customFormat="false" ht="15" hidden="false" customHeight="false" outlineLevel="0" collapsed="false">
      <c r="A985" s="17"/>
      <c r="B985" s="13"/>
      <c r="C985" s="20" t="str">
        <f aca="false">IF($B985="","",IFERROR(INDEX(고객사!$B$5:$B$104,MATCH($B985,고객사!$A$5:$A$104,0)),"코드 확인"))</f>
        <v/>
      </c>
      <c r="D985" s="15"/>
      <c r="E985" s="15"/>
      <c r="F985" s="16"/>
      <c r="G985" s="16"/>
      <c r="H985" s="21" t="str">
        <f aca="false">IF(OR($B985="",F985=0),"",G985/F985)</f>
        <v/>
      </c>
      <c r="I985" s="22" t="str">
        <f aca="false">IF($B985="","",MAX(F985-G985,0))</f>
        <v/>
      </c>
      <c r="J985" s="23" t="str">
        <f aca="false">IF($B985="","",IFERROR(INDEX(고객사!$G$5:$G$104,MATCH($B985,고객사!$A$5:$A$104,0)),""))</f>
        <v/>
      </c>
      <c r="K985" s="16"/>
      <c r="L985" s="22" t="str">
        <f aca="false">IF($B985="","",K985*IFERROR(INDEX(고객사!$L$5:$L$104,MATCH($B985,고객사!$A$5:$A$104,0)),0))</f>
        <v/>
      </c>
      <c r="M985" s="23" t="str">
        <f aca="false">IF($B985="","",IF(AND(J985="N",G985&gt;0,K985=0,IFERROR(INDEX(고객사!$H$5:$H$104,MATCH($B985,고객사!$A$5:$A$104,0)),"")="자사 차량 운행"),"차량 미배정",""))</f>
        <v/>
      </c>
      <c r="N985" s="22" t="str">
        <f aca="false">IF($B985="","",IFERROR(INDEX(고객사!$J$5:$J$104,MATCH($B985,고객사!$A$5:$A$104,0)),0))</f>
        <v/>
      </c>
      <c r="O985" s="22" t="str">
        <f aca="false">IF($B985="","",G985*N985)</f>
        <v/>
      </c>
      <c r="P985" s="22" t="str">
        <f aca="false">IF($B985="","",IFERROR(INDEX(고객사!$K$5:$K$104,MATCH($B985,고객사!$A$5:$A$104,0)),0))</f>
        <v/>
      </c>
      <c r="Q985" s="22" t="str">
        <f aca="false">IF($B985="","",G985*P985)</f>
        <v/>
      </c>
      <c r="R985" s="22" t="str">
        <f aca="false">IF($B985="","",O985-Q985-L985)</f>
        <v/>
      </c>
      <c r="S985" s="21" t="str">
        <f aca="false">IF(OR($B985="",N(O985)=0),"",R985/O985)</f>
        <v/>
      </c>
      <c r="T985" s="14"/>
      <c r="U985" s="19" t="n">
        <f aca="false">IF(OR($B985="",$A985=""),0,IF(COUNTIFS($A$5:$A985,$A985,$B$5:$B985,$B985)=1,1,0))</f>
        <v>0</v>
      </c>
    </row>
    <row r="986" customFormat="false" ht="15" hidden="false" customHeight="false" outlineLevel="0" collapsed="false">
      <c r="A986" s="17"/>
      <c r="B986" s="13"/>
      <c r="C986" s="20" t="str">
        <f aca="false">IF($B986="","",IFERROR(INDEX(고객사!$B$5:$B$104,MATCH($B986,고객사!$A$5:$A$104,0)),"코드 확인"))</f>
        <v/>
      </c>
      <c r="D986" s="15"/>
      <c r="E986" s="15"/>
      <c r="F986" s="16"/>
      <c r="G986" s="16"/>
      <c r="H986" s="21" t="str">
        <f aca="false">IF(OR($B986="",F986=0),"",G986/F986)</f>
        <v/>
      </c>
      <c r="I986" s="22" t="str">
        <f aca="false">IF($B986="","",MAX(F986-G986,0))</f>
        <v/>
      </c>
      <c r="J986" s="23" t="str">
        <f aca="false">IF($B986="","",IFERROR(INDEX(고객사!$G$5:$G$104,MATCH($B986,고객사!$A$5:$A$104,0)),""))</f>
        <v/>
      </c>
      <c r="K986" s="16"/>
      <c r="L986" s="22" t="str">
        <f aca="false">IF($B986="","",K986*IFERROR(INDEX(고객사!$L$5:$L$104,MATCH($B986,고객사!$A$5:$A$104,0)),0))</f>
        <v/>
      </c>
      <c r="M986" s="23" t="str">
        <f aca="false">IF($B986="","",IF(AND(J986="N",G986&gt;0,K986=0,IFERROR(INDEX(고객사!$H$5:$H$104,MATCH($B986,고객사!$A$5:$A$104,0)),"")="자사 차량 운행"),"차량 미배정",""))</f>
        <v/>
      </c>
      <c r="N986" s="22" t="str">
        <f aca="false">IF($B986="","",IFERROR(INDEX(고객사!$J$5:$J$104,MATCH($B986,고객사!$A$5:$A$104,0)),0))</f>
        <v/>
      </c>
      <c r="O986" s="22" t="str">
        <f aca="false">IF($B986="","",G986*N986)</f>
        <v/>
      </c>
      <c r="P986" s="22" t="str">
        <f aca="false">IF($B986="","",IFERROR(INDEX(고객사!$K$5:$K$104,MATCH($B986,고객사!$A$5:$A$104,0)),0))</f>
        <v/>
      </c>
      <c r="Q986" s="22" t="str">
        <f aca="false">IF($B986="","",G986*P986)</f>
        <v/>
      </c>
      <c r="R986" s="22" t="str">
        <f aca="false">IF($B986="","",O986-Q986-L986)</f>
        <v/>
      </c>
      <c r="S986" s="21" t="str">
        <f aca="false">IF(OR($B986="",N(O986)=0),"",R986/O986)</f>
        <v/>
      </c>
      <c r="T986" s="14"/>
      <c r="U986" s="19" t="n">
        <f aca="false">IF(OR($B986="",$A986=""),0,IF(COUNTIFS($A$5:$A986,$A986,$B$5:$B986,$B986)=1,1,0))</f>
        <v>0</v>
      </c>
    </row>
    <row r="987" customFormat="false" ht="15" hidden="false" customHeight="false" outlineLevel="0" collapsed="false">
      <c r="A987" s="17"/>
      <c r="B987" s="13"/>
      <c r="C987" s="20" t="str">
        <f aca="false">IF($B987="","",IFERROR(INDEX(고객사!$B$5:$B$104,MATCH($B987,고객사!$A$5:$A$104,0)),"코드 확인"))</f>
        <v/>
      </c>
      <c r="D987" s="15"/>
      <c r="E987" s="15"/>
      <c r="F987" s="16"/>
      <c r="G987" s="16"/>
      <c r="H987" s="21" t="str">
        <f aca="false">IF(OR($B987="",F987=0),"",G987/F987)</f>
        <v/>
      </c>
      <c r="I987" s="22" t="str">
        <f aca="false">IF($B987="","",MAX(F987-G987,0))</f>
        <v/>
      </c>
      <c r="J987" s="23" t="str">
        <f aca="false">IF($B987="","",IFERROR(INDEX(고객사!$G$5:$G$104,MATCH($B987,고객사!$A$5:$A$104,0)),""))</f>
        <v/>
      </c>
      <c r="K987" s="16"/>
      <c r="L987" s="22" t="str">
        <f aca="false">IF($B987="","",K987*IFERROR(INDEX(고객사!$L$5:$L$104,MATCH($B987,고객사!$A$5:$A$104,0)),0))</f>
        <v/>
      </c>
      <c r="M987" s="23" t="str">
        <f aca="false">IF($B987="","",IF(AND(J987="N",G987&gt;0,K987=0,IFERROR(INDEX(고객사!$H$5:$H$104,MATCH($B987,고객사!$A$5:$A$104,0)),"")="자사 차량 운행"),"차량 미배정",""))</f>
        <v/>
      </c>
      <c r="N987" s="22" t="str">
        <f aca="false">IF($B987="","",IFERROR(INDEX(고객사!$J$5:$J$104,MATCH($B987,고객사!$A$5:$A$104,0)),0))</f>
        <v/>
      </c>
      <c r="O987" s="22" t="str">
        <f aca="false">IF($B987="","",G987*N987)</f>
        <v/>
      </c>
      <c r="P987" s="22" t="str">
        <f aca="false">IF($B987="","",IFERROR(INDEX(고객사!$K$5:$K$104,MATCH($B987,고객사!$A$5:$A$104,0)),0))</f>
        <v/>
      </c>
      <c r="Q987" s="22" t="str">
        <f aca="false">IF($B987="","",G987*P987)</f>
        <v/>
      </c>
      <c r="R987" s="22" t="str">
        <f aca="false">IF($B987="","",O987-Q987-L987)</f>
        <v/>
      </c>
      <c r="S987" s="21" t="str">
        <f aca="false">IF(OR($B987="",N(O987)=0),"",R987/O987)</f>
        <v/>
      </c>
      <c r="T987" s="14"/>
      <c r="U987" s="19" t="n">
        <f aca="false">IF(OR($B987="",$A987=""),0,IF(COUNTIFS($A$5:$A987,$A987,$B$5:$B987,$B987)=1,1,0))</f>
        <v>0</v>
      </c>
    </row>
    <row r="988" customFormat="false" ht="15" hidden="false" customHeight="false" outlineLevel="0" collapsed="false">
      <c r="A988" s="17"/>
      <c r="B988" s="13"/>
      <c r="C988" s="20" t="str">
        <f aca="false">IF($B988="","",IFERROR(INDEX(고객사!$B$5:$B$104,MATCH($B988,고객사!$A$5:$A$104,0)),"코드 확인"))</f>
        <v/>
      </c>
      <c r="D988" s="15"/>
      <c r="E988" s="15"/>
      <c r="F988" s="16"/>
      <c r="G988" s="16"/>
      <c r="H988" s="21" t="str">
        <f aca="false">IF(OR($B988="",F988=0),"",G988/F988)</f>
        <v/>
      </c>
      <c r="I988" s="22" t="str">
        <f aca="false">IF($B988="","",MAX(F988-G988,0))</f>
        <v/>
      </c>
      <c r="J988" s="23" t="str">
        <f aca="false">IF($B988="","",IFERROR(INDEX(고객사!$G$5:$G$104,MATCH($B988,고객사!$A$5:$A$104,0)),""))</f>
        <v/>
      </c>
      <c r="K988" s="16"/>
      <c r="L988" s="22" t="str">
        <f aca="false">IF($B988="","",K988*IFERROR(INDEX(고객사!$L$5:$L$104,MATCH($B988,고객사!$A$5:$A$104,0)),0))</f>
        <v/>
      </c>
      <c r="M988" s="23" t="str">
        <f aca="false">IF($B988="","",IF(AND(J988="N",G988&gt;0,K988=0,IFERROR(INDEX(고객사!$H$5:$H$104,MATCH($B988,고객사!$A$5:$A$104,0)),"")="자사 차량 운행"),"차량 미배정",""))</f>
        <v/>
      </c>
      <c r="N988" s="22" t="str">
        <f aca="false">IF($B988="","",IFERROR(INDEX(고객사!$J$5:$J$104,MATCH($B988,고객사!$A$5:$A$104,0)),0))</f>
        <v/>
      </c>
      <c r="O988" s="22" t="str">
        <f aca="false">IF($B988="","",G988*N988)</f>
        <v/>
      </c>
      <c r="P988" s="22" t="str">
        <f aca="false">IF($B988="","",IFERROR(INDEX(고객사!$K$5:$K$104,MATCH($B988,고객사!$A$5:$A$104,0)),0))</f>
        <v/>
      </c>
      <c r="Q988" s="22" t="str">
        <f aca="false">IF($B988="","",G988*P988)</f>
        <v/>
      </c>
      <c r="R988" s="22" t="str">
        <f aca="false">IF($B988="","",O988-Q988-L988)</f>
        <v/>
      </c>
      <c r="S988" s="21" t="str">
        <f aca="false">IF(OR($B988="",N(O988)=0),"",R988/O988)</f>
        <v/>
      </c>
      <c r="T988" s="14"/>
      <c r="U988" s="19" t="n">
        <f aca="false">IF(OR($B988="",$A988=""),0,IF(COUNTIFS($A$5:$A988,$A988,$B$5:$B988,$B988)=1,1,0))</f>
        <v>0</v>
      </c>
    </row>
    <row r="989" customFormat="false" ht="15" hidden="false" customHeight="false" outlineLevel="0" collapsed="false">
      <c r="A989" s="17"/>
      <c r="B989" s="13"/>
      <c r="C989" s="20" t="str">
        <f aca="false">IF($B989="","",IFERROR(INDEX(고객사!$B$5:$B$104,MATCH($B989,고객사!$A$5:$A$104,0)),"코드 확인"))</f>
        <v/>
      </c>
      <c r="D989" s="15"/>
      <c r="E989" s="15"/>
      <c r="F989" s="16"/>
      <c r="G989" s="16"/>
      <c r="H989" s="21" t="str">
        <f aca="false">IF(OR($B989="",F989=0),"",G989/F989)</f>
        <v/>
      </c>
      <c r="I989" s="22" t="str">
        <f aca="false">IF($B989="","",MAX(F989-G989,0))</f>
        <v/>
      </c>
      <c r="J989" s="23" t="str">
        <f aca="false">IF($B989="","",IFERROR(INDEX(고객사!$G$5:$G$104,MATCH($B989,고객사!$A$5:$A$104,0)),""))</f>
        <v/>
      </c>
      <c r="K989" s="16"/>
      <c r="L989" s="22" t="str">
        <f aca="false">IF($B989="","",K989*IFERROR(INDEX(고객사!$L$5:$L$104,MATCH($B989,고객사!$A$5:$A$104,0)),0))</f>
        <v/>
      </c>
      <c r="M989" s="23" t="str">
        <f aca="false">IF($B989="","",IF(AND(J989="N",G989&gt;0,K989=0,IFERROR(INDEX(고객사!$H$5:$H$104,MATCH($B989,고객사!$A$5:$A$104,0)),"")="자사 차량 운행"),"차량 미배정",""))</f>
        <v/>
      </c>
      <c r="N989" s="22" t="str">
        <f aca="false">IF($B989="","",IFERROR(INDEX(고객사!$J$5:$J$104,MATCH($B989,고객사!$A$5:$A$104,0)),0))</f>
        <v/>
      </c>
      <c r="O989" s="22" t="str">
        <f aca="false">IF($B989="","",G989*N989)</f>
        <v/>
      </c>
      <c r="P989" s="22" t="str">
        <f aca="false">IF($B989="","",IFERROR(INDEX(고객사!$K$5:$K$104,MATCH($B989,고객사!$A$5:$A$104,0)),0))</f>
        <v/>
      </c>
      <c r="Q989" s="22" t="str">
        <f aca="false">IF($B989="","",G989*P989)</f>
        <v/>
      </c>
      <c r="R989" s="22" t="str">
        <f aca="false">IF($B989="","",O989-Q989-L989)</f>
        <v/>
      </c>
      <c r="S989" s="21" t="str">
        <f aca="false">IF(OR($B989="",N(O989)=0),"",R989/O989)</f>
        <v/>
      </c>
      <c r="T989" s="14"/>
      <c r="U989" s="19" t="n">
        <f aca="false">IF(OR($B989="",$A989=""),0,IF(COUNTIFS($A$5:$A989,$A989,$B$5:$B989,$B989)=1,1,0))</f>
        <v>0</v>
      </c>
    </row>
    <row r="990" customFormat="false" ht="15" hidden="false" customHeight="false" outlineLevel="0" collapsed="false">
      <c r="A990" s="17"/>
      <c r="B990" s="13"/>
      <c r="C990" s="20" t="str">
        <f aca="false">IF($B990="","",IFERROR(INDEX(고객사!$B$5:$B$104,MATCH($B990,고객사!$A$5:$A$104,0)),"코드 확인"))</f>
        <v/>
      </c>
      <c r="D990" s="15"/>
      <c r="E990" s="15"/>
      <c r="F990" s="16"/>
      <c r="G990" s="16"/>
      <c r="H990" s="21" t="str">
        <f aca="false">IF(OR($B990="",F990=0),"",G990/F990)</f>
        <v/>
      </c>
      <c r="I990" s="22" t="str">
        <f aca="false">IF($B990="","",MAX(F990-G990,0))</f>
        <v/>
      </c>
      <c r="J990" s="23" t="str">
        <f aca="false">IF($B990="","",IFERROR(INDEX(고객사!$G$5:$G$104,MATCH($B990,고객사!$A$5:$A$104,0)),""))</f>
        <v/>
      </c>
      <c r="K990" s="16"/>
      <c r="L990" s="22" t="str">
        <f aca="false">IF($B990="","",K990*IFERROR(INDEX(고객사!$L$5:$L$104,MATCH($B990,고객사!$A$5:$A$104,0)),0))</f>
        <v/>
      </c>
      <c r="M990" s="23" t="str">
        <f aca="false">IF($B990="","",IF(AND(J990="N",G990&gt;0,K990=0,IFERROR(INDEX(고객사!$H$5:$H$104,MATCH($B990,고객사!$A$5:$A$104,0)),"")="자사 차량 운행"),"차량 미배정",""))</f>
        <v/>
      </c>
      <c r="N990" s="22" t="str">
        <f aca="false">IF($B990="","",IFERROR(INDEX(고객사!$J$5:$J$104,MATCH($B990,고객사!$A$5:$A$104,0)),0))</f>
        <v/>
      </c>
      <c r="O990" s="22" t="str">
        <f aca="false">IF($B990="","",G990*N990)</f>
        <v/>
      </c>
      <c r="P990" s="22" t="str">
        <f aca="false">IF($B990="","",IFERROR(INDEX(고객사!$K$5:$K$104,MATCH($B990,고객사!$A$5:$A$104,0)),0))</f>
        <v/>
      </c>
      <c r="Q990" s="22" t="str">
        <f aca="false">IF($B990="","",G990*P990)</f>
        <v/>
      </c>
      <c r="R990" s="22" t="str">
        <f aca="false">IF($B990="","",O990-Q990-L990)</f>
        <v/>
      </c>
      <c r="S990" s="21" t="str">
        <f aca="false">IF(OR($B990="",N(O990)=0),"",R990/O990)</f>
        <v/>
      </c>
      <c r="T990" s="14"/>
      <c r="U990" s="19" t="n">
        <f aca="false">IF(OR($B990="",$A990=""),0,IF(COUNTIFS($A$5:$A990,$A990,$B$5:$B990,$B990)=1,1,0))</f>
        <v>0</v>
      </c>
    </row>
    <row r="991" customFormat="false" ht="15" hidden="false" customHeight="false" outlineLevel="0" collapsed="false">
      <c r="A991" s="17"/>
      <c r="B991" s="13"/>
      <c r="C991" s="20" t="str">
        <f aca="false">IF($B991="","",IFERROR(INDEX(고객사!$B$5:$B$104,MATCH($B991,고객사!$A$5:$A$104,0)),"코드 확인"))</f>
        <v/>
      </c>
      <c r="D991" s="15"/>
      <c r="E991" s="15"/>
      <c r="F991" s="16"/>
      <c r="G991" s="16"/>
      <c r="H991" s="21" t="str">
        <f aca="false">IF(OR($B991="",F991=0),"",G991/F991)</f>
        <v/>
      </c>
      <c r="I991" s="22" t="str">
        <f aca="false">IF($B991="","",MAX(F991-G991,0))</f>
        <v/>
      </c>
      <c r="J991" s="23" t="str">
        <f aca="false">IF($B991="","",IFERROR(INDEX(고객사!$G$5:$G$104,MATCH($B991,고객사!$A$5:$A$104,0)),""))</f>
        <v/>
      </c>
      <c r="K991" s="16"/>
      <c r="L991" s="22" t="str">
        <f aca="false">IF($B991="","",K991*IFERROR(INDEX(고객사!$L$5:$L$104,MATCH($B991,고객사!$A$5:$A$104,0)),0))</f>
        <v/>
      </c>
      <c r="M991" s="23" t="str">
        <f aca="false">IF($B991="","",IF(AND(J991="N",G991&gt;0,K991=0,IFERROR(INDEX(고객사!$H$5:$H$104,MATCH($B991,고객사!$A$5:$A$104,0)),"")="자사 차량 운행"),"차량 미배정",""))</f>
        <v/>
      </c>
      <c r="N991" s="22" t="str">
        <f aca="false">IF($B991="","",IFERROR(INDEX(고객사!$J$5:$J$104,MATCH($B991,고객사!$A$5:$A$104,0)),0))</f>
        <v/>
      </c>
      <c r="O991" s="22" t="str">
        <f aca="false">IF($B991="","",G991*N991)</f>
        <v/>
      </c>
      <c r="P991" s="22" t="str">
        <f aca="false">IF($B991="","",IFERROR(INDEX(고객사!$K$5:$K$104,MATCH($B991,고객사!$A$5:$A$104,0)),0))</f>
        <v/>
      </c>
      <c r="Q991" s="22" t="str">
        <f aca="false">IF($B991="","",G991*P991)</f>
        <v/>
      </c>
      <c r="R991" s="22" t="str">
        <f aca="false">IF($B991="","",O991-Q991-L991)</f>
        <v/>
      </c>
      <c r="S991" s="21" t="str">
        <f aca="false">IF(OR($B991="",N(O991)=0),"",R991/O991)</f>
        <v/>
      </c>
      <c r="T991" s="14"/>
      <c r="U991" s="19" t="n">
        <f aca="false">IF(OR($B991="",$A991=""),0,IF(COUNTIFS($A$5:$A991,$A991,$B$5:$B991,$B991)=1,1,0))</f>
        <v>0</v>
      </c>
    </row>
    <row r="992" customFormat="false" ht="15" hidden="false" customHeight="false" outlineLevel="0" collapsed="false">
      <c r="A992" s="17"/>
      <c r="B992" s="13"/>
      <c r="C992" s="20" t="str">
        <f aca="false">IF($B992="","",IFERROR(INDEX(고객사!$B$5:$B$104,MATCH($B992,고객사!$A$5:$A$104,0)),"코드 확인"))</f>
        <v/>
      </c>
      <c r="D992" s="15"/>
      <c r="E992" s="15"/>
      <c r="F992" s="16"/>
      <c r="G992" s="16"/>
      <c r="H992" s="21" t="str">
        <f aca="false">IF(OR($B992="",F992=0),"",G992/F992)</f>
        <v/>
      </c>
      <c r="I992" s="22" t="str">
        <f aca="false">IF($B992="","",MAX(F992-G992,0))</f>
        <v/>
      </c>
      <c r="J992" s="23" t="str">
        <f aca="false">IF($B992="","",IFERROR(INDEX(고객사!$G$5:$G$104,MATCH($B992,고객사!$A$5:$A$104,0)),""))</f>
        <v/>
      </c>
      <c r="K992" s="16"/>
      <c r="L992" s="22" t="str">
        <f aca="false">IF($B992="","",K992*IFERROR(INDEX(고객사!$L$5:$L$104,MATCH($B992,고객사!$A$5:$A$104,0)),0))</f>
        <v/>
      </c>
      <c r="M992" s="23" t="str">
        <f aca="false">IF($B992="","",IF(AND(J992="N",G992&gt;0,K992=0,IFERROR(INDEX(고객사!$H$5:$H$104,MATCH($B992,고객사!$A$5:$A$104,0)),"")="자사 차량 운행"),"차량 미배정",""))</f>
        <v/>
      </c>
      <c r="N992" s="22" t="str">
        <f aca="false">IF($B992="","",IFERROR(INDEX(고객사!$J$5:$J$104,MATCH($B992,고객사!$A$5:$A$104,0)),0))</f>
        <v/>
      </c>
      <c r="O992" s="22" t="str">
        <f aca="false">IF($B992="","",G992*N992)</f>
        <v/>
      </c>
      <c r="P992" s="22" t="str">
        <f aca="false">IF($B992="","",IFERROR(INDEX(고객사!$K$5:$K$104,MATCH($B992,고객사!$A$5:$A$104,0)),0))</f>
        <v/>
      </c>
      <c r="Q992" s="22" t="str">
        <f aca="false">IF($B992="","",G992*P992)</f>
        <v/>
      </c>
      <c r="R992" s="22" t="str">
        <f aca="false">IF($B992="","",O992-Q992-L992)</f>
        <v/>
      </c>
      <c r="S992" s="21" t="str">
        <f aca="false">IF(OR($B992="",N(O992)=0),"",R992/O992)</f>
        <v/>
      </c>
      <c r="T992" s="14"/>
      <c r="U992" s="19" t="n">
        <f aca="false">IF(OR($B992="",$A992=""),0,IF(COUNTIFS($A$5:$A992,$A992,$B$5:$B992,$B992)=1,1,0))</f>
        <v>0</v>
      </c>
    </row>
    <row r="993" customFormat="false" ht="15" hidden="false" customHeight="false" outlineLevel="0" collapsed="false">
      <c r="A993" s="17"/>
      <c r="B993" s="13"/>
      <c r="C993" s="20" t="str">
        <f aca="false">IF($B993="","",IFERROR(INDEX(고객사!$B$5:$B$104,MATCH($B993,고객사!$A$5:$A$104,0)),"코드 확인"))</f>
        <v/>
      </c>
      <c r="D993" s="15"/>
      <c r="E993" s="15"/>
      <c r="F993" s="16"/>
      <c r="G993" s="16"/>
      <c r="H993" s="21" t="str">
        <f aca="false">IF(OR($B993="",F993=0),"",G993/F993)</f>
        <v/>
      </c>
      <c r="I993" s="22" t="str">
        <f aca="false">IF($B993="","",MAX(F993-G993,0))</f>
        <v/>
      </c>
      <c r="J993" s="23" t="str">
        <f aca="false">IF($B993="","",IFERROR(INDEX(고객사!$G$5:$G$104,MATCH($B993,고객사!$A$5:$A$104,0)),""))</f>
        <v/>
      </c>
      <c r="K993" s="16"/>
      <c r="L993" s="22" t="str">
        <f aca="false">IF($B993="","",K993*IFERROR(INDEX(고객사!$L$5:$L$104,MATCH($B993,고객사!$A$5:$A$104,0)),0))</f>
        <v/>
      </c>
      <c r="M993" s="23" t="str">
        <f aca="false">IF($B993="","",IF(AND(J993="N",G993&gt;0,K993=0,IFERROR(INDEX(고객사!$H$5:$H$104,MATCH($B993,고객사!$A$5:$A$104,0)),"")="자사 차량 운행"),"차량 미배정",""))</f>
        <v/>
      </c>
      <c r="N993" s="22" t="str">
        <f aca="false">IF($B993="","",IFERROR(INDEX(고객사!$J$5:$J$104,MATCH($B993,고객사!$A$5:$A$104,0)),0))</f>
        <v/>
      </c>
      <c r="O993" s="22" t="str">
        <f aca="false">IF($B993="","",G993*N993)</f>
        <v/>
      </c>
      <c r="P993" s="22" t="str">
        <f aca="false">IF($B993="","",IFERROR(INDEX(고객사!$K$5:$K$104,MATCH($B993,고객사!$A$5:$A$104,0)),0))</f>
        <v/>
      </c>
      <c r="Q993" s="22" t="str">
        <f aca="false">IF($B993="","",G993*P993)</f>
        <v/>
      </c>
      <c r="R993" s="22" t="str">
        <f aca="false">IF($B993="","",O993-Q993-L993)</f>
        <v/>
      </c>
      <c r="S993" s="21" t="str">
        <f aca="false">IF(OR($B993="",N(O993)=0),"",R993/O993)</f>
        <v/>
      </c>
      <c r="T993" s="14"/>
      <c r="U993" s="19" t="n">
        <f aca="false">IF(OR($B993="",$A993=""),0,IF(COUNTIFS($A$5:$A993,$A993,$B$5:$B993,$B993)=1,1,0))</f>
        <v>0</v>
      </c>
    </row>
    <row r="994" customFormat="false" ht="15" hidden="false" customHeight="false" outlineLevel="0" collapsed="false">
      <c r="A994" s="17"/>
      <c r="B994" s="13"/>
      <c r="C994" s="20" t="str">
        <f aca="false">IF($B994="","",IFERROR(INDEX(고객사!$B$5:$B$104,MATCH($B994,고객사!$A$5:$A$104,0)),"코드 확인"))</f>
        <v/>
      </c>
      <c r="D994" s="15"/>
      <c r="E994" s="15"/>
      <c r="F994" s="16"/>
      <c r="G994" s="16"/>
      <c r="H994" s="21" t="str">
        <f aca="false">IF(OR($B994="",F994=0),"",G994/F994)</f>
        <v/>
      </c>
      <c r="I994" s="22" t="str">
        <f aca="false">IF($B994="","",MAX(F994-G994,0))</f>
        <v/>
      </c>
      <c r="J994" s="23" t="str">
        <f aca="false">IF($B994="","",IFERROR(INDEX(고객사!$G$5:$G$104,MATCH($B994,고객사!$A$5:$A$104,0)),""))</f>
        <v/>
      </c>
      <c r="K994" s="16"/>
      <c r="L994" s="22" t="str">
        <f aca="false">IF($B994="","",K994*IFERROR(INDEX(고객사!$L$5:$L$104,MATCH($B994,고객사!$A$5:$A$104,0)),0))</f>
        <v/>
      </c>
      <c r="M994" s="23" t="str">
        <f aca="false">IF($B994="","",IF(AND(J994="N",G994&gt;0,K994=0,IFERROR(INDEX(고객사!$H$5:$H$104,MATCH($B994,고객사!$A$5:$A$104,0)),"")="자사 차량 운행"),"차량 미배정",""))</f>
        <v/>
      </c>
      <c r="N994" s="22" t="str">
        <f aca="false">IF($B994="","",IFERROR(INDEX(고객사!$J$5:$J$104,MATCH($B994,고객사!$A$5:$A$104,0)),0))</f>
        <v/>
      </c>
      <c r="O994" s="22" t="str">
        <f aca="false">IF($B994="","",G994*N994)</f>
        <v/>
      </c>
      <c r="P994" s="22" t="str">
        <f aca="false">IF($B994="","",IFERROR(INDEX(고객사!$K$5:$K$104,MATCH($B994,고객사!$A$5:$A$104,0)),0))</f>
        <v/>
      </c>
      <c r="Q994" s="22" t="str">
        <f aca="false">IF($B994="","",G994*P994)</f>
        <v/>
      </c>
      <c r="R994" s="22" t="str">
        <f aca="false">IF($B994="","",O994-Q994-L994)</f>
        <v/>
      </c>
      <c r="S994" s="21" t="str">
        <f aca="false">IF(OR($B994="",N(O994)=0),"",R994/O994)</f>
        <v/>
      </c>
      <c r="T994" s="14"/>
      <c r="U994" s="19" t="n">
        <f aca="false">IF(OR($B994="",$A994=""),0,IF(COUNTIFS($A$5:$A994,$A994,$B$5:$B994,$B994)=1,1,0))</f>
        <v>0</v>
      </c>
    </row>
    <row r="995" customFormat="false" ht="15" hidden="false" customHeight="false" outlineLevel="0" collapsed="false">
      <c r="A995" s="17"/>
      <c r="B995" s="13"/>
      <c r="C995" s="20" t="str">
        <f aca="false">IF($B995="","",IFERROR(INDEX(고객사!$B$5:$B$104,MATCH($B995,고객사!$A$5:$A$104,0)),"코드 확인"))</f>
        <v/>
      </c>
      <c r="D995" s="15"/>
      <c r="E995" s="15"/>
      <c r="F995" s="16"/>
      <c r="G995" s="16"/>
      <c r="H995" s="21" t="str">
        <f aca="false">IF(OR($B995="",F995=0),"",G995/F995)</f>
        <v/>
      </c>
      <c r="I995" s="22" t="str">
        <f aca="false">IF($B995="","",MAX(F995-G995,0))</f>
        <v/>
      </c>
      <c r="J995" s="23" t="str">
        <f aca="false">IF($B995="","",IFERROR(INDEX(고객사!$G$5:$G$104,MATCH($B995,고객사!$A$5:$A$104,0)),""))</f>
        <v/>
      </c>
      <c r="K995" s="16"/>
      <c r="L995" s="22" t="str">
        <f aca="false">IF($B995="","",K995*IFERROR(INDEX(고객사!$L$5:$L$104,MATCH($B995,고객사!$A$5:$A$104,0)),0))</f>
        <v/>
      </c>
      <c r="M995" s="23" t="str">
        <f aca="false">IF($B995="","",IF(AND(J995="N",G995&gt;0,K995=0,IFERROR(INDEX(고객사!$H$5:$H$104,MATCH($B995,고객사!$A$5:$A$104,0)),"")="자사 차량 운행"),"차량 미배정",""))</f>
        <v/>
      </c>
      <c r="N995" s="22" t="str">
        <f aca="false">IF($B995="","",IFERROR(INDEX(고객사!$J$5:$J$104,MATCH($B995,고객사!$A$5:$A$104,0)),0))</f>
        <v/>
      </c>
      <c r="O995" s="22" t="str">
        <f aca="false">IF($B995="","",G995*N995)</f>
        <v/>
      </c>
      <c r="P995" s="22" t="str">
        <f aca="false">IF($B995="","",IFERROR(INDEX(고객사!$K$5:$K$104,MATCH($B995,고객사!$A$5:$A$104,0)),0))</f>
        <v/>
      </c>
      <c r="Q995" s="22" t="str">
        <f aca="false">IF($B995="","",G995*P995)</f>
        <v/>
      </c>
      <c r="R995" s="22" t="str">
        <f aca="false">IF($B995="","",O995-Q995-L995)</f>
        <v/>
      </c>
      <c r="S995" s="21" t="str">
        <f aca="false">IF(OR($B995="",N(O995)=0),"",R995/O995)</f>
        <v/>
      </c>
      <c r="T995" s="14"/>
      <c r="U995" s="19" t="n">
        <f aca="false">IF(OR($B995="",$A995=""),0,IF(COUNTIFS($A$5:$A995,$A995,$B$5:$B995,$B995)=1,1,0))</f>
        <v>0</v>
      </c>
    </row>
    <row r="996" customFormat="false" ht="15" hidden="false" customHeight="false" outlineLevel="0" collapsed="false">
      <c r="A996" s="17"/>
      <c r="B996" s="13"/>
      <c r="C996" s="20" t="str">
        <f aca="false">IF($B996="","",IFERROR(INDEX(고객사!$B$5:$B$104,MATCH($B996,고객사!$A$5:$A$104,0)),"코드 확인"))</f>
        <v/>
      </c>
      <c r="D996" s="15"/>
      <c r="E996" s="15"/>
      <c r="F996" s="16"/>
      <c r="G996" s="16"/>
      <c r="H996" s="21" t="str">
        <f aca="false">IF(OR($B996="",F996=0),"",G996/F996)</f>
        <v/>
      </c>
      <c r="I996" s="22" t="str">
        <f aca="false">IF($B996="","",MAX(F996-G996,0))</f>
        <v/>
      </c>
      <c r="J996" s="23" t="str">
        <f aca="false">IF($B996="","",IFERROR(INDEX(고객사!$G$5:$G$104,MATCH($B996,고객사!$A$5:$A$104,0)),""))</f>
        <v/>
      </c>
      <c r="K996" s="16"/>
      <c r="L996" s="22" t="str">
        <f aca="false">IF($B996="","",K996*IFERROR(INDEX(고객사!$L$5:$L$104,MATCH($B996,고객사!$A$5:$A$104,0)),0))</f>
        <v/>
      </c>
      <c r="M996" s="23" t="str">
        <f aca="false">IF($B996="","",IF(AND(J996="N",G996&gt;0,K996=0,IFERROR(INDEX(고객사!$H$5:$H$104,MATCH($B996,고객사!$A$5:$A$104,0)),"")="자사 차량 운행"),"차량 미배정",""))</f>
        <v/>
      </c>
      <c r="N996" s="22" t="str">
        <f aca="false">IF($B996="","",IFERROR(INDEX(고객사!$J$5:$J$104,MATCH($B996,고객사!$A$5:$A$104,0)),0))</f>
        <v/>
      </c>
      <c r="O996" s="22" t="str">
        <f aca="false">IF($B996="","",G996*N996)</f>
        <v/>
      </c>
      <c r="P996" s="22" t="str">
        <f aca="false">IF($B996="","",IFERROR(INDEX(고객사!$K$5:$K$104,MATCH($B996,고객사!$A$5:$A$104,0)),0))</f>
        <v/>
      </c>
      <c r="Q996" s="22" t="str">
        <f aca="false">IF($B996="","",G996*P996)</f>
        <v/>
      </c>
      <c r="R996" s="22" t="str">
        <f aca="false">IF($B996="","",O996-Q996-L996)</f>
        <v/>
      </c>
      <c r="S996" s="21" t="str">
        <f aca="false">IF(OR($B996="",N(O996)=0),"",R996/O996)</f>
        <v/>
      </c>
      <c r="T996" s="14"/>
      <c r="U996" s="19" t="n">
        <f aca="false">IF(OR($B996="",$A996=""),0,IF(COUNTIFS($A$5:$A996,$A996,$B$5:$B996,$B996)=1,1,0))</f>
        <v>0</v>
      </c>
    </row>
    <row r="997" customFormat="false" ht="15" hidden="false" customHeight="false" outlineLevel="0" collapsed="false">
      <c r="A997" s="17"/>
      <c r="B997" s="13"/>
      <c r="C997" s="20" t="str">
        <f aca="false">IF($B997="","",IFERROR(INDEX(고객사!$B$5:$B$104,MATCH($B997,고객사!$A$5:$A$104,0)),"코드 확인"))</f>
        <v/>
      </c>
      <c r="D997" s="15"/>
      <c r="E997" s="15"/>
      <c r="F997" s="16"/>
      <c r="G997" s="16"/>
      <c r="H997" s="21" t="str">
        <f aca="false">IF(OR($B997="",F997=0),"",G997/F997)</f>
        <v/>
      </c>
      <c r="I997" s="22" t="str">
        <f aca="false">IF($B997="","",MAX(F997-G997,0))</f>
        <v/>
      </c>
      <c r="J997" s="23" t="str">
        <f aca="false">IF($B997="","",IFERROR(INDEX(고객사!$G$5:$G$104,MATCH($B997,고객사!$A$5:$A$104,0)),""))</f>
        <v/>
      </c>
      <c r="K997" s="16"/>
      <c r="L997" s="22" t="str">
        <f aca="false">IF($B997="","",K997*IFERROR(INDEX(고객사!$L$5:$L$104,MATCH($B997,고객사!$A$5:$A$104,0)),0))</f>
        <v/>
      </c>
      <c r="M997" s="23" t="str">
        <f aca="false">IF($B997="","",IF(AND(J997="N",G997&gt;0,K997=0,IFERROR(INDEX(고객사!$H$5:$H$104,MATCH($B997,고객사!$A$5:$A$104,0)),"")="자사 차량 운행"),"차량 미배정",""))</f>
        <v/>
      </c>
      <c r="N997" s="22" t="str">
        <f aca="false">IF($B997="","",IFERROR(INDEX(고객사!$J$5:$J$104,MATCH($B997,고객사!$A$5:$A$104,0)),0))</f>
        <v/>
      </c>
      <c r="O997" s="22" t="str">
        <f aca="false">IF($B997="","",G997*N997)</f>
        <v/>
      </c>
      <c r="P997" s="22" t="str">
        <f aca="false">IF($B997="","",IFERROR(INDEX(고객사!$K$5:$K$104,MATCH($B997,고객사!$A$5:$A$104,0)),0))</f>
        <v/>
      </c>
      <c r="Q997" s="22" t="str">
        <f aca="false">IF($B997="","",G997*P997)</f>
        <v/>
      </c>
      <c r="R997" s="22" t="str">
        <f aca="false">IF($B997="","",O997-Q997-L997)</f>
        <v/>
      </c>
      <c r="S997" s="21" t="str">
        <f aca="false">IF(OR($B997="",N(O997)=0),"",R997/O997)</f>
        <v/>
      </c>
      <c r="T997" s="14"/>
      <c r="U997" s="19" t="n">
        <f aca="false">IF(OR($B997="",$A997=""),0,IF(COUNTIFS($A$5:$A997,$A997,$B$5:$B997,$B997)=1,1,0))</f>
        <v>0</v>
      </c>
    </row>
    <row r="998" customFormat="false" ht="15" hidden="false" customHeight="false" outlineLevel="0" collapsed="false">
      <c r="A998" s="17"/>
      <c r="B998" s="13"/>
      <c r="C998" s="20" t="str">
        <f aca="false">IF($B998="","",IFERROR(INDEX(고객사!$B$5:$B$104,MATCH($B998,고객사!$A$5:$A$104,0)),"코드 확인"))</f>
        <v/>
      </c>
      <c r="D998" s="15"/>
      <c r="E998" s="15"/>
      <c r="F998" s="16"/>
      <c r="G998" s="16"/>
      <c r="H998" s="21" t="str">
        <f aca="false">IF(OR($B998="",F998=0),"",G998/F998)</f>
        <v/>
      </c>
      <c r="I998" s="22" t="str">
        <f aca="false">IF($B998="","",MAX(F998-G998,0))</f>
        <v/>
      </c>
      <c r="J998" s="23" t="str">
        <f aca="false">IF($B998="","",IFERROR(INDEX(고객사!$G$5:$G$104,MATCH($B998,고객사!$A$5:$A$104,0)),""))</f>
        <v/>
      </c>
      <c r="K998" s="16"/>
      <c r="L998" s="22" t="str">
        <f aca="false">IF($B998="","",K998*IFERROR(INDEX(고객사!$L$5:$L$104,MATCH($B998,고객사!$A$5:$A$104,0)),0))</f>
        <v/>
      </c>
      <c r="M998" s="23" t="str">
        <f aca="false">IF($B998="","",IF(AND(J998="N",G998&gt;0,K998=0,IFERROR(INDEX(고객사!$H$5:$H$104,MATCH($B998,고객사!$A$5:$A$104,0)),"")="자사 차량 운행"),"차량 미배정",""))</f>
        <v/>
      </c>
      <c r="N998" s="22" t="str">
        <f aca="false">IF($B998="","",IFERROR(INDEX(고객사!$J$5:$J$104,MATCH($B998,고객사!$A$5:$A$104,0)),0))</f>
        <v/>
      </c>
      <c r="O998" s="22" t="str">
        <f aca="false">IF($B998="","",G998*N998)</f>
        <v/>
      </c>
      <c r="P998" s="22" t="str">
        <f aca="false">IF($B998="","",IFERROR(INDEX(고객사!$K$5:$K$104,MATCH($B998,고객사!$A$5:$A$104,0)),0))</f>
        <v/>
      </c>
      <c r="Q998" s="22" t="str">
        <f aca="false">IF($B998="","",G998*P998)</f>
        <v/>
      </c>
      <c r="R998" s="22" t="str">
        <f aca="false">IF($B998="","",O998-Q998-L998)</f>
        <v/>
      </c>
      <c r="S998" s="21" t="str">
        <f aca="false">IF(OR($B998="",N(O998)=0),"",R998/O998)</f>
        <v/>
      </c>
      <c r="T998" s="14"/>
      <c r="U998" s="19" t="n">
        <f aca="false">IF(OR($B998="",$A998=""),0,IF(COUNTIFS($A$5:$A998,$A998,$B$5:$B998,$B998)=1,1,0))</f>
        <v>0</v>
      </c>
    </row>
    <row r="999" customFormat="false" ht="15" hidden="false" customHeight="false" outlineLevel="0" collapsed="false">
      <c r="A999" s="17"/>
      <c r="B999" s="13"/>
      <c r="C999" s="20" t="str">
        <f aca="false">IF($B999="","",IFERROR(INDEX(고객사!$B$5:$B$104,MATCH($B999,고객사!$A$5:$A$104,0)),"코드 확인"))</f>
        <v/>
      </c>
      <c r="D999" s="15"/>
      <c r="E999" s="15"/>
      <c r="F999" s="16"/>
      <c r="G999" s="16"/>
      <c r="H999" s="21" t="str">
        <f aca="false">IF(OR($B999="",F999=0),"",G999/F999)</f>
        <v/>
      </c>
      <c r="I999" s="22" t="str">
        <f aca="false">IF($B999="","",MAX(F999-G999,0))</f>
        <v/>
      </c>
      <c r="J999" s="23" t="str">
        <f aca="false">IF($B999="","",IFERROR(INDEX(고객사!$G$5:$G$104,MATCH($B999,고객사!$A$5:$A$104,0)),""))</f>
        <v/>
      </c>
      <c r="K999" s="16"/>
      <c r="L999" s="22" t="str">
        <f aca="false">IF($B999="","",K999*IFERROR(INDEX(고객사!$L$5:$L$104,MATCH($B999,고객사!$A$5:$A$104,0)),0))</f>
        <v/>
      </c>
      <c r="M999" s="23" t="str">
        <f aca="false">IF($B999="","",IF(AND(J999="N",G999&gt;0,K999=0,IFERROR(INDEX(고객사!$H$5:$H$104,MATCH($B999,고객사!$A$5:$A$104,0)),"")="자사 차량 운행"),"차량 미배정",""))</f>
        <v/>
      </c>
      <c r="N999" s="22" t="str">
        <f aca="false">IF($B999="","",IFERROR(INDEX(고객사!$J$5:$J$104,MATCH($B999,고객사!$A$5:$A$104,0)),0))</f>
        <v/>
      </c>
      <c r="O999" s="22" t="str">
        <f aca="false">IF($B999="","",G999*N999)</f>
        <v/>
      </c>
      <c r="P999" s="22" t="str">
        <f aca="false">IF($B999="","",IFERROR(INDEX(고객사!$K$5:$K$104,MATCH($B999,고객사!$A$5:$A$104,0)),0))</f>
        <v/>
      </c>
      <c r="Q999" s="22" t="str">
        <f aca="false">IF($B999="","",G999*P999)</f>
        <v/>
      </c>
      <c r="R999" s="22" t="str">
        <f aca="false">IF($B999="","",O999-Q999-L999)</f>
        <v/>
      </c>
      <c r="S999" s="21" t="str">
        <f aca="false">IF(OR($B999="",N(O999)=0),"",R999/O999)</f>
        <v/>
      </c>
      <c r="T999" s="14"/>
      <c r="U999" s="19" t="n">
        <f aca="false">IF(OR($B999="",$A999=""),0,IF(COUNTIFS($A$5:$A999,$A999,$B$5:$B999,$B999)=1,1,0))</f>
        <v>0</v>
      </c>
    </row>
    <row r="1000" customFormat="false" ht="15" hidden="false" customHeight="false" outlineLevel="0" collapsed="false">
      <c r="A1000" s="17"/>
      <c r="B1000" s="13"/>
      <c r="C1000" s="20" t="str">
        <f aca="false">IF($B1000="","",IFERROR(INDEX(고객사!$B$5:$B$104,MATCH($B1000,고객사!$A$5:$A$104,0)),"코드 확인"))</f>
        <v/>
      </c>
      <c r="D1000" s="15"/>
      <c r="E1000" s="15"/>
      <c r="F1000" s="16"/>
      <c r="G1000" s="16"/>
      <c r="H1000" s="21" t="str">
        <f aca="false">IF(OR($B1000="",F1000=0),"",G1000/F1000)</f>
        <v/>
      </c>
      <c r="I1000" s="22" t="str">
        <f aca="false">IF($B1000="","",MAX(F1000-G1000,0))</f>
        <v/>
      </c>
      <c r="J1000" s="23" t="str">
        <f aca="false">IF($B1000="","",IFERROR(INDEX(고객사!$G$5:$G$104,MATCH($B1000,고객사!$A$5:$A$104,0)),""))</f>
        <v/>
      </c>
      <c r="K1000" s="16"/>
      <c r="L1000" s="22" t="str">
        <f aca="false">IF($B1000="","",K1000*IFERROR(INDEX(고객사!$L$5:$L$104,MATCH($B1000,고객사!$A$5:$A$104,0)),0))</f>
        <v/>
      </c>
      <c r="M1000" s="23" t="str">
        <f aca="false">IF($B1000="","",IF(AND(J1000="N",G1000&gt;0,K1000=0,IFERROR(INDEX(고객사!$H$5:$H$104,MATCH($B1000,고객사!$A$5:$A$104,0)),"")="자사 차량 운행"),"차량 미배정",""))</f>
        <v/>
      </c>
      <c r="N1000" s="22" t="str">
        <f aca="false">IF($B1000="","",IFERROR(INDEX(고객사!$J$5:$J$104,MATCH($B1000,고객사!$A$5:$A$104,0)),0))</f>
        <v/>
      </c>
      <c r="O1000" s="22" t="str">
        <f aca="false">IF($B1000="","",G1000*N1000)</f>
        <v/>
      </c>
      <c r="P1000" s="22" t="str">
        <f aca="false">IF($B1000="","",IFERROR(INDEX(고객사!$K$5:$K$104,MATCH($B1000,고객사!$A$5:$A$104,0)),0))</f>
        <v/>
      </c>
      <c r="Q1000" s="22" t="str">
        <f aca="false">IF($B1000="","",G1000*P1000)</f>
        <v/>
      </c>
      <c r="R1000" s="22" t="str">
        <f aca="false">IF($B1000="","",O1000-Q1000-L1000)</f>
        <v/>
      </c>
      <c r="S1000" s="21" t="str">
        <f aca="false">IF(OR($B1000="",N(O1000)=0),"",R1000/O1000)</f>
        <v/>
      </c>
      <c r="T1000" s="14"/>
      <c r="U1000" s="19" t="n">
        <f aca="false">IF(OR($B1000="",$A1000=""),0,IF(COUNTIFS($A$5:$A1000,$A1000,$B$5:$B1000,$B1000)=1,1,0))</f>
        <v>0</v>
      </c>
    </row>
    <row r="1001" customFormat="false" ht="15" hidden="false" customHeight="false" outlineLevel="0" collapsed="false">
      <c r="A1001" s="17"/>
      <c r="B1001" s="13"/>
      <c r="C1001" s="20" t="str">
        <f aca="false">IF($B1001="","",IFERROR(INDEX(고객사!$B$5:$B$104,MATCH($B1001,고객사!$A$5:$A$104,0)),"코드 확인"))</f>
        <v/>
      </c>
      <c r="D1001" s="15"/>
      <c r="E1001" s="15"/>
      <c r="F1001" s="16"/>
      <c r="G1001" s="16"/>
      <c r="H1001" s="21" t="str">
        <f aca="false">IF(OR($B1001="",F1001=0),"",G1001/F1001)</f>
        <v/>
      </c>
      <c r="I1001" s="22" t="str">
        <f aca="false">IF($B1001="","",MAX(F1001-G1001,0))</f>
        <v/>
      </c>
      <c r="J1001" s="23" t="str">
        <f aca="false">IF($B1001="","",IFERROR(INDEX(고객사!$G$5:$G$104,MATCH($B1001,고객사!$A$5:$A$104,0)),""))</f>
        <v/>
      </c>
      <c r="K1001" s="16"/>
      <c r="L1001" s="22" t="str">
        <f aca="false">IF($B1001="","",K1001*IFERROR(INDEX(고객사!$L$5:$L$104,MATCH($B1001,고객사!$A$5:$A$104,0)),0))</f>
        <v/>
      </c>
      <c r="M1001" s="23" t="str">
        <f aca="false">IF($B1001="","",IF(AND(J1001="N",G1001&gt;0,K1001=0,IFERROR(INDEX(고객사!$H$5:$H$104,MATCH($B1001,고객사!$A$5:$A$104,0)),"")="자사 차량 운행"),"차량 미배정",""))</f>
        <v/>
      </c>
      <c r="N1001" s="22" t="str">
        <f aca="false">IF($B1001="","",IFERROR(INDEX(고객사!$J$5:$J$104,MATCH($B1001,고객사!$A$5:$A$104,0)),0))</f>
        <v/>
      </c>
      <c r="O1001" s="22" t="str">
        <f aca="false">IF($B1001="","",G1001*N1001)</f>
        <v/>
      </c>
      <c r="P1001" s="22" t="str">
        <f aca="false">IF($B1001="","",IFERROR(INDEX(고객사!$K$5:$K$104,MATCH($B1001,고객사!$A$5:$A$104,0)),0))</f>
        <v/>
      </c>
      <c r="Q1001" s="22" t="str">
        <f aca="false">IF($B1001="","",G1001*P1001)</f>
        <v/>
      </c>
      <c r="R1001" s="22" t="str">
        <f aca="false">IF($B1001="","",O1001-Q1001-L1001)</f>
        <v/>
      </c>
      <c r="S1001" s="21" t="str">
        <f aca="false">IF(OR($B1001="",N(O1001)=0),"",R1001/O1001)</f>
        <v/>
      </c>
      <c r="T1001" s="14"/>
      <c r="U1001" s="19" t="n">
        <f aca="false">IF(OR($B1001="",$A1001=""),0,IF(COUNTIFS($A$5:$A1001,$A1001,$B$5:$B1001,$B1001)=1,1,0))</f>
        <v>0</v>
      </c>
    </row>
    <row r="1002" customFormat="false" ht="15" hidden="false" customHeight="false" outlineLevel="0" collapsed="false">
      <c r="A1002" s="17"/>
      <c r="B1002" s="13"/>
      <c r="C1002" s="20" t="str">
        <f aca="false">IF($B1002="","",IFERROR(INDEX(고객사!$B$5:$B$104,MATCH($B1002,고객사!$A$5:$A$104,0)),"코드 확인"))</f>
        <v/>
      </c>
      <c r="D1002" s="15"/>
      <c r="E1002" s="15"/>
      <c r="F1002" s="16"/>
      <c r="G1002" s="16"/>
      <c r="H1002" s="21" t="str">
        <f aca="false">IF(OR($B1002="",F1002=0),"",G1002/F1002)</f>
        <v/>
      </c>
      <c r="I1002" s="22" t="str">
        <f aca="false">IF($B1002="","",MAX(F1002-G1002,0))</f>
        <v/>
      </c>
      <c r="J1002" s="23" t="str">
        <f aca="false">IF($B1002="","",IFERROR(INDEX(고객사!$G$5:$G$104,MATCH($B1002,고객사!$A$5:$A$104,0)),""))</f>
        <v/>
      </c>
      <c r="K1002" s="16"/>
      <c r="L1002" s="22" t="str">
        <f aca="false">IF($B1002="","",K1002*IFERROR(INDEX(고객사!$L$5:$L$104,MATCH($B1002,고객사!$A$5:$A$104,0)),0))</f>
        <v/>
      </c>
      <c r="M1002" s="23" t="str">
        <f aca="false">IF($B1002="","",IF(AND(J1002="N",G1002&gt;0,K1002=0,IFERROR(INDEX(고객사!$H$5:$H$104,MATCH($B1002,고객사!$A$5:$A$104,0)),"")="자사 차량 운행"),"차량 미배정",""))</f>
        <v/>
      </c>
      <c r="N1002" s="22" t="str">
        <f aca="false">IF($B1002="","",IFERROR(INDEX(고객사!$J$5:$J$104,MATCH($B1002,고객사!$A$5:$A$104,0)),0))</f>
        <v/>
      </c>
      <c r="O1002" s="22" t="str">
        <f aca="false">IF($B1002="","",G1002*N1002)</f>
        <v/>
      </c>
      <c r="P1002" s="22" t="str">
        <f aca="false">IF($B1002="","",IFERROR(INDEX(고객사!$K$5:$K$104,MATCH($B1002,고객사!$A$5:$A$104,0)),0))</f>
        <v/>
      </c>
      <c r="Q1002" s="22" t="str">
        <f aca="false">IF($B1002="","",G1002*P1002)</f>
        <v/>
      </c>
      <c r="R1002" s="22" t="str">
        <f aca="false">IF($B1002="","",O1002-Q1002-L1002)</f>
        <v/>
      </c>
      <c r="S1002" s="21" t="str">
        <f aca="false">IF(OR($B1002="",N(O1002)=0),"",R1002/O1002)</f>
        <v/>
      </c>
      <c r="T1002" s="14"/>
      <c r="U1002" s="19" t="n">
        <f aca="false">IF(OR($B1002="",$A1002=""),0,IF(COUNTIFS($A$5:$A1002,$A1002,$B$5:$B1002,$B1002)=1,1,0))</f>
        <v>0</v>
      </c>
    </row>
    <row r="1003" customFormat="false" ht="15" hidden="false" customHeight="false" outlineLevel="0" collapsed="false">
      <c r="A1003" s="17"/>
      <c r="B1003" s="13"/>
      <c r="C1003" s="20" t="str">
        <f aca="false">IF($B1003="","",IFERROR(INDEX(고객사!$B$5:$B$104,MATCH($B1003,고객사!$A$5:$A$104,0)),"코드 확인"))</f>
        <v/>
      </c>
      <c r="D1003" s="15"/>
      <c r="E1003" s="15"/>
      <c r="F1003" s="16"/>
      <c r="G1003" s="16"/>
      <c r="H1003" s="21" t="str">
        <f aca="false">IF(OR($B1003="",F1003=0),"",G1003/F1003)</f>
        <v/>
      </c>
      <c r="I1003" s="22" t="str">
        <f aca="false">IF($B1003="","",MAX(F1003-G1003,0))</f>
        <v/>
      </c>
      <c r="J1003" s="23" t="str">
        <f aca="false">IF($B1003="","",IFERROR(INDEX(고객사!$G$5:$G$104,MATCH($B1003,고객사!$A$5:$A$104,0)),""))</f>
        <v/>
      </c>
      <c r="K1003" s="16"/>
      <c r="L1003" s="22" t="str">
        <f aca="false">IF($B1003="","",K1003*IFERROR(INDEX(고객사!$L$5:$L$104,MATCH($B1003,고객사!$A$5:$A$104,0)),0))</f>
        <v/>
      </c>
      <c r="M1003" s="23" t="str">
        <f aca="false">IF($B1003="","",IF(AND(J1003="N",G1003&gt;0,K1003=0,IFERROR(INDEX(고객사!$H$5:$H$104,MATCH($B1003,고객사!$A$5:$A$104,0)),"")="자사 차량 운행"),"차량 미배정",""))</f>
        <v/>
      </c>
      <c r="N1003" s="22" t="str">
        <f aca="false">IF($B1003="","",IFERROR(INDEX(고객사!$J$5:$J$104,MATCH($B1003,고객사!$A$5:$A$104,0)),0))</f>
        <v/>
      </c>
      <c r="O1003" s="22" t="str">
        <f aca="false">IF($B1003="","",G1003*N1003)</f>
        <v/>
      </c>
      <c r="P1003" s="22" t="str">
        <f aca="false">IF($B1003="","",IFERROR(INDEX(고객사!$K$5:$K$104,MATCH($B1003,고객사!$A$5:$A$104,0)),0))</f>
        <v/>
      </c>
      <c r="Q1003" s="22" t="str">
        <f aca="false">IF($B1003="","",G1003*P1003)</f>
        <v/>
      </c>
      <c r="R1003" s="22" t="str">
        <f aca="false">IF($B1003="","",O1003-Q1003-L1003)</f>
        <v/>
      </c>
      <c r="S1003" s="21" t="str">
        <f aca="false">IF(OR($B1003="",N(O1003)=0),"",R1003/O1003)</f>
        <v/>
      </c>
      <c r="T1003" s="14"/>
      <c r="U1003" s="19" t="n">
        <f aca="false">IF(OR($B1003="",$A1003=""),0,IF(COUNTIFS($A$5:$A1003,$A1003,$B$5:$B1003,$B1003)=1,1,0))</f>
        <v>0</v>
      </c>
    </row>
    <row r="1004" customFormat="false" ht="15" hidden="false" customHeight="false" outlineLevel="0" collapsed="false">
      <c r="A1004" s="17"/>
      <c r="B1004" s="13"/>
      <c r="C1004" s="20" t="str">
        <f aca="false">IF($B1004="","",IFERROR(INDEX(고객사!$B$5:$B$104,MATCH($B1004,고객사!$A$5:$A$104,0)),"코드 확인"))</f>
        <v/>
      </c>
      <c r="D1004" s="15"/>
      <c r="E1004" s="15"/>
      <c r="F1004" s="16"/>
      <c r="G1004" s="16"/>
      <c r="H1004" s="21" t="str">
        <f aca="false">IF(OR($B1004="",F1004=0),"",G1004/F1004)</f>
        <v/>
      </c>
      <c r="I1004" s="22" t="str">
        <f aca="false">IF($B1004="","",MAX(F1004-G1004,0))</f>
        <v/>
      </c>
      <c r="J1004" s="23" t="str">
        <f aca="false">IF($B1004="","",IFERROR(INDEX(고객사!$G$5:$G$104,MATCH($B1004,고객사!$A$5:$A$104,0)),""))</f>
        <v/>
      </c>
      <c r="K1004" s="16"/>
      <c r="L1004" s="22" t="str">
        <f aca="false">IF($B1004="","",K1004*IFERROR(INDEX(고객사!$L$5:$L$104,MATCH($B1004,고객사!$A$5:$A$104,0)),0))</f>
        <v/>
      </c>
      <c r="M1004" s="23" t="str">
        <f aca="false">IF($B1004="","",IF(AND(J1004="N",G1004&gt;0,K1004=0,IFERROR(INDEX(고객사!$H$5:$H$104,MATCH($B1004,고객사!$A$5:$A$104,0)),"")="자사 차량 운행"),"차량 미배정",""))</f>
        <v/>
      </c>
      <c r="N1004" s="22" t="str">
        <f aca="false">IF($B1004="","",IFERROR(INDEX(고객사!$J$5:$J$104,MATCH($B1004,고객사!$A$5:$A$104,0)),0))</f>
        <v/>
      </c>
      <c r="O1004" s="22" t="str">
        <f aca="false">IF($B1004="","",G1004*N1004)</f>
        <v/>
      </c>
      <c r="P1004" s="22" t="str">
        <f aca="false">IF($B1004="","",IFERROR(INDEX(고객사!$K$5:$K$104,MATCH($B1004,고객사!$A$5:$A$104,0)),0))</f>
        <v/>
      </c>
      <c r="Q1004" s="22" t="str">
        <f aca="false">IF($B1004="","",G1004*P1004)</f>
        <v/>
      </c>
      <c r="R1004" s="22" t="str">
        <f aca="false">IF($B1004="","",O1004-Q1004-L1004)</f>
        <v/>
      </c>
      <c r="S1004" s="21" t="str">
        <f aca="false">IF(OR($B1004="",N(O1004)=0),"",R1004/O1004)</f>
        <v/>
      </c>
      <c r="T1004" s="14"/>
      <c r="U1004" s="19" t="n">
        <f aca="false">IF(OR($B1004="",$A1004=""),0,IF(COUNTIFS($A$5:$A1004,$A1004,$B$5:$B1004,$B1004)=1,1,0))</f>
        <v>0</v>
      </c>
    </row>
    <row r="1005" customFormat="false" ht="15" hidden="false" customHeight="false" outlineLevel="0" collapsed="false">
      <c r="A1005" s="17"/>
      <c r="B1005" s="13"/>
      <c r="C1005" s="20" t="str">
        <f aca="false">IF($B1005="","",IFERROR(INDEX(고객사!$B$5:$B$104,MATCH($B1005,고객사!$A$5:$A$104,0)),"코드 확인"))</f>
        <v/>
      </c>
      <c r="D1005" s="15"/>
      <c r="E1005" s="15"/>
      <c r="F1005" s="16"/>
      <c r="G1005" s="16"/>
      <c r="H1005" s="21" t="str">
        <f aca="false">IF(OR($B1005="",F1005=0),"",G1005/F1005)</f>
        <v/>
      </c>
      <c r="I1005" s="22" t="str">
        <f aca="false">IF($B1005="","",MAX(F1005-G1005,0))</f>
        <v/>
      </c>
      <c r="J1005" s="23" t="str">
        <f aca="false">IF($B1005="","",IFERROR(INDEX(고객사!$G$5:$G$104,MATCH($B1005,고객사!$A$5:$A$104,0)),""))</f>
        <v/>
      </c>
      <c r="K1005" s="16"/>
      <c r="L1005" s="22" t="str">
        <f aca="false">IF($B1005="","",K1005*IFERROR(INDEX(고객사!$L$5:$L$104,MATCH($B1005,고객사!$A$5:$A$104,0)),0))</f>
        <v/>
      </c>
      <c r="M1005" s="23" t="str">
        <f aca="false">IF($B1005="","",IF(AND(J1005="N",G1005&gt;0,K1005=0,IFERROR(INDEX(고객사!$H$5:$H$104,MATCH($B1005,고객사!$A$5:$A$104,0)),"")="자사 차량 운행"),"차량 미배정",""))</f>
        <v/>
      </c>
      <c r="N1005" s="22" t="str">
        <f aca="false">IF($B1005="","",IFERROR(INDEX(고객사!$J$5:$J$104,MATCH($B1005,고객사!$A$5:$A$104,0)),0))</f>
        <v/>
      </c>
      <c r="O1005" s="22" t="str">
        <f aca="false">IF($B1005="","",G1005*N1005)</f>
        <v/>
      </c>
      <c r="P1005" s="22" t="str">
        <f aca="false">IF($B1005="","",IFERROR(INDEX(고객사!$K$5:$K$104,MATCH($B1005,고객사!$A$5:$A$104,0)),0))</f>
        <v/>
      </c>
      <c r="Q1005" s="22" t="str">
        <f aca="false">IF($B1005="","",G1005*P1005)</f>
        <v/>
      </c>
      <c r="R1005" s="22" t="str">
        <f aca="false">IF($B1005="","",O1005-Q1005-L1005)</f>
        <v/>
      </c>
      <c r="S1005" s="21" t="str">
        <f aca="false">IF(OR($B1005="",N(O1005)=0),"",R1005/O1005)</f>
        <v/>
      </c>
      <c r="T1005" s="14"/>
      <c r="U1005" s="19" t="n">
        <f aca="false">IF(OR($B1005="",$A1005=""),0,IF(COUNTIFS($A$5:$A1005,$A1005,$B$5:$B1005,$B1005)=1,1,0))</f>
        <v>0</v>
      </c>
    </row>
    <row r="1006" customFormat="false" ht="15" hidden="false" customHeight="false" outlineLevel="0" collapsed="false">
      <c r="A1006" s="17"/>
      <c r="B1006" s="13"/>
      <c r="C1006" s="20" t="str">
        <f aca="false">IF($B1006="","",IFERROR(INDEX(고객사!$B$5:$B$104,MATCH($B1006,고객사!$A$5:$A$104,0)),"코드 확인"))</f>
        <v/>
      </c>
      <c r="D1006" s="15"/>
      <c r="E1006" s="15"/>
      <c r="F1006" s="16"/>
      <c r="G1006" s="16"/>
      <c r="H1006" s="21" t="str">
        <f aca="false">IF(OR($B1006="",F1006=0),"",G1006/F1006)</f>
        <v/>
      </c>
      <c r="I1006" s="22" t="str">
        <f aca="false">IF($B1006="","",MAX(F1006-G1006,0))</f>
        <v/>
      </c>
      <c r="J1006" s="23" t="str">
        <f aca="false">IF($B1006="","",IFERROR(INDEX(고객사!$G$5:$G$104,MATCH($B1006,고객사!$A$5:$A$104,0)),""))</f>
        <v/>
      </c>
      <c r="K1006" s="16"/>
      <c r="L1006" s="22" t="str">
        <f aca="false">IF($B1006="","",K1006*IFERROR(INDEX(고객사!$L$5:$L$104,MATCH($B1006,고객사!$A$5:$A$104,0)),0))</f>
        <v/>
      </c>
      <c r="M1006" s="23" t="str">
        <f aca="false">IF($B1006="","",IF(AND(J1006="N",G1006&gt;0,K1006=0,IFERROR(INDEX(고객사!$H$5:$H$104,MATCH($B1006,고객사!$A$5:$A$104,0)),"")="자사 차량 운행"),"차량 미배정",""))</f>
        <v/>
      </c>
      <c r="N1006" s="22" t="str">
        <f aca="false">IF($B1006="","",IFERROR(INDEX(고객사!$J$5:$J$104,MATCH($B1006,고객사!$A$5:$A$104,0)),0))</f>
        <v/>
      </c>
      <c r="O1006" s="22" t="str">
        <f aca="false">IF($B1006="","",G1006*N1006)</f>
        <v/>
      </c>
      <c r="P1006" s="22" t="str">
        <f aca="false">IF($B1006="","",IFERROR(INDEX(고객사!$K$5:$K$104,MATCH($B1006,고객사!$A$5:$A$104,0)),0))</f>
        <v/>
      </c>
      <c r="Q1006" s="22" t="str">
        <f aca="false">IF($B1006="","",G1006*P1006)</f>
        <v/>
      </c>
      <c r="R1006" s="22" t="str">
        <f aca="false">IF($B1006="","",O1006-Q1006-L1006)</f>
        <v/>
      </c>
      <c r="S1006" s="21" t="str">
        <f aca="false">IF(OR($B1006="",N(O1006)=0),"",R1006/O1006)</f>
        <v/>
      </c>
      <c r="T1006" s="14"/>
      <c r="U1006" s="19" t="n">
        <f aca="false">IF(OR($B1006="",$A1006=""),0,IF(COUNTIFS($A$5:$A1006,$A1006,$B$5:$B1006,$B1006)=1,1,0))</f>
        <v>0</v>
      </c>
    </row>
    <row r="1007" customFormat="false" ht="15" hidden="false" customHeight="false" outlineLevel="0" collapsed="false">
      <c r="A1007" s="17"/>
      <c r="B1007" s="13"/>
      <c r="C1007" s="20" t="str">
        <f aca="false">IF($B1007="","",IFERROR(INDEX(고객사!$B$5:$B$104,MATCH($B1007,고객사!$A$5:$A$104,0)),"코드 확인"))</f>
        <v/>
      </c>
      <c r="D1007" s="15"/>
      <c r="E1007" s="15"/>
      <c r="F1007" s="16"/>
      <c r="G1007" s="16"/>
      <c r="H1007" s="21" t="str">
        <f aca="false">IF(OR($B1007="",F1007=0),"",G1007/F1007)</f>
        <v/>
      </c>
      <c r="I1007" s="22" t="str">
        <f aca="false">IF($B1007="","",MAX(F1007-G1007,0))</f>
        <v/>
      </c>
      <c r="J1007" s="23" t="str">
        <f aca="false">IF($B1007="","",IFERROR(INDEX(고객사!$G$5:$G$104,MATCH($B1007,고객사!$A$5:$A$104,0)),""))</f>
        <v/>
      </c>
      <c r="K1007" s="16"/>
      <c r="L1007" s="22" t="str">
        <f aca="false">IF($B1007="","",K1007*IFERROR(INDEX(고객사!$L$5:$L$104,MATCH($B1007,고객사!$A$5:$A$104,0)),0))</f>
        <v/>
      </c>
      <c r="M1007" s="23" t="str">
        <f aca="false">IF($B1007="","",IF(AND(J1007="N",G1007&gt;0,K1007=0,IFERROR(INDEX(고객사!$H$5:$H$104,MATCH($B1007,고객사!$A$5:$A$104,0)),"")="자사 차량 운행"),"차량 미배정",""))</f>
        <v/>
      </c>
      <c r="N1007" s="22" t="str">
        <f aca="false">IF($B1007="","",IFERROR(INDEX(고객사!$J$5:$J$104,MATCH($B1007,고객사!$A$5:$A$104,0)),0))</f>
        <v/>
      </c>
      <c r="O1007" s="22" t="str">
        <f aca="false">IF($B1007="","",G1007*N1007)</f>
        <v/>
      </c>
      <c r="P1007" s="22" t="str">
        <f aca="false">IF($B1007="","",IFERROR(INDEX(고객사!$K$5:$K$104,MATCH($B1007,고객사!$A$5:$A$104,0)),0))</f>
        <v/>
      </c>
      <c r="Q1007" s="22" t="str">
        <f aca="false">IF($B1007="","",G1007*P1007)</f>
        <v/>
      </c>
      <c r="R1007" s="22" t="str">
        <f aca="false">IF($B1007="","",O1007-Q1007-L1007)</f>
        <v/>
      </c>
      <c r="S1007" s="21" t="str">
        <f aca="false">IF(OR($B1007="",N(O1007)=0),"",R1007/O1007)</f>
        <v/>
      </c>
      <c r="T1007" s="14"/>
      <c r="U1007" s="19" t="n">
        <f aca="false">IF(OR($B1007="",$A1007=""),0,IF(COUNTIFS($A$5:$A1007,$A1007,$B$5:$B1007,$B1007)=1,1,0))</f>
        <v>0</v>
      </c>
    </row>
    <row r="1008" customFormat="false" ht="15" hidden="false" customHeight="false" outlineLevel="0" collapsed="false">
      <c r="A1008" s="17"/>
      <c r="B1008" s="13"/>
      <c r="C1008" s="20" t="str">
        <f aca="false">IF($B1008="","",IFERROR(INDEX(고객사!$B$5:$B$104,MATCH($B1008,고객사!$A$5:$A$104,0)),"코드 확인"))</f>
        <v/>
      </c>
      <c r="D1008" s="15"/>
      <c r="E1008" s="15"/>
      <c r="F1008" s="16"/>
      <c r="G1008" s="16"/>
      <c r="H1008" s="21" t="str">
        <f aca="false">IF(OR($B1008="",F1008=0),"",G1008/F1008)</f>
        <v/>
      </c>
      <c r="I1008" s="22" t="str">
        <f aca="false">IF($B1008="","",MAX(F1008-G1008,0))</f>
        <v/>
      </c>
      <c r="J1008" s="23" t="str">
        <f aca="false">IF($B1008="","",IFERROR(INDEX(고객사!$G$5:$G$104,MATCH($B1008,고객사!$A$5:$A$104,0)),""))</f>
        <v/>
      </c>
      <c r="K1008" s="16"/>
      <c r="L1008" s="22" t="str">
        <f aca="false">IF($B1008="","",K1008*IFERROR(INDEX(고객사!$L$5:$L$104,MATCH($B1008,고객사!$A$5:$A$104,0)),0))</f>
        <v/>
      </c>
      <c r="M1008" s="23" t="str">
        <f aca="false">IF($B1008="","",IF(AND(J1008="N",G1008&gt;0,K1008=0,IFERROR(INDEX(고객사!$H$5:$H$104,MATCH($B1008,고객사!$A$5:$A$104,0)),"")="자사 차량 운행"),"차량 미배정",""))</f>
        <v/>
      </c>
      <c r="N1008" s="22" t="str">
        <f aca="false">IF($B1008="","",IFERROR(INDEX(고객사!$J$5:$J$104,MATCH($B1008,고객사!$A$5:$A$104,0)),0))</f>
        <v/>
      </c>
      <c r="O1008" s="22" t="str">
        <f aca="false">IF($B1008="","",G1008*N1008)</f>
        <v/>
      </c>
      <c r="P1008" s="22" t="str">
        <f aca="false">IF($B1008="","",IFERROR(INDEX(고객사!$K$5:$K$104,MATCH($B1008,고객사!$A$5:$A$104,0)),0))</f>
        <v/>
      </c>
      <c r="Q1008" s="22" t="str">
        <f aca="false">IF($B1008="","",G1008*P1008)</f>
        <v/>
      </c>
      <c r="R1008" s="22" t="str">
        <f aca="false">IF($B1008="","",O1008-Q1008-L1008)</f>
        <v/>
      </c>
      <c r="S1008" s="21" t="str">
        <f aca="false">IF(OR($B1008="",N(O1008)=0),"",R1008/O1008)</f>
        <v/>
      </c>
      <c r="T1008" s="14"/>
      <c r="U1008" s="19" t="n">
        <f aca="false">IF(OR($B1008="",$A1008=""),0,IF(COUNTIFS($A$5:$A1008,$A1008,$B$5:$B1008,$B1008)=1,1,0))</f>
        <v>0</v>
      </c>
    </row>
    <row r="1009" customFormat="false" ht="15" hidden="false" customHeight="false" outlineLevel="0" collapsed="false">
      <c r="A1009" s="17"/>
      <c r="B1009" s="13"/>
      <c r="C1009" s="20" t="str">
        <f aca="false">IF($B1009="","",IFERROR(INDEX(고객사!$B$5:$B$104,MATCH($B1009,고객사!$A$5:$A$104,0)),"코드 확인"))</f>
        <v/>
      </c>
      <c r="D1009" s="15"/>
      <c r="E1009" s="15"/>
      <c r="F1009" s="16"/>
      <c r="G1009" s="16"/>
      <c r="H1009" s="21" t="str">
        <f aca="false">IF(OR($B1009="",F1009=0),"",G1009/F1009)</f>
        <v/>
      </c>
      <c r="I1009" s="22" t="str">
        <f aca="false">IF($B1009="","",MAX(F1009-G1009,0))</f>
        <v/>
      </c>
      <c r="J1009" s="23" t="str">
        <f aca="false">IF($B1009="","",IFERROR(INDEX(고객사!$G$5:$G$104,MATCH($B1009,고객사!$A$5:$A$104,0)),""))</f>
        <v/>
      </c>
      <c r="K1009" s="16"/>
      <c r="L1009" s="22" t="str">
        <f aca="false">IF($B1009="","",K1009*IFERROR(INDEX(고객사!$L$5:$L$104,MATCH($B1009,고객사!$A$5:$A$104,0)),0))</f>
        <v/>
      </c>
      <c r="M1009" s="23" t="str">
        <f aca="false">IF($B1009="","",IF(AND(J1009="N",G1009&gt;0,K1009=0,IFERROR(INDEX(고객사!$H$5:$H$104,MATCH($B1009,고객사!$A$5:$A$104,0)),"")="자사 차량 운행"),"차량 미배정",""))</f>
        <v/>
      </c>
      <c r="N1009" s="22" t="str">
        <f aca="false">IF($B1009="","",IFERROR(INDEX(고객사!$J$5:$J$104,MATCH($B1009,고객사!$A$5:$A$104,0)),0))</f>
        <v/>
      </c>
      <c r="O1009" s="22" t="str">
        <f aca="false">IF($B1009="","",G1009*N1009)</f>
        <v/>
      </c>
      <c r="P1009" s="22" t="str">
        <f aca="false">IF($B1009="","",IFERROR(INDEX(고객사!$K$5:$K$104,MATCH($B1009,고객사!$A$5:$A$104,0)),0))</f>
        <v/>
      </c>
      <c r="Q1009" s="22" t="str">
        <f aca="false">IF($B1009="","",G1009*P1009)</f>
        <v/>
      </c>
      <c r="R1009" s="22" t="str">
        <f aca="false">IF($B1009="","",O1009-Q1009-L1009)</f>
        <v/>
      </c>
      <c r="S1009" s="21" t="str">
        <f aca="false">IF(OR($B1009="",N(O1009)=0),"",R1009/O1009)</f>
        <v/>
      </c>
      <c r="T1009" s="14"/>
      <c r="U1009" s="19" t="n">
        <f aca="false">IF(OR($B1009="",$A1009=""),0,IF(COUNTIFS($A$5:$A1009,$A1009,$B$5:$B1009,$B1009)=1,1,0))</f>
        <v>0</v>
      </c>
    </row>
    <row r="1010" customFormat="false" ht="15" hidden="false" customHeight="false" outlineLevel="0" collapsed="false">
      <c r="A1010" s="17"/>
      <c r="B1010" s="13"/>
      <c r="C1010" s="20" t="str">
        <f aca="false">IF($B1010="","",IFERROR(INDEX(고객사!$B$5:$B$104,MATCH($B1010,고객사!$A$5:$A$104,0)),"코드 확인"))</f>
        <v/>
      </c>
      <c r="D1010" s="15"/>
      <c r="E1010" s="15"/>
      <c r="F1010" s="16"/>
      <c r="G1010" s="16"/>
      <c r="H1010" s="21" t="str">
        <f aca="false">IF(OR($B1010="",F1010=0),"",G1010/F1010)</f>
        <v/>
      </c>
      <c r="I1010" s="22" t="str">
        <f aca="false">IF($B1010="","",MAX(F1010-G1010,0))</f>
        <v/>
      </c>
      <c r="J1010" s="23" t="str">
        <f aca="false">IF($B1010="","",IFERROR(INDEX(고객사!$G$5:$G$104,MATCH($B1010,고객사!$A$5:$A$104,0)),""))</f>
        <v/>
      </c>
      <c r="K1010" s="16"/>
      <c r="L1010" s="22" t="str">
        <f aca="false">IF($B1010="","",K1010*IFERROR(INDEX(고객사!$L$5:$L$104,MATCH($B1010,고객사!$A$5:$A$104,0)),0))</f>
        <v/>
      </c>
      <c r="M1010" s="23" t="str">
        <f aca="false">IF($B1010="","",IF(AND(J1010="N",G1010&gt;0,K1010=0,IFERROR(INDEX(고객사!$H$5:$H$104,MATCH($B1010,고객사!$A$5:$A$104,0)),"")="자사 차량 운행"),"차량 미배정",""))</f>
        <v/>
      </c>
      <c r="N1010" s="22" t="str">
        <f aca="false">IF($B1010="","",IFERROR(INDEX(고객사!$J$5:$J$104,MATCH($B1010,고객사!$A$5:$A$104,0)),0))</f>
        <v/>
      </c>
      <c r="O1010" s="22" t="str">
        <f aca="false">IF($B1010="","",G1010*N1010)</f>
        <v/>
      </c>
      <c r="P1010" s="22" t="str">
        <f aca="false">IF($B1010="","",IFERROR(INDEX(고객사!$K$5:$K$104,MATCH($B1010,고객사!$A$5:$A$104,0)),0))</f>
        <v/>
      </c>
      <c r="Q1010" s="22" t="str">
        <f aca="false">IF($B1010="","",G1010*P1010)</f>
        <v/>
      </c>
      <c r="R1010" s="22" t="str">
        <f aca="false">IF($B1010="","",O1010-Q1010-L1010)</f>
        <v/>
      </c>
      <c r="S1010" s="21" t="str">
        <f aca="false">IF(OR($B1010="",N(O1010)=0),"",R1010/O1010)</f>
        <v/>
      </c>
      <c r="T1010" s="14"/>
      <c r="U1010" s="19" t="n">
        <f aca="false">IF(OR($B1010="",$A1010=""),0,IF(COUNTIFS($A$5:$A1010,$A1010,$B$5:$B1010,$B1010)=1,1,0))</f>
        <v>0</v>
      </c>
    </row>
    <row r="1011" customFormat="false" ht="15" hidden="false" customHeight="false" outlineLevel="0" collapsed="false">
      <c r="A1011" s="17"/>
      <c r="B1011" s="13"/>
      <c r="C1011" s="20" t="str">
        <f aca="false">IF($B1011="","",IFERROR(INDEX(고객사!$B$5:$B$104,MATCH($B1011,고객사!$A$5:$A$104,0)),"코드 확인"))</f>
        <v/>
      </c>
      <c r="D1011" s="15"/>
      <c r="E1011" s="15"/>
      <c r="F1011" s="16"/>
      <c r="G1011" s="16"/>
      <c r="H1011" s="21" t="str">
        <f aca="false">IF(OR($B1011="",F1011=0),"",G1011/F1011)</f>
        <v/>
      </c>
      <c r="I1011" s="22" t="str">
        <f aca="false">IF($B1011="","",MAX(F1011-G1011,0))</f>
        <v/>
      </c>
      <c r="J1011" s="23" t="str">
        <f aca="false">IF($B1011="","",IFERROR(INDEX(고객사!$G$5:$G$104,MATCH($B1011,고객사!$A$5:$A$104,0)),""))</f>
        <v/>
      </c>
      <c r="K1011" s="16"/>
      <c r="L1011" s="22" t="str">
        <f aca="false">IF($B1011="","",K1011*IFERROR(INDEX(고객사!$L$5:$L$104,MATCH($B1011,고객사!$A$5:$A$104,0)),0))</f>
        <v/>
      </c>
      <c r="M1011" s="23" t="str">
        <f aca="false">IF($B1011="","",IF(AND(J1011="N",G1011&gt;0,K1011=0,IFERROR(INDEX(고객사!$H$5:$H$104,MATCH($B1011,고객사!$A$5:$A$104,0)),"")="자사 차량 운행"),"차량 미배정",""))</f>
        <v/>
      </c>
      <c r="N1011" s="22" t="str">
        <f aca="false">IF($B1011="","",IFERROR(INDEX(고객사!$J$5:$J$104,MATCH($B1011,고객사!$A$5:$A$104,0)),0))</f>
        <v/>
      </c>
      <c r="O1011" s="22" t="str">
        <f aca="false">IF($B1011="","",G1011*N1011)</f>
        <v/>
      </c>
      <c r="P1011" s="22" t="str">
        <f aca="false">IF($B1011="","",IFERROR(INDEX(고객사!$K$5:$K$104,MATCH($B1011,고객사!$A$5:$A$104,0)),0))</f>
        <v/>
      </c>
      <c r="Q1011" s="22" t="str">
        <f aca="false">IF($B1011="","",G1011*P1011)</f>
        <v/>
      </c>
      <c r="R1011" s="22" t="str">
        <f aca="false">IF($B1011="","",O1011-Q1011-L1011)</f>
        <v/>
      </c>
      <c r="S1011" s="21" t="str">
        <f aca="false">IF(OR($B1011="",N(O1011)=0),"",R1011/O1011)</f>
        <v/>
      </c>
      <c r="T1011" s="14"/>
      <c r="U1011" s="19" t="n">
        <f aca="false">IF(OR($B1011="",$A1011=""),0,IF(COUNTIFS($A$5:$A1011,$A1011,$B$5:$B1011,$B1011)=1,1,0))</f>
        <v>0</v>
      </c>
    </row>
    <row r="1012" customFormat="false" ht="15" hidden="false" customHeight="false" outlineLevel="0" collapsed="false">
      <c r="A1012" s="17"/>
      <c r="B1012" s="13"/>
      <c r="C1012" s="20" t="str">
        <f aca="false">IF($B1012="","",IFERROR(INDEX(고객사!$B$5:$B$104,MATCH($B1012,고객사!$A$5:$A$104,0)),"코드 확인"))</f>
        <v/>
      </c>
      <c r="D1012" s="15"/>
      <c r="E1012" s="15"/>
      <c r="F1012" s="16"/>
      <c r="G1012" s="16"/>
      <c r="H1012" s="21" t="str">
        <f aca="false">IF(OR($B1012="",F1012=0),"",G1012/F1012)</f>
        <v/>
      </c>
      <c r="I1012" s="22" t="str">
        <f aca="false">IF($B1012="","",MAX(F1012-G1012,0))</f>
        <v/>
      </c>
      <c r="J1012" s="23" t="str">
        <f aca="false">IF($B1012="","",IFERROR(INDEX(고객사!$G$5:$G$104,MATCH($B1012,고객사!$A$5:$A$104,0)),""))</f>
        <v/>
      </c>
      <c r="K1012" s="16"/>
      <c r="L1012" s="22" t="str">
        <f aca="false">IF($B1012="","",K1012*IFERROR(INDEX(고객사!$L$5:$L$104,MATCH($B1012,고객사!$A$5:$A$104,0)),0))</f>
        <v/>
      </c>
      <c r="M1012" s="23" t="str">
        <f aca="false">IF($B1012="","",IF(AND(J1012="N",G1012&gt;0,K1012=0,IFERROR(INDEX(고객사!$H$5:$H$104,MATCH($B1012,고객사!$A$5:$A$104,0)),"")="자사 차량 운행"),"차량 미배정",""))</f>
        <v/>
      </c>
      <c r="N1012" s="22" t="str">
        <f aca="false">IF($B1012="","",IFERROR(INDEX(고객사!$J$5:$J$104,MATCH($B1012,고객사!$A$5:$A$104,0)),0))</f>
        <v/>
      </c>
      <c r="O1012" s="22" t="str">
        <f aca="false">IF($B1012="","",G1012*N1012)</f>
        <v/>
      </c>
      <c r="P1012" s="22" t="str">
        <f aca="false">IF($B1012="","",IFERROR(INDEX(고객사!$K$5:$K$104,MATCH($B1012,고객사!$A$5:$A$104,0)),0))</f>
        <v/>
      </c>
      <c r="Q1012" s="22" t="str">
        <f aca="false">IF($B1012="","",G1012*P1012)</f>
        <v/>
      </c>
      <c r="R1012" s="22" t="str">
        <f aca="false">IF($B1012="","",O1012-Q1012-L1012)</f>
        <v/>
      </c>
      <c r="S1012" s="21" t="str">
        <f aca="false">IF(OR($B1012="",N(O1012)=0),"",R1012/O1012)</f>
        <v/>
      </c>
      <c r="T1012" s="14"/>
      <c r="U1012" s="19" t="n">
        <f aca="false">IF(OR($B1012="",$A1012=""),0,IF(COUNTIFS($A$5:$A1012,$A1012,$B$5:$B1012,$B1012)=1,1,0))</f>
        <v>0</v>
      </c>
    </row>
    <row r="1013" customFormat="false" ht="15" hidden="false" customHeight="false" outlineLevel="0" collapsed="false">
      <c r="A1013" s="17"/>
      <c r="B1013" s="13"/>
      <c r="C1013" s="20" t="str">
        <f aca="false">IF($B1013="","",IFERROR(INDEX(고객사!$B$5:$B$104,MATCH($B1013,고객사!$A$5:$A$104,0)),"코드 확인"))</f>
        <v/>
      </c>
      <c r="D1013" s="15"/>
      <c r="E1013" s="15"/>
      <c r="F1013" s="16"/>
      <c r="G1013" s="16"/>
      <c r="H1013" s="21" t="str">
        <f aca="false">IF(OR($B1013="",F1013=0),"",G1013/F1013)</f>
        <v/>
      </c>
      <c r="I1013" s="22" t="str">
        <f aca="false">IF($B1013="","",MAX(F1013-G1013,0))</f>
        <v/>
      </c>
      <c r="J1013" s="23" t="str">
        <f aca="false">IF($B1013="","",IFERROR(INDEX(고객사!$G$5:$G$104,MATCH($B1013,고객사!$A$5:$A$104,0)),""))</f>
        <v/>
      </c>
      <c r="K1013" s="16"/>
      <c r="L1013" s="22" t="str">
        <f aca="false">IF($B1013="","",K1013*IFERROR(INDEX(고객사!$L$5:$L$104,MATCH($B1013,고객사!$A$5:$A$104,0)),0))</f>
        <v/>
      </c>
      <c r="M1013" s="23" t="str">
        <f aca="false">IF($B1013="","",IF(AND(J1013="N",G1013&gt;0,K1013=0,IFERROR(INDEX(고객사!$H$5:$H$104,MATCH($B1013,고객사!$A$5:$A$104,0)),"")="자사 차량 운행"),"차량 미배정",""))</f>
        <v/>
      </c>
      <c r="N1013" s="22" t="str">
        <f aca="false">IF($B1013="","",IFERROR(INDEX(고객사!$J$5:$J$104,MATCH($B1013,고객사!$A$5:$A$104,0)),0))</f>
        <v/>
      </c>
      <c r="O1013" s="22" t="str">
        <f aca="false">IF($B1013="","",G1013*N1013)</f>
        <v/>
      </c>
      <c r="P1013" s="22" t="str">
        <f aca="false">IF($B1013="","",IFERROR(INDEX(고객사!$K$5:$K$104,MATCH($B1013,고객사!$A$5:$A$104,0)),0))</f>
        <v/>
      </c>
      <c r="Q1013" s="22" t="str">
        <f aca="false">IF($B1013="","",G1013*P1013)</f>
        <v/>
      </c>
      <c r="R1013" s="22" t="str">
        <f aca="false">IF($B1013="","",O1013-Q1013-L1013)</f>
        <v/>
      </c>
      <c r="S1013" s="21" t="str">
        <f aca="false">IF(OR($B1013="",N(O1013)=0),"",R1013/O1013)</f>
        <v/>
      </c>
      <c r="T1013" s="14"/>
      <c r="U1013" s="19" t="n">
        <f aca="false">IF(OR($B1013="",$A1013=""),0,IF(COUNTIFS($A$5:$A1013,$A1013,$B$5:$B1013,$B1013)=1,1,0))</f>
        <v>0</v>
      </c>
    </row>
    <row r="1014" customFormat="false" ht="15" hidden="false" customHeight="false" outlineLevel="0" collapsed="false">
      <c r="A1014" s="17"/>
      <c r="B1014" s="13"/>
      <c r="C1014" s="20" t="str">
        <f aca="false">IF($B1014="","",IFERROR(INDEX(고객사!$B$5:$B$104,MATCH($B1014,고객사!$A$5:$A$104,0)),"코드 확인"))</f>
        <v/>
      </c>
      <c r="D1014" s="15"/>
      <c r="E1014" s="15"/>
      <c r="F1014" s="16"/>
      <c r="G1014" s="16"/>
      <c r="H1014" s="21" t="str">
        <f aca="false">IF(OR($B1014="",F1014=0),"",G1014/F1014)</f>
        <v/>
      </c>
      <c r="I1014" s="22" t="str">
        <f aca="false">IF($B1014="","",MAX(F1014-G1014,0))</f>
        <v/>
      </c>
      <c r="J1014" s="23" t="str">
        <f aca="false">IF($B1014="","",IFERROR(INDEX(고객사!$G$5:$G$104,MATCH($B1014,고객사!$A$5:$A$104,0)),""))</f>
        <v/>
      </c>
      <c r="K1014" s="16"/>
      <c r="L1014" s="22" t="str">
        <f aca="false">IF($B1014="","",K1014*IFERROR(INDEX(고객사!$L$5:$L$104,MATCH($B1014,고객사!$A$5:$A$104,0)),0))</f>
        <v/>
      </c>
      <c r="M1014" s="23" t="str">
        <f aca="false">IF($B1014="","",IF(AND(J1014="N",G1014&gt;0,K1014=0,IFERROR(INDEX(고객사!$H$5:$H$104,MATCH($B1014,고객사!$A$5:$A$104,0)),"")="자사 차량 운행"),"차량 미배정",""))</f>
        <v/>
      </c>
      <c r="N1014" s="22" t="str">
        <f aca="false">IF($B1014="","",IFERROR(INDEX(고객사!$J$5:$J$104,MATCH($B1014,고객사!$A$5:$A$104,0)),0))</f>
        <v/>
      </c>
      <c r="O1014" s="22" t="str">
        <f aca="false">IF($B1014="","",G1014*N1014)</f>
        <v/>
      </c>
      <c r="P1014" s="22" t="str">
        <f aca="false">IF($B1014="","",IFERROR(INDEX(고객사!$K$5:$K$104,MATCH($B1014,고객사!$A$5:$A$104,0)),0))</f>
        <v/>
      </c>
      <c r="Q1014" s="22" t="str">
        <f aca="false">IF($B1014="","",G1014*P1014)</f>
        <v/>
      </c>
      <c r="R1014" s="22" t="str">
        <f aca="false">IF($B1014="","",O1014-Q1014-L1014)</f>
        <v/>
      </c>
      <c r="S1014" s="21" t="str">
        <f aca="false">IF(OR($B1014="",N(O1014)=0),"",R1014/O1014)</f>
        <v/>
      </c>
      <c r="T1014" s="14"/>
      <c r="U1014" s="19" t="n">
        <f aca="false">IF(OR($B1014="",$A1014=""),0,IF(COUNTIFS($A$5:$A1014,$A1014,$B$5:$B1014,$B1014)=1,1,0))</f>
        <v>0</v>
      </c>
    </row>
    <row r="1015" customFormat="false" ht="15" hidden="false" customHeight="false" outlineLevel="0" collapsed="false">
      <c r="A1015" s="17"/>
      <c r="B1015" s="13"/>
      <c r="C1015" s="20" t="str">
        <f aca="false">IF($B1015="","",IFERROR(INDEX(고객사!$B$5:$B$104,MATCH($B1015,고객사!$A$5:$A$104,0)),"코드 확인"))</f>
        <v/>
      </c>
      <c r="D1015" s="15"/>
      <c r="E1015" s="15"/>
      <c r="F1015" s="16"/>
      <c r="G1015" s="16"/>
      <c r="H1015" s="21" t="str">
        <f aca="false">IF(OR($B1015="",F1015=0),"",G1015/F1015)</f>
        <v/>
      </c>
      <c r="I1015" s="22" t="str">
        <f aca="false">IF($B1015="","",MAX(F1015-G1015,0))</f>
        <v/>
      </c>
      <c r="J1015" s="23" t="str">
        <f aca="false">IF($B1015="","",IFERROR(INDEX(고객사!$G$5:$G$104,MATCH($B1015,고객사!$A$5:$A$104,0)),""))</f>
        <v/>
      </c>
      <c r="K1015" s="16"/>
      <c r="L1015" s="22" t="str">
        <f aca="false">IF($B1015="","",K1015*IFERROR(INDEX(고객사!$L$5:$L$104,MATCH($B1015,고객사!$A$5:$A$104,0)),0))</f>
        <v/>
      </c>
      <c r="M1015" s="23" t="str">
        <f aca="false">IF($B1015="","",IF(AND(J1015="N",G1015&gt;0,K1015=0,IFERROR(INDEX(고객사!$H$5:$H$104,MATCH($B1015,고객사!$A$5:$A$104,0)),"")="자사 차량 운행"),"차량 미배정",""))</f>
        <v/>
      </c>
      <c r="N1015" s="22" t="str">
        <f aca="false">IF($B1015="","",IFERROR(INDEX(고객사!$J$5:$J$104,MATCH($B1015,고객사!$A$5:$A$104,0)),0))</f>
        <v/>
      </c>
      <c r="O1015" s="22" t="str">
        <f aca="false">IF($B1015="","",G1015*N1015)</f>
        <v/>
      </c>
      <c r="P1015" s="22" t="str">
        <f aca="false">IF($B1015="","",IFERROR(INDEX(고객사!$K$5:$K$104,MATCH($B1015,고객사!$A$5:$A$104,0)),0))</f>
        <v/>
      </c>
      <c r="Q1015" s="22" t="str">
        <f aca="false">IF($B1015="","",G1015*P1015)</f>
        <v/>
      </c>
      <c r="R1015" s="22" t="str">
        <f aca="false">IF($B1015="","",O1015-Q1015-L1015)</f>
        <v/>
      </c>
      <c r="S1015" s="21" t="str">
        <f aca="false">IF(OR($B1015="",N(O1015)=0),"",R1015/O1015)</f>
        <v/>
      </c>
      <c r="T1015" s="14"/>
      <c r="U1015" s="19" t="n">
        <f aca="false">IF(OR($B1015="",$A1015=""),0,IF(COUNTIFS($A$5:$A1015,$A1015,$B$5:$B1015,$B1015)=1,1,0))</f>
        <v>0</v>
      </c>
    </row>
    <row r="1016" customFormat="false" ht="15" hidden="false" customHeight="false" outlineLevel="0" collapsed="false">
      <c r="A1016" s="17"/>
      <c r="B1016" s="13"/>
      <c r="C1016" s="20" t="str">
        <f aca="false">IF($B1016="","",IFERROR(INDEX(고객사!$B$5:$B$104,MATCH($B1016,고객사!$A$5:$A$104,0)),"코드 확인"))</f>
        <v/>
      </c>
      <c r="D1016" s="15"/>
      <c r="E1016" s="15"/>
      <c r="F1016" s="16"/>
      <c r="G1016" s="16"/>
      <c r="H1016" s="21" t="str">
        <f aca="false">IF(OR($B1016="",F1016=0),"",G1016/F1016)</f>
        <v/>
      </c>
      <c r="I1016" s="22" t="str">
        <f aca="false">IF($B1016="","",MAX(F1016-G1016,0))</f>
        <v/>
      </c>
      <c r="J1016" s="23" t="str">
        <f aca="false">IF($B1016="","",IFERROR(INDEX(고객사!$G$5:$G$104,MATCH($B1016,고객사!$A$5:$A$104,0)),""))</f>
        <v/>
      </c>
      <c r="K1016" s="16"/>
      <c r="L1016" s="22" t="str">
        <f aca="false">IF($B1016="","",K1016*IFERROR(INDEX(고객사!$L$5:$L$104,MATCH($B1016,고객사!$A$5:$A$104,0)),0))</f>
        <v/>
      </c>
      <c r="M1016" s="23" t="str">
        <f aca="false">IF($B1016="","",IF(AND(J1016="N",G1016&gt;0,K1016=0,IFERROR(INDEX(고객사!$H$5:$H$104,MATCH($B1016,고객사!$A$5:$A$104,0)),"")="자사 차량 운행"),"차량 미배정",""))</f>
        <v/>
      </c>
      <c r="N1016" s="22" t="str">
        <f aca="false">IF($B1016="","",IFERROR(INDEX(고객사!$J$5:$J$104,MATCH($B1016,고객사!$A$5:$A$104,0)),0))</f>
        <v/>
      </c>
      <c r="O1016" s="22" t="str">
        <f aca="false">IF($B1016="","",G1016*N1016)</f>
        <v/>
      </c>
      <c r="P1016" s="22" t="str">
        <f aca="false">IF($B1016="","",IFERROR(INDEX(고객사!$K$5:$K$104,MATCH($B1016,고객사!$A$5:$A$104,0)),0))</f>
        <v/>
      </c>
      <c r="Q1016" s="22" t="str">
        <f aca="false">IF($B1016="","",G1016*P1016)</f>
        <v/>
      </c>
      <c r="R1016" s="22" t="str">
        <f aca="false">IF($B1016="","",O1016-Q1016-L1016)</f>
        <v/>
      </c>
      <c r="S1016" s="21" t="str">
        <f aca="false">IF(OR($B1016="",N(O1016)=0),"",R1016/O1016)</f>
        <v/>
      </c>
      <c r="T1016" s="14"/>
      <c r="U1016" s="19" t="n">
        <f aca="false">IF(OR($B1016="",$A1016=""),0,IF(COUNTIFS($A$5:$A1016,$A1016,$B$5:$B1016,$B1016)=1,1,0))</f>
        <v>0</v>
      </c>
    </row>
    <row r="1017" customFormat="false" ht="15" hidden="false" customHeight="false" outlineLevel="0" collapsed="false">
      <c r="A1017" s="17"/>
      <c r="B1017" s="13"/>
      <c r="C1017" s="20" t="str">
        <f aca="false">IF($B1017="","",IFERROR(INDEX(고객사!$B$5:$B$104,MATCH($B1017,고객사!$A$5:$A$104,0)),"코드 확인"))</f>
        <v/>
      </c>
      <c r="D1017" s="15"/>
      <c r="E1017" s="15"/>
      <c r="F1017" s="16"/>
      <c r="G1017" s="16"/>
      <c r="H1017" s="21" t="str">
        <f aca="false">IF(OR($B1017="",F1017=0),"",G1017/F1017)</f>
        <v/>
      </c>
      <c r="I1017" s="22" t="str">
        <f aca="false">IF($B1017="","",MAX(F1017-G1017,0))</f>
        <v/>
      </c>
      <c r="J1017" s="23" t="str">
        <f aca="false">IF($B1017="","",IFERROR(INDEX(고객사!$G$5:$G$104,MATCH($B1017,고객사!$A$5:$A$104,0)),""))</f>
        <v/>
      </c>
      <c r="K1017" s="16"/>
      <c r="L1017" s="22" t="str">
        <f aca="false">IF($B1017="","",K1017*IFERROR(INDEX(고객사!$L$5:$L$104,MATCH($B1017,고객사!$A$5:$A$104,0)),0))</f>
        <v/>
      </c>
      <c r="M1017" s="23" t="str">
        <f aca="false">IF($B1017="","",IF(AND(J1017="N",G1017&gt;0,K1017=0,IFERROR(INDEX(고객사!$H$5:$H$104,MATCH($B1017,고객사!$A$5:$A$104,0)),"")="자사 차량 운행"),"차량 미배정",""))</f>
        <v/>
      </c>
      <c r="N1017" s="22" t="str">
        <f aca="false">IF($B1017="","",IFERROR(INDEX(고객사!$J$5:$J$104,MATCH($B1017,고객사!$A$5:$A$104,0)),0))</f>
        <v/>
      </c>
      <c r="O1017" s="22" t="str">
        <f aca="false">IF($B1017="","",G1017*N1017)</f>
        <v/>
      </c>
      <c r="P1017" s="22" t="str">
        <f aca="false">IF($B1017="","",IFERROR(INDEX(고객사!$K$5:$K$104,MATCH($B1017,고객사!$A$5:$A$104,0)),0))</f>
        <v/>
      </c>
      <c r="Q1017" s="22" t="str">
        <f aca="false">IF($B1017="","",G1017*P1017)</f>
        <v/>
      </c>
      <c r="R1017" s="22" t="str">
        <f aca="false">IF($B1017="","",O1017-Q1017-L1017)</f>
        <v/>
      </c>
      <c r="S1017" s="21" t="str">
        <f aca="false">IF(OR($B1017="",N(O1017)=0),"",R1017/O1017)</f>
        <v/>
      </c>
      <c r="T1017" s="14"/>
      <c r="U1017" s="19" t="n">
        <f aca="false">IF(OR($B1017="",$A1017=""),0,IF(COUNTIFS($A$5:$A1017,$A1017,$B$5:$B1017,$B1017)=1,1,0))</f>
        <v>0</v>
      </c>
    </row>
    <row r="1018" customFormat="false" ht="15" hidden="false" customHeight="false" outlineLevel="0" collapsed="false">
      <c r="A1018" s="17"/>
      <c r="B1018" s="13"/>
      <c r="C1018" s="20" t="str">
        <f aca="false">IF($B1018="","",IFERROR(INDEX(고객사!$B$5:$B$104,MATCH($B1018,고객사!$A$5:$A$104,0)),"코드 확인"))</f>
        <v/>
      </c>
      <c r="D1018" s="15"/>
      <c r="E1018" s="15"/>
      <c r="F1018" s="16"/>
      <c r="G1018" s="16"/>
      <c r="H1018" s="21" t="str">
        <f aca="false">IF(OR($B1018="",F1018=0),"",G1018/F1018)</f>
        <v/>
      </c>
      <c r="I1018" s="22" t="str">
        <f aca="false">IF($B1018="","",MAX(F1018-G1018,0))</f>
        <v/>
      </c>
      <c r="J1018" s="23" t="str">
        <f aca="false">IF($B1018="","",IFERROR(INDEX(고객사!$G$5:$G$104,MATCH($B1018,고객사!$A$5:$A$104,0)),""))</f>
        <v/>
      </c>
      <c r="K1018" s="16"/>
      <c r="L1018" s="22" t="str">
        <f aca="false">IF($B1018="","",K1018*IFERROR(INDEX(고객사!$L$5:$L$104,MATCH($B1018,고객사!$A$5:$A$104,0)),0))</f>
        <v/>
      </c>
      <c r="M1018" s="23" t="str">
        <f aca="false">IF($B1018="","",IF(AND(J1018="N",G1018&gt;0,K1018=0,IFERROR(INDEX(고객사!$H$5:$H$104,MATCH($B1018,고객사!$A$5:$A$104,0)),"")="자사 차량 운행"),"차량 미배정",""))</f>
        <v/>
      </c>
      <c r="N1018" s="22" t="str">
        <f aca="false">IF($B1018="","",IFERROR(INDEX(고객사!$J$5:$J$104,MATCH($B1018,고객사!$A$5:$A$104,0)),0))</f>
        <v/>
      </c>
      <c r="O1018" s="22" t="str">
        <f aca="false">IF($B1018="","",G1018*N1018)</f>
        <v/>
      </c>
      <c r="P1018" s="22" t="str">
        <f aca="false">IF($B1018="","",IFERROR(INDEX(고객사!$K$5:$K$104,MATCH($B1018,고객사!$A$5:$A$104,0)),0))</f>
        <v/>
      </c>
      <c r="Q1018" s="22" t="str">
        <f aca="false">IF($B1018="","",G1018*P1018)</f>
        <v/>
      </c>
      <c r="R1018" s="22" t="str">
        <f aca="false">IF($B1018="","",O1018-Q1018-L1018)</f>
        <v/>
      </c>
      <c r="S1018" s="21" t="str">
        <f aca="false">IF(OR($B1018="",N(O1018)=0),"",R1018/O1018)</f>
        <v/>
      </c>
      <c r="T1018" s="14"/>
      <c r="U1018" s="19" t="n">
        <f aca="false">IF(OR($B1018="",$A1018=""),0,IF(COUNTIFS($A$5:$A1018,$A1018,$B$5:$B1018,$B1018)=1,1,0))</f>
        <v>0</v>
      </c>
    </row>
    <row r="1019" customFormat="false" ht="15" hidden="false" customHeight="false" outlineLevel="0" collapsed="false">
      <c r="A1019" s="17"/>
      <c r="B1019" s="13"/>
      <c r="C1019" s="20" t="str">
        <f aca="false">IF($B1019="","",IFERROR(INDEX(고객사!$B$5:$B$104,MATCH($B1019,고객사!$A$5:$A$104,0)),"코드 확인"))</f>
        <v/>
      </c>
      <c r="D1019" s="15"/>
      <c r="E1019" s="15"/>
      <c r="F1019" s="16"/>
      <c r="G1019" s="16"/>
      <c r="H1019" s="21" t="str">
        <f aca="false">IF(OR($B1019="",F1019=0),"",G1019/F1019)</f>
        <v/>
      </c>
      <c r="I1019" s="22" t="str">
        <f aca="false">IF($B1019="","",MAX(F1019-G1019,0))</f>
        <v/>
      </c>
      <c r="J1019" s="23" t="str">
        <f aca="false">IF($B1019="","",IFERROR(INDEX(고객사!$G$5:$G$104,MATCH($B1019,고객사!$A$5:$A$104,0)),""))</f>
        <v/>
      </c>
      <c r="K1019" s="16"/>
      <c r="L1019" s="22" t="str">
        <f aca="false">IF($B1019="","",K1019*IFERROR(INDEX(고객사!$L$5:$L$104,MATCH($B1019,고객사!$A$5:$A$104,0)),0))</f>
        <v/>
      </c>
      <c r="M1019" s="23" t="str">
        <f aca="false">IF($B1019="","",IF(AND(J1019="N",G1019&gt;0,K1019=0,IFERROR(INDEX(고객사!$H$5:$H$104,MATCH($B1019,고객사!$A$5:$A$104,0)),"")="자사 차량 운행"),"차량 미배정",""))</f>
        <v/>
      </c>
      <c r="N1019" s="22" t="str">
        <f aca="false">IF($B1019="","",IFERROR(INDEX(고객사!$J$5:$J$104,MATCH($B1019,고객사!$A$5:$A$104,0)),0))</f>
        <v/>
      </c>
      <c r="O1019" s="22" t="str">
        <f aca="false">IF($B1019="","",G1019*N1019)</f>
        <v/>
      </c>
      <c r="P1019" s="22" t="str">
        <f aca="false">IF($B1019="","",IFERROR(INDEX(고객사!$K$5:$K$104,MATCH($B1019,고객사!$A$5:$A$104,0)),0))</f>
        <v/>
      </c>
      <c r="Q1019" s="22" t="str">
        <f aca="false">IF($B1019="","",G1019*P1019)</f>
        <v/>
      </c>
      <c r="R1019" s="22" t="str">
        <f aca="false">IF($B1019="","",O1019-Q1019-L1019)</f>
        <v/>
      </c>
      <c r="S1019" s="21" t="str">
        <f aca="false">IF(OR($B1019="",N(O1019)=0),"",R1019/O1019)</f>
        <v/>
      </c>
      <c r="T1019" s="14"/>
      <c r="U1019" s="19" t="n">
        <f aca="false">IF(OR($B1019="",$A1019=""),0,IF(COUNTIFS($A$5:$A1019,$A1019,$B$5:$B1019,$B1019)=1,1,0))</f>
        <v>0</v>
      </c>
    </row>
    <row r="1020" customFormat="false" ht="15" hidden="false" customHeight="false" outlineLevel="0" collapsed="false">
      <c r="A1020" s="17"/>
      <c r="B1020" s="13"/>
      <c r="C1020" s="20" t="str">
        <f aca="false">IF($B1020="","",IFERROR(INDEX(고객사!$B$5:$B$104,MATCH($B1020,고객사!$A$5:$A$104,0)),"코드 확인"))</f>
        <v/>
      </c>
      <c r="D1020" s="15"/>
      <c r="E1020" s="15"/>
      <c r="F1020" s="16"/>
      <c r="G1020" s="16"/>
      <c r="H1020" s="21" t="str">
        <f aca="false">IF(OR($B1020="",F1020=0),"",G1020/F1020)</f>
        <v/>
      </c>
      <c r="I1020" s="22" t="str">
        <f aca="false">IF($B1020="","",MAX(F1020-G1020,0))</f>
        <v/>
      </c>
      <c r="J1020" s="23" t="str">
        <f aca="false">IF($B1020="","",IFERROR(INDEX(고객사!$G$5:$G$104,MATCH($B1020,고객사!$A$5:$A$104,0)),""))</f>
        <v/>
      </c>
      <c r="K1020" s="16"/>
      <c r="L1020" s="22" t="str">
        <f aca="false">IF($B1020="","",K1020*IFERROR(INDEX(고객사!$L$5:$L$104,MATCH($B1020,고객사!$A$5:$A$104,0)),0))</f>
        <v/>
      </c>
      <c r="M1020" s="23" t="str">
        <f aca="false">IF($B1020="","",IF(AND(J1020="N",G1020&gt;0,K1020=0,IFERROR(INDEX(고객사!$H$5:$H$104,MATCH($B1020,고객사!$A$5:$A$104,0)),"")="자사 차량 운행"),"차량 미배정",""))</f>
        <v/>
      </c>
      <c r="N1020" s="22" t="str">
        <f aca="false">IF($B1020="","",IFERROR(INDEX(고객사!$J$5:$J$104,MATCH($B1020,고객사!$A$5:$A$104,0)),0))</f>
        <v/>
      </c>
      <c r="O1020" s="22" t="str">
        <f aca="false">IF($B1020="","",G1020*N1020)</f>
        <v/>
      </c>
      <c r="P1020" s="22" t="str">
        <f aca="false">IF($B1020="","",IFERROR(INDEX(고객사!$K$5:$K$104,MATCH($B1020,고객사!$A$5:$A$104,0)),0))</f>
        <v/>
      </c>
      <c r="Q1020" s="22" t="str">
        <f aca="false">IF($B1020="","",G1020*P1020)</f>
        <v/>
      </c>
      <c r="R1020" s="22" t="str">
        <f aca="false">IF($B1020="","",O1020-Q1020-L1020)</f>
        <v/>
      </c>
      <c r="S1020" s="21" t="str">
        <f aca="false">IF(OR($B1020="",N(O1020)=0),"",R1020/O1020)</f>
        <v/>
      </c>
      <c r="T1020" s="14"/>
      <c r="U1020" s="19" t="n">
        <f aca="false">IF(OR($B1020="",$A1020=""),0,IF(COUNTIFS($A$5:$A1020,$A1020,$B$5:$B1020,$B1020)=1,1,0))</f>
        <v>0</v>
      </c>
    </row>
    <row r="1021" customFormat="false" ht="15" hidden="false" customHeight="false" outlineLevel="0" collapsed="false">
      <c r="A1021" s="17"/>
      <c r="B1021" s="13"/>
      <c r="C1021" s="20" t="str">
        <f aca="false">IF($B1021="","",IFERROR(INDEX(고객사!$B$5:$B$104,MATCH($B1021,고객사!$A$5:$A$104,0)),"코드 확인"))</f>
        <v/>
      </c>
      <c r="D1021" s="15"/>
      <c r="E1021" s="15"/>
      <c r="F1021" s="16"/>
      <c r="G1021" s="16"/>
      <c r="H1021" s="21" t="str">
        <f aca="false">IF(OR($B1021="",F1021=0),"",G1021/F1021)</f>
        <v/>
      </c>
      <c r="I1021" s="22" t="str">
        <f aca="false">IF($B1021="","",MAX(F1021-G1021,0))</f>
        <v/>
      </c>
      <c r="J1021" s="23" t="str">
        <f aca="false">IF($B1021="","",IFERROR(INDEX(고객사!$G$5:$G$104,MATCH($B1021,고객사!$A$5:$A$104,0)),""))</f>
        <v/>
      </c>
      <c r="K1021" s="16"/>
      <c r="L1021" s="22" t="str">
        <f aca="false">IF($B1021="","",K1021*IFERROR(INDEX(고객사!$L$5:$L$104,MATCH($B1021,고객사!$A$5:$A$104,0)),0))</f>
        <v/>
      </c>
      <c r="M1021" s="23" t="str">
        <f aca="false">IF($B1021="","",IF(AND(J1021="N",G1021&gt;0,K1021=0,IFERROR(INDEX(고객사!$H$5:$H$104,MATCH($B1021,고객사!$A$5:$A$104,0)),"")="자사 차량 운행"),"차량 미배정",""))</f>
        <v/>
      </c>
      <c r="N1021" s="22" t="str">
        <f aca="false">IF($B1021="","",IFERROR(INDEX(고객사!$J$5:$J$104,MATCH($B1021,고객사!$A$5:$A$104,0)),0))</f>
        <v/>
      </c>
      <c r="O1021" s="22" t="str">
        <f aca="false">IF($B1021="","",G1021*N1021)</f>
        <v/>
      </c>
      <c r="P1021" s="22" t="str">
        <f aca="false">IF($B1021="","",IFERROR(INDEX(고객사!$K$5:$K$104,MATCH($B1021,고객사!$A$5:$A$104,0)),0))</f>
        <v/>
      </c>
      <c r="Q1021" s="22" t="str">
        <f aca="false">IF($B1021="","",G1021*P1021)</f>
        <v/>
      </c>
      <c r="R1021" s="22" t="str">
        <f aca="false">IF($B1021="","",O1021-Q1021-L1021)</f>
        <v/>
      </c>
      <c r="S1021" s="21" t="str">
        <f aca="false">IF(OR($B1021="",N(O1021)=0),"",R1021/O1021)</f>
        <v/>
      </c>
      <c r="T1021" s="14"/>
      <c r="U1021" s="19" t="n">
        <f aca="false">IF(OR($B1021="",$A1021=""),0,IF(COUNTIFS($A$5:$A1021,$A1021,$B$5:$B1021,$B1021)=1,1,0))</f>
        <v>0</v>
      </c>
    </row>
    <row r="1022" customFormat="false" ht="15" hidden="false" customHeight="false" outlineLevel="0" collapsed="false">
      <c r="A1022" s="17"/>
      <c r="B1022" s="13"/>
      <c r="C1022" s="20" t="str">
        <f aca="false">IF($B1022="","",IFERROR(INDEX(고객사!$B$5:$B$104,MATCH($B1022,고객사!$A$5:$A$104,0)),"코드 확인"))</f>
        <v/>
      </c>
      <c r="D1022" s="15"/>
      <c r="E1022" s="15"/>
      <c r="F1022" s="16"/>
      <c r="G1022" s="16"/>
      <c r="H1022" s="21" t="str">
        <f aca="false">IF(OR($B1022="",F1022=0),"",G1022/F1022)</f>
        <v/>
      </c>
      <c r="I1022" s="22" t="str">
        <f aca="false">IF($B1022="","",MAX(F1022-G1022,0))</f>
        <v/>
      </c>
      <c r="J1022" s="23" t="str">
        <f aca="false">IF($B1022="","",IFERROR(INDEX(고객사!$G$5:$G$104,MATCH($B1022,고객사!$A$5:$A$104,0)),""))</f>
        <v/>
      </c>
      <c r="K1022" s="16"/>
      <c r="L1022" s="22" t="str">
        <f aca="false">IF($B1022="","",K1022*IFERROR(INDEX(고객사!$L$5:$L$104,MATCH($B1022,고객사!$A$5:$A$104,0)),0))</f>
        <v/>
      </c>
      <c r="M1022" s="23" t="str">
        <f aca="false">IF($B1022="","",IF(AND(J1022="N",G1022&gt;0,K1022=0,IFERROR(INDEX(고객사!$H$5:$H$104,MATCH($B1022,고객사!$A$5:$A$104,0)),"")="자사 차량 운행"),"차량 미배정",""))</f>
        <v/>
      </c>
      <c r="N1022" s="22" t="str">
        <f aca="false">IF($B1022="","",IFERROR(INDEX(고객사!$J$5:$J$104,MATCH($B1022,고객사!$A$5:$A$104,0)),0))</f>
        <v/>
      </c>
      <c r="O1022" s="22" t="str">
        <f aca="false">IF($B1022="","",G1022*N1022)</f>
        <v/>
      </c>
      <c r="P1022" s="22" t="str">
        <f aca="false">IF($B1022="","",IFERROR(INDEX(고객사!$K$5:$K$104,MATCH($B1022,고객사!$A$5:$A$104,0)),0))</f>
        <v/>
      </c>
      <c r="Q1022" s="22" t="str">
        <f aca="false">IF($B1022="","",G1022*P1022)</f>
        <v/>
      </c>
      <c r="R1022" s="22" t="str">
        <f aca="false">IF($B1022="","",O1022-Q1022-L1022)</f>
        <v/>
      </c>
      <c r="S1022" s="21" t="str">
        <f aca="false">IF(OR($B1022="",N(O1022)=0),"",R1022/O1022)</f>
        <v/>
      </c>
      <c r="T1022" s="14"/>
      <c r="U1022" s="19" t="n">
        <f aca="false">IF(OR($B1022="",$A1022=""),0,IF(COUNTIFS($A$5:$A1022,$A1022,$B$5:$B1022,$B1022)=1,1,0))</f>
        <v>0</v>
      </c>
    </row>
    <row r="1023" customFormat="false" ht="15" hidden="false" customHeight="false" outlineLevel="0" collapsed="false">
      <c r="A1023" s="17"/>
      <c r="B1023" s="13"/>
      <c r="C1023" s="20" t="str">
        <f aca="false">IF($B1023="","",IFERROR(INDEX(고객사!$B$5:$B$104,MATCH($B1023,고객사!$A$5:$A$104,0)),"코드 확인"))</f>
        <v/>
      </c>
      <c r="D1023" s="15"/>
      <c r="E1023" s="15"/>
      <c r="F1023" s="16"/>
      <c r="G1023" s="16"/>
      <c r="H1023" s="21" t="str">
        <f aca="false">IF(OR($B1023="",F1023=0),"",G1023/F1023)</f>
        <v/>
      </c>
      <c r="I1023" s="22" t="str">
        <f aca="false">IF($B1023="","",MAX(F1023-G1023,0))</f>
        <v/>
      </c>
      <c r="J1023" s="23" t="str">
        <f aca="false">IF($B1023="","",IFERROR(INDEX(고객사!$G$5:$G$104,MATCH($B1023,고객사!$A$5:$A$104,0)),""))</f>
        <v/>
      </c>
      <c r="K1023" s="16"/>
      <c r="L1023" s="22" t="str">
        <f aca="false">IF($B1023="","",K1023*IFERROR(INDEX(고객사!$L$5:$L$104,MATCH($B1023,고객사!$A$5:$A$104,0)),0))</f>
        <v/>
      </c>
      <c r="M1023" s="23" t="str">
        <f aca="false">IF($B1023="","",IF(AND(J1023="N",G1023&gt;0,K1023=0,IFERROR(INDEX(고객사!$H$5:$H$104,MATCH($B1023,고객사!$A$5:$A$104,0)),"")="자사 차량 운행"),"차량 미배정",""))</f>
        <v/>
      </c>
      <c r="N1023" s="22" t="str">
        <f aca="false">IF($B1023="","",IFERROR(INDEX(고객사!$J$5:$J$104,MATCH($B1023,고객사!$A$5:$A$104,0)),0))</f>
        <v/>
      </c>
      <c r="O1023" s="22" t="str">
        <f aca="false">IF($B1023="","",G1023*N1023)</f>
        <v/>
      </c>
      <c r="P1023" s="22" t="str">
        <f aca="false">IF($B1023="","",IFERROR(INDEX(고객사!$K$5:$K$104,MATCH($B1023,고객사!$A$5:$A$104,0)),0))</f>
        <v/>
      </c>
      <c r="Q1023" s="22" t="str">
        <f aca="false">IF($B1023="","",G1023*P1023)</f>
        <v/>
      </c>
      <c r="R1023" s="22" t="str">
        <f aca="false">IF($B1023="","",O1023-Q1023-L1023)</f>
        <v/>
      </c>
      <c r="S1023" s="21" t="str">
        <f aca="false">IF(OR($B1023="",N(O1023)=0),"",R1023/O1023)</f>
        <v/>
      </c>
      <c r="T1023" s="14"/>
      <c r="U1023" s="19" t="n">
        <f aca="false">IF(OR($B1023="",$A1023=""),0,IF(COUNTIFS($A$5:$A1023,$A1023,$B$5:$B1023,$B1023)=1,1,0))</f>
        <v>0</v>
      </c>
    </row>
    <row r="1024" customFormat="false" ht="15" hidden="false" customHeight="false" outlineLevel="0" collapsed="false">
      <c r="A1024" s="17"/>
      <c r="B1024" s="13"/>
      <c r="C1024" s="20" t="str">
        <f aca="false">IF($B1024="","",IFERROR(INDEX(고객사!$B$5:$B$104,MATCH($B1024,고객사!$A$5:$A$104,0)),"코드 확인"))</f>
        <v/>
      </c>
      <c r="D1024" s="15"/>
      <c r="E1024" s="15"/>
      <c r="F1024" s="16"/>
      <c r="G1024" s="16"/>
      <c r="H1024" s="21" t="str">
        <f aca="false">IF(OR($B1024="",F1024=0),"",G1024/F1024)</f>
        <v/>
      </c>
      <c r="I1024" s="22" t="str">
        <f aca="false">IF($B1024="","",MAX(F1024-G1024,0))</f>
        <v/>
      </c>
      <c r="J1024" s="23" t="str">
        <f aca="false">IF($B1024="","",IFERROR(INDEX(고객사!$G$5:$G$104,MATCH($B1024,고객사!$A$5:$A$104,0)),""))</f>
        <v/>
      </c>
      <c r="K1024" s="16"/>
      <c r="L1024" s="22" t="str">
        <f aca="false">IF($B1024="","",K1024*IFERROR(INDEX(고객사!$L$5:$L$104,MATCH($B1024,고객사!$A$5:$A$104,0)),0))</f>
        <v/>
      </c>
      <c r="M1024" s="23" t="str">
        <f aca="false">IF($B1024="","",IF(AND(J1024="N",G1024&gt;0,K1024=0,IFERROR(INDEX(고객사!$H$5:$H$104,MATCH($B1024,고객사!$A$5:$A$104,0)),"")="자사 차량 운행"),"차량 미배정",""))</f>
        <v/>
      </c>
      <c r="N1024" s="22" t="str">
        <f aca="false">IF($B1024="","",IFERROR(INDEX(고객사!$J$5:$J$104,MATCH($B1024,고객사!$A$5:$A$104,0)),0))</f>
        <v/>
      </c>
      <c r="O1024" s="22" t="str">
        <f aca="false">IF($B1024="","",G1024*N1024)</f>
        <v/>
      </c>
      <c r="P1024" s="22" t="str">
        <f aca="false">IF($B1024="","",IFERROR(INDEX(고객사!$K$5:$K$104,MATCH($B1024,고객사!$A$5:$A$104,0)),0))</f>
        <v/>
      </c>
      <c r="Q1024" s="22" t="str">
        <f aca="false">IF($B1024="","",G1024*P1024)</f>
        <v/>
      </c>
      <c r="R1024" s="22" t="str">
        <f aca="false">IF($B1024="","",O1024-Q1024-L1024)</f>
        <v/>
      </c>
      <c r="S1024" s="21" t="str">
        <f aca="false">IF(OR($B1024="",N(O1024)=0),"",R1024/O1024)</f>
        <v/>
      </c>
      <c r="T1024" s="14"/>
      <c r="U1024" s="19" t="n">
        <f aca="false">IF(OR($B1024="",$A1024=""),0,IF(COUNTIFS($A$5:$A1024,$A1024,$B$5:$B1024,$B1024)=1,1,0))</f>
        <v>0</v>
      </c>
    </row>
    <row r="1025" customFormat="false" ht="15" hidden="false" customHeight="false" outlineLevel="0" collapsed="false">
      <c r="A1025" s="17"/>
      <c r="B1025" s="13"/>
      <c r="C1025" s="20" t="str">
        <f aca="false">IF($B1025="","",IFERROR(INDEX(고객사!$B$5:$B$104,MATCH($B1025,고객사!$A$5:$A$104,0)),"코드 확인"))</f>
        <v/>
      </c>
      <c r="D1025" s="15"/>
      <c r="E1025" s="15"/>
      <c r="F1025" s="16"/>
      <c r="G1025" s="16"/>
      <c r="H1025" s="21" t="str">
        <f aca="false">IF(OR($B1025="",F1025=0),"",G1025/F1025)</f>
        <v/>
      </c>
      <c r="I1025" s="22" t="str">
        <f aca="false">IF($B1025="","",MAX(F1025-G1025,0))</f>
        <v/>
      </c>
      <c r="J1025" s="23" t="str">
        <f aca="false">IF($B1025="","",IFERROR(INDEX(고객사!$G$5:$G$104,MATCH($B1025,고객사!$A$5:$A$104,0)),""))</f>
        <v/>
      </c>
      <c r="K1025" s="16"/>
      <c r="L1025" s="22" t="str">
        <f aca="false">IF($B1025="","",K1025*IFERROR(INDEX(고객사!$L$5:$L$104,MATCH($B1025,고객사!$A$5:$A$104,0)),0))</f>
        <v/>
      </c>
      <c r="M1025" s="23" t="str">
        <f aca="false">IF($B1025="","",IF(AND(J1025="N",G1025&gt;0,K1025=0,IFERROR(INDEX(고객사!$H$5:$H$104,MATCH($B1025,고객사!$A$5:$A$104,0)),"")="자사 차량 운행"),"차량 미배정",""))</f>
        <v/>
      </c>
      <c r="N1025" s="22" t="str">
        <f aca="false">IF($B1025="","",IFERROR(INDEX(고객사!$J$5:$J$104,MATCH($B1025,고객사!$A$5:$A$104,0)),0))</f>
        <v/>
      </c>
      <c r="O1025" s="22" t="str">
        <f aca="false">IF($B1025="","",G1025*N1025)</f>
        <v/>
      </c>
      <c r="P1025" s="22" t="str">
        <f aca="false">IF($B1025="","",IFERROR(INDEX(고객사!$K$5:$K$104,MATCH($B1025,고객사!$A$5:$A$104,0)),0))</f>
        <v/>
      </c>
      <c r="Q1025" s="22" t="str">
        <f aca="false">IF($B1025="","",G1025*P1025)</f>
        <v/>
      </c>
      <c r="R1025" s="22" t="str">
        <f aca="false">IF($B1025="","",O1025-Q1025-L1025)</f>
        <v/>
      </c>
      <c r="S1025" s="21" t="str">
        <f aca="false">IF(OR($B1025="",N(O1025)=0),"",R1025/O1025)</f>
        <v/>
      </c>
      <c r="T1025" s="14"/>
      <c r="U1025" s="19" t="n">
        <f aca="false">IF(OR($B1025="",$A1025=""),0,IF(COUNTIFS($A$5:$A1025,$A1025,$B$5:$B1025,$B1025)=1,1,0))</f>
        <v>0</v>
      </c>
    </row>
    <row r="1026" customFormat="false" ht="15" hidden="false" customHeight="false" outlineLevel="0" collapsed="false">
      <c r="A1026" s="17"/>
      <c r="B1026" s="13"/>
      <c r="C1026" s="20" t="str">
        <f aca="false">IF($B1026="","",IFERROR(INDEX(고객사!$B$5:$B$104,MATCH($B1026,고객사!$A$5:$A$104,0)),"코드 확인"))</f>
        <v/>
      </c>
      <c r="D1026" s="15"/>
      <c r="E1026" s="15"/>
      <c r="F1026" s="16"/>
      <c r="G1026" s="16"/>
      <c r="H1026" s="21" t="str">
        <f aca="false">IF(OR($B1026="",F1026=0),"",G1026/F1026)</f>
        <v/>
      </c>
      <c r="I1026" s="22" t="str">
        <f aca="false">IF($B1026="","",MAX(F1026-G1026,0))</f>
        <v/>
      </c>
      <c r="J1026" s="23" t="str">
        <f aca="false">IF($B1026="","",IFERROR(INDEX(고객사!$G$5:$G$104,MATCH($B1026,고객사!$A$5:$A$104,0)),""))</f>
        <v/>
      </c>
      <c r="K1026" s="16"/>
      <c r="L1026" s="22" t="str">
        <f aca="false">IF($B1026="","",K1026*IFERROR(INDEX(고객사!$L$5:$L$104,MATCH($B1026,고객사!$A$5:$A$104,0)),0))</f>
        <v/>
      </c>
      <c r="M1026" s="23" t="str">
        <f aca="false">IF($B1026="","",IF(AND(J1026="N",G1026&gt;0,K1026=0,IFERROR(INDEX(고객사!$H$5:$H$104,MATCH($B1026,고객사!$A$5:$A$104,0)),"")="자사 차량 운행"),"차량 미배정",""))</f>
        <v/>
      </c>
      <c r="N1026" s="22" t="str">
        <f aca="false">IF($B1026="","",IFERROR(INDEX(고객사!$J$5:$J$104,MATCH($B1026,고객사!$A$5:$A$104,0)),0))</f>
        <v/>
      </c>
      <c r="O1026" s="22" t="str">
        <f aca="false">IF($B1026="","",G1026*N1026)</f>
        <v/>
      </c>
      <c r="P1026" s="22" t="str">
        <f aca="false">IF($B1026="","",IFERROR(INDEX(고객사!$K$5:$K$104,MATCH($B1026,고객사!$A$5:$A$104,0)),0))</f>
        <v/>
      </c>
      <c r="Q1026" s="22" t="str">
        <f aca="false">IF($B1026="","",G1026*P1026)</f>
        <v/>
      </c>
      <c r="R1026" s="22" t="str">
        <f aca="false">IF($B1026="","",O1026-Q1026-L1026)</f>
        <v/>
      </c>
      <c r="S1026" s="21" t="str">
        <f aca="false">IF(OR($B1026="",N(O1026)=0),"",R1026/O1026)</f>
        <v/>
      </c>
      <c r="T1026" s="14"/>
      <c r="U1026" s="19" t="n">
        <f aca="false">IF(OR($B1026="",$A1026=""),0,IF(COUNTIFS($A$5:$A1026,$A1026,$B$5:$B1026,$B1026)=1,1,0))</f>
        <v>0</v>
      </c>
    </row>
    <row r="1027" customFormat="false" ht="15" hidden="false" customHeight="false" outlineLevel="0" collapsed="false">
      <c r="A1027" s="17"/>
      <c r="B1027" s="13"/>
      <c r="C1027" s="20" t="str">
        <f aca="false">IF($B1027="","",IFERROR(INDEX(고객사!$B$5:$B$104,MATCH($B1027,고객사!$A$5:$A$104,0)),"코드 확인"))</f>
        <v/>
      </c>
      <c r="D1027" s="15"/>
      <c r="E1027" s="15"/>
      <c r="F1027" s="16"/>
      <c r="G1027" s="16"/>
      <c r="H1027" s="21" t="str">
        <f aca="false">IF(OR($B1027="",F1027=0),"",G1027/F1027)</f>
        <v/>
      </c>
      <c r="I1027" s="22" t="str">
        <f aca="false">IF($B1027="","",MAX(F1027-G1027,0))</f>
        <v/>
      </c>
      <c r="J1027" s="23" t="str">
        <f aca="false">IF($B1027="","",IFERROR(INDEX(고객사!$G$5:$G$104,MATCH($B1027,고객사!$A$5:$A$104,0)),""))</f>
        <v/>
      </c>
      <c r="K1027" s="16"/>
      <c r="L1027" s="22" t="str">
        <f aca="false">IF($B1027="","",K1027*IFERROR(INDEX(고객사!$L$5:$L$104,MATCH($B1027,고객사!$A$5:$A$104,0)),0))</f>
        <v/>
      </c>
      <c r="M1027" s="23" t="str">
        <f aca="false">IF($B1027="","",IF(AND(J1027="N",G1027&gt;0,K1027=0,IFERROR(INDEX(고객사!$H$5:$H$104,MATCH($B1027,고객사!$A$5:$A$104,0)),"")="자사 차량 운행"),"차량 미배정",""))</f>
        <v/>
      </c>
      <c r="N1027" s="22" t="str">
        <f aca="false">IF($B1027="","",IFERROR(INDEX(고객사!$J$5:$J$104,MATCH($B1027,고객사!$A$5:$A$104,0)),0))</f>
        <v/>
      </c>
      <c r="O1027" s="22" t="str">
        <f aca="false">IF($B1027="","",G1027*N1027)</f>
        <v/>
      </c>
      <c r="P1027" s="22" t="str">
        <f aca="false">IF($B1027="","",IFERROR(INDEX(고객사!$K$5:$K$104,MATCH($B1027,고객사!$A$5:$A$104,0)),0))</f>
        <v/>
      </c>
      <c r="Q1027" s="22" t="str">
        <f aca="false">IF($B1027="","",G1027*P1027)</f>
        <v/>
      </c>
      <c r="R1027" s="22" t="str">
        <f aca="false">IF($B1027="","",O1027-Q1027-L1027)</f>
        <v/>
      </c>
      <c r="S1027" s="21" t="str">
        <f aca="false">IF(OR($B1027="",N(O1027)=0),"",R1027/O1027)</f>
        <v/>
      </c>
      <c r="T1027" s="14"/>
      <c r="U1027" s="19" t="n">
        <f aca="false">IF(OR($B1027="",$A1027=""),0,IF(COUNTIFS($A$5:$A1027,$A1027,$B$5:$B1027,$B1027)=1,1,0))</f>
        <v>0</v>
      </c>
    </row>
    <row r="1028" customFormat="false" ht="15" hidden="false" customHeight="false" outlineLevel="0" collapsed="false">
      <c r="A1028" s="17"/>
      <c r="B1028" s="13"/>
      <c r="C1028" s="20" t="str">
        <f aca="false">IF($B1028="","",IFERROR(INDEX(고객사!$B$5:$B$104,MATCH($B1028,고객사!$A$5:$A$104,0)),"코드 확인"))</f>
        <v/>
      </c>
      <c r="D1028" s="15"/>
      <c r="E1028" s="15"/>
      <c r="F1028" s="16"/>
      <c r="G1028" s="16"/>
      <c r="H1028" s="21" t="str">
        <f aca="false">IF(OR($B1028="",F1028=0),"",G1028/F1028)</f>
        <v/>
      </c>
      <c r="I1028" s="22" t="str">
        <f aca="false">IF($B1028="","",MAX(F1028-G1028,0))</f>
        <v/>
      </c>
      <c r="J1028" s="23" t="str">
        <f aca="false">IF($B1028="","",IFERROR(INDEX(고객사!$G$5:$G$104,MATCH($B1028,고객사!$A$5:$A$104,0)),""))</f>
        <v/>
      </c>
      <c r="K1028" s="16"/>
      <c r="L1028" s="22" t="str">
        <f aca="false">IF($B1028="","",K1028*IFERROR(INDEX(고객사!$L$5:$L$104,MATCH($B1028,고객사!$A$5:$A$104,0)),0))</f>
        <v/>
      </c>
      <c r="M1028" s="23" t="str">
        <f aca="false">IF($B1028="","",IF(AND(J1028="N",G1028&gt;0,K1028=0,IFERROR(INDEX(고객사!$H$5:$H$104,MATCH($B1028,고객사!$A$5:$A$104,0)),"")="자사 차량 운행"),"차량 미배정",""))</f>
        <v/>
      </c>
      <c r="N1028" s="22" t="str">
        <f aca="false">IF($B1028="","",IFERROR(INDEX(고객사!$J$5:$J$104,MATCH($B1028,고객사!$A$5:$A$104,0)),0))</f>
        <v/>
      </c>
      <c r="O1028" s="22" t="str">
        <f aca="false">IF($B1028="","",G1028*N1028)</f>
        <v/>
      </c>
      <c r="P1028" s="22" t="str">
        <f aca="false">IF($B1028="","",IFERROR(INDEX(고객사!$K$5:$K$104,MATCH($B1028,고객사!$A$5:$A$104,0)),0))</f>
        <v/>
      </c>
      <c r="Q1028" s="22" t="str">
        <f aca="false">IF($B1028="","",G1028*P1028)</f>
        <v/>
      </c>
      <c r="R1028" s="22" t="str">
        <f aca="false">IF($B1028="","",O1028-Q1028-L1028)</f>
        <v/>
      </c>
      <c r="S1028" s="21" t="str">
        <f aca="false">IF(OR($B1028="",N(O1028)=0),"",R1028/O1028)</f>
        <v/>
      </c>
      <c r="T1028" s="14"/>
      <c r="U1028" s="19" t="n">
        <f aca="false">IF(OR($B1028="",$A1028=""),0,IF(COUNTIFS($A$5:$A1028,$A1028,$B$5:$B1028,$B1028)=1,1,0))</f>
        <v>0</v>
      </c>
    </row>
    <row r="1029" customFormat="false" ht="15" hidden="false" customHeight="false" outlineLevel="0" collapsed="false">
      <c r="A1029" s="17"/>
      <c r="B1029" s="13"/>
      <c r="C1029" s="20" t="str">
        <f aca="false">IF($B1029="","",IFERROR(INDEX(고객사!$B$5:$B$104,MATCH($B1029,고객사!$A$5:$A$104,0)),"코드 확인"))</f>
        <v/>
      </c>
      <c r="D1029" s="15"/>
      <c r="E1029" s="15"/>
      <c r="F1029" s="16"/>
      <c r="G1029" s="16"/>
      <c r="H1029" s="21" t="str">
        <f aca="false">IF(OR($B1029="",F1029=0),"",G1029/F1029)</f>
        <v/>
      </c>
      <c r="I1029" s="22" t="str">
        <f aca="false">IF($B1029="","",MAX(F1029-G1029,0))</f>
        <v/>
      </c>
      <c r="J1029" s="23" t="str">
        <f aca="false">IF($B1029="","",IFERROR(INDEX(고객사!$G$5:$G$104,MATCH($B1029,고객사!$A$5:$A$104,0)),""))</f>
        <v/>
      </c>
      <c r="K1029" s="16"/>
      <c r="L1029" s="22" t="str">
        <f aca="false">IF($B1029="","",K1029*IFERROR(INDEX(고객사!$L$5:$L$104,MATCH($B1029,고객사!$A$5:$A$104,0)),0))</f>
        <v/>
      </c>
      <c r="M1029" s="23" t="str">
        <f aca="false">IF($B1029="","",IF(AND(J1029="N",G1029&gt;0,K1029=0,IFERROR(INDEX(고객사!$H$5:$H$104,MATCH($B1029,고객사!$A$5:$A$104,0)),"")="자사 차량 운행"),"차량 미배정",""))</f>
        <v/>
      </c>
      <c r="N1029" s="22" t="str">
        <f aca="false">IF($B1029="","",IFERROR(INDEX(고객사!$J$5:$J$104,MATCH($B1029,고객사!$A$5:$A$104,0)),0))</f>
        <v/>
      </c>
      <c r="O1029" s="22" t="str">
        <f aca="false">IF($B1029="","",G1029*N1029)</f>
        <v/>
      </c>
      <c r="P1029" s="22" t="str">
        <f aca="false">IF($B1029="","",IFERROR(INDEX(고객사!$K$5:$K$104,MATCH($B1029,고객사!$A$5:$A$104,0)),0))</f>
        <v/>
      </c>
      <c r="Q1029" s="22" t="str">
        <f aca="false">IF($B1029="","",G1029*P1029)</f>
        <v/>
      </c>
      <c r="R1029" s="22" t="str">
        <f aca="false">IF($B1029="","",O1029-Q1029-L1029)</f>
        <v/>
      </c>
      <c r="S1029" s="21" t="str">
        <f aca="false">IF(OR($B1029="",N(O1029)=0),"",R1029/O1029)</f>
        <v/>
      </c>
      <c r="T1029" s="14"/>
      <c r="U1029" s="19" t="n">
        <f aca="false">IF(OR($B1029="",$A1029=""),0,IF(COUNTIFS($A$5:$A1029,$A1029,$B$5:$B1029,$B1029)=1,1,0))</f>
        <v>0</v>
      </c>
    </row>
    <row r="1030" customFormat="false" ht="15" hidden="false" customHeight="false" outlineLevel="0" collapsed="false">
      <c r="A1030" s="17"/>
      <c r="B1030" s="13"/>
      <c r="C1030" s="20" t="str">
        <f aca="false">IF($B1030="","",IFERROR(INDEX(고객사!$B$5:$B$104,MATCH($B1030,고객사!$A$5:$A$104,0)),"코드 확인"))</f>
        <v/>
      </c>
      <c r="D1030" s="15"/>
      <c r="E1030" s="15"/>
      <c r="F1030" s="16"/>
      <c r="G1030" s="16"/>
      <c r="H1030" s="21" t="str">
        <f aca="false">IF(OR($B1030="",F1030=0),"",G1030/F1030)</f>
        <v/>
      </c>
      <c r="I1030" s="22" t="str">
        <f aca="false">IF($B1030="","",MAX(F1030-G1030,0))</f>
        <v/>
      </c>
      <c r="J1030" s="23" t="str">
        <f aca="false">IF($B1030="","",IFERROR(INDEX(고객사!$G$5:$G$104,MATCH($B1030,고객사!$A$5:$A$104,0)),""))</f>
        <v/>
      </c>
      <c r="K1030" s="16"/>
      <c r="L1030" s="22" t="str">
        <f aca="false">IF($B1030="","",K1030*IFERROR(INDEX(고객사!$L$5:$L$104,MATCH($B1030,고객사!$A$5:$A$104,0)),0))</f>
        <v/>
      </c>
      <c r="M1030" s="23" t="str">
        <f aca="false">IF($B1030="","",IF(AND(J1030="N",G1030&gt;0,K1030=0,IFERROR(INDEX(고객사!$H$5:$H$104,MATCH($B1030,고객사!$A$5:$A$104,0)),"")="자사 차량 운행"),"차량 미배정",""))</f>
        <v/>
      </c>
      <c r="N1030" s="22" t="str">
        <f aca="false">IF($B1030="","",IFERROR(INDEX(고객사!$J$5:$J$104,MATCH($B1030,고객사!$A$5:$A$104,0)),0))</f>
        <v/>
      </c>
      <c r="O1030" s="22" t="str">
        <f aca="false">IF($B1030="","",G1030*N1030)</f>
        <v/>
      </c>
      <c r="P1030" s="22" t="str">
        <f aca="false">IF($B1030="","",IFERROR(INDEX(고객사!$K$5:$K$104,MATCH($B1030,고객사!$A$5:$A$104,0)),0))</f>
        <v/>
      </c>
      <c r="Q1030" s="22" t="str">
        <f aca="false">IF($B1030="","",G1030*P1030)</f>
        <v/>
      </c>
      <c r="R1030" s="22" t="str">
        <f aca="false">IF($B1030="","",O1030-Q1030-L1030)</f>
        <v/>
      </c>
      <c r="S1030" s="21" t="str">
        <f aca="false">IF(OR($B1030="",N(O1030)=0),"",R1030/O1030)</f>
        <v/>
      </c>
      <c r="T1030" s="14"/>
      <c r="U1030" s="19" t="n">
        <f aca="false">IF(OR($B1030="",$A1030=""),0,IF(COUNTIFS($A$5:$A1030,$A1030,$B$5:$B1030,$B1030)=1,1,0))</f>
        <v>0</v>
      </c>
    </row>
    <row r="1031" customFormat="false" ht="15" hidden="false" customHeight="false" outlineLevel="0" collapsed="false">
      <c r="A1031" s="17"/>
      <c r="B1031" s="13"/>
      <c r="C1031" s="20" t="str">
        <f aca="false">IF($B1031="","",IFERROR(INDEX(고객사!$B$5:$B$104,MATCH($B1031,고객사!$A$5:$A$104,0)),"코드 확인"))</f>
        <v/>
      </c>
      <c r="D1031" s="15"/>
      <c r="E1031" s="15"/>
      <c r="F1031" s="16"/>
      <c r="G1031" s="16"/>
      <c r="H1031" s="21" t="str">
        <f aca="false">IF(OR($B1031="",F1031=0),"",G1031/F1031)</f>
        <v/>
      </c>
      <c r="I1031" s="22" t="str">
        <f aca="false">IF($B1031="","",MAX(F1031-G1031,0))</f>
        <v/>
      </c>
      <c r="J1031" s="23" t="str">
        <f aca="false">IF($B1031="","",IFERROR(INDEX(고객사!$G$5:$G$104,MATCH($B1031,고객사!$A$5:$A$104,0)),""))</f>
        <v/>
      </c>
      <c r="K1031" s="16"/>
      <c r="L1031" s="22" t="str">
        <f aca="false">IF($B1031="","",K1031*IFERROR(INDEX(고객사!$L$5:$L$104,MATCH($B1031,고객사!$A$5:$A$104,0)),0))</f>
        <v/>
      </c>
      <c r="M1031" s="23" t="str">
        <f aca="false">IF($B1031="","",IF(AND(J1031="N",G1031&gt;0,K1031=0,IFERROR(INDEX(고객사!$H$5:$H$104,MATCH($B1031,고객사!$A$5:$A$104,0)),"")="자사 차량 운행"),"차량 미배정",""))</f>
        <v/>
      </c>
      <c r="N1031" s="22" t="str">
        <f aca="false">IF($B1031="","",IFERROR(INDEX(고객사!$J$5:$J$104,MATCH($B1031,고객사!$A$5:$A$104,0)),0))</f>
        <v/>
      </c>
      <c r="O1031" s="22" t="str">
        <f aca="false">IF($B1031="","",G1031*N1031)</f>
        <v/>
      </c>
      <c r="P1031" s="22" t="str">
        <f aca="false">IF($B1031="","",IFERROR(INDEX(고객사!$K$5:$K$104,MATCH($B1031,고객사!$A$5:$A$104,0)),0))</f>
        <v/>
      </c>
      <c r="Q1031" s="22" t="str">
        <f aca="false">IF($B1031="","",G1031*P1031)</f>
        <v/>
      </c>
      <c r="R1031" s="22" t="str">
        <f aca="false">IF($B1031="","",O1031-Q1031-L1031)</f>
        <v/>
      </c>
      <c r="S1031" s="21" t="str">
        <f aca="false">IF(OR($B1031="",N(O1031)=0),"",R1031/O1031)</f>
        <v/>
      </c>
      <c r="T1031" s="14"/>
      <c r="U1031" s="19" t="n">
        <f aca="false">IF(OR($B1031="",$A1031=""),0,IF(COUNTIFS($A$5:$A1031,$A1031,$B$5:$B1031,$B1031)=1,1,0))</f>
        <v>0</v>
      </c>
    </row>
    <row r="1032" customFormat="false" ht="15" hidden="false" customHeight="false" outlineLevel="0" collapsed="false">
      <c r="A1032" s="17"/>
      <c r="B1032" s="13"/>
      <c r="C1032" s="20" t="str">
        <f aca="false">IF($B1032="","",IFERROR(INDEX(고객사!$B$5:$B$104,MATCH($B1032,고객사!$A$5:$A$104,0)),"코드 확인"))</f>
        <v/>
      </c>
      <c r="D1032" s="15"/>
      <c r="E1032" s="15"/>
      <c r="F1032" s="16"/>
      <c r="G1032" s="16"/>
      <c r="H1032" s="21" t="str">
        <f aca="false">IF(OR($B1032="",F1032=0),"",G1032/F1032)</f>
        <v/>
      </c>
      <c r="I1032" s="22" t="str">
        <f aca="false">IF($B1032="","",MAX(F1032-G1032,0))</f>
        <v/>
      </c>
      <c r="J1032" s="23" t="str">
        <f aca="false">IF($B1032="","",IFERROR(INDEX(고객사!$G$5:$G$104,MATCH($B1032,고객사!$A$5:$A$104,0)),""))</f>
        <v/>
      </c>
      <c r="K1032" s="16"/>
      <c r="L1032" s="22" t="str">
        <f aca="false">IF($B1032="","",K1032*IFERROR(INDEX(고객사!$L$5:$L$104,MATCH($B1032,고객사!$A$5:$A$104,0)),0))</f>
        <v/>
      </c>
      <c r="M1032" s="23" t="str">
        <f aca="false">IF($B1032="","",IF(AND(J1032="N",G1032&gt;0,K1032=0,IFERROR(INDEX(고객사!$H$5:$H$104,MATCH($B1032,고객사!$A$5:$A$104,0)),"")="자사 차량 운행"),"차량 미배정",""))</f>
        <v/>
      </c>
      <c r="N1032" s="22" t="str">
        <f aca="false">IF($B1032="","",IFERROR(INDEX(고객사!$J$5:$J$104,MATCH($B1032,고객사!$A$5:$A$104,0)),0))</f>
        <v/>
      </c>
      <c r="O1032" s="22" t="str">
        <f aca="false">IF($B1032="","",G1032*N1032)</f>
        <v/>
      </c>
      <c r="P1032" s="22" t="str">
        <f aca="false">IF($B1032="","",IFERROR(INDEX(고객사!$K$5:$K$104,MATCH($B1032,고객사!$A$5:$A$104,0)),0))</f>
        <v/>
      </c>
      <c r="Q1032" s="22" t="str">
        <f aca="false">IF($B1032="","",G1032*P1032)</f>
        <v/>
      </c>
      <c r="R1032" s="22" t="str">
        <f aca="false">IF($B1032="","",O1032-Q1032-L1032)</f>
        <v/>
      </c>
      <c r="S1032" s="21" t="str">
        <f aca="false">IF(OR($B1032="",N(O1032)=0),"",R1032/O1032)</f>
        <v/>
      </c>
      <c r="T1032" s="14"/>
      <c r="U1032" s="19" t="n">
        <f aca="false">IF(OR($B1032="",$A1032=""),0,IF(COUNTIFS($A$5:$A1032,$A1032,$B$5:$B1032,$B1032)=1,1,0))</f>
        <v>0</v>
      </c>
    </row>
    <row r="1033" customFormat="false" ht="15" hidden="false" customHeight="false" outlineLevel="0" collapsed="false">
      <c r="A1033" s="17"/>
      <c r="B1033" s="13"/>
      <c r="C1033" s="20" t="str">
        <f aca="false">IF($B1033="","",IFERROR(INDEX(고객사!$B$5:$B$104,MATCH($B1033,고객사!$A$5:$A$104,0)),"코드 확인"))</f>
        <v/>
      </c>
      <c r="D1033" s="15"/>
      <c r="E1033" s="15"/>
      <c r="F1033" s="16"/>
      <c r="G1033" s="16"/>
      <c r="H1033" s="21" t="str">
        <f aca="false">IF(OR($B1033="",F1033=0),"",G1033/F1033)</f>
        <v/>
      </c>
      <c r="I1033" s="22" t="str">
        <f aca="false">IF($B1033="","",MAX(F1033-G1033,0))</f>
        <v/>
      </c>
      <c r="J1033" s="23" t="str">
        <f aca="false">IF($B1033="","",IFERROR(INDEX(고객사!$G$5:$G$104,MATCH($B1033,고객사!$A$5:$A$104,0)),""))</f>
        <v/>
      </c>
      <c r="K1033" s="16"/>
      <c r="L1033" s="22" t="str">
        <f aca="false">IF($B1033="","",K1033*IFERROR(INDEX(고객사!$L$5:$L$104,MATCH($B1033,고객사!$A$5:$A$104,0)),0))</f>
        <v/>
      </c>
      <c r="M1033" s="23" t="str">
        <f aca="false">IF($B1033="","",IF(AND(J1033="N",G1033&gt;0,K1033=0,IFERROR(INDEX(고객사!$H$5:$H$104,MATCH($B1033,고객사!$A$5:$A$104,0)),"")="자사 차량 운행"),"차량 미배정",""))</f>
        <v/>
      </c>
      <c r="N1033" s="22" t="str">
        <f aca="false">IF($B1033="","",IFERROR(INDEX(고객사!$J$5:$J$104,MATCH($B1033,고객사!$A$5:$A$104,0)),0))</f>
        <v/>
      </c>
      <c r="O1033" s="22" t="str">
        <f aca="false">IF($B1033="","",G1033*N1033)</f>
        <v/>
      </c>
      <c r="P1033" s="22" t="str">
        <f aca="false">IF($B1033="","",IFERROR(INDEX(고객사!$K$5:$K$104,MATCH($B1033,고객사!$A$5:$A$104,0)),0))</f>
        <v/>
      </c>
      <c r="Q1033" s="22" t="str">
        <f aca="false">IF($B1033="","",G1033*P1033)</f>
        <v/>
      </c>
      <c r="R1033" s="22" t="str">
        <f aca="false">IF($B1033="","",O1033-Q1033-L1033)</f>
        <v/>
      </c>
      <c r="S1033" s="21" t="str">
        <f aca="false">IF(OR($B1033="",N(O1033)=0),"",R1033/O1033)</f>
        <v/>
      </c>
      <c r="T1033" s="14"/>
      <c r="U1033" s="19" t="n">
        <f aca="false">IF(OR($B1033="",$A1033=""),0,IF(COUNTIFS($A$5:$A1033,$A1033,$B$5:$B1033,$B1033)=1,1,0))</f>
        <v>0</v>
      </c>
    </row>
    <row r="1034" customFormat="false" ht="15" hidden="false" customHeight="false" outlineLevel="0" collapsed="false">
      <c r="A1034" s="17"/>
      <c r="B1034" s="13"/>
      <c r="C1034" s="20" t="str">
        <f aca="false">IF($B1034="","",IFERROR(INDEX(고객사!$B$5:$B$104,MATCH($B1034,고객사!$A$5:$A$104,0)),"코드 확인"))</f>
        <v/>
      </c>
      <c r="D1034" s="15"/>
      <c r="E1034" s="15"/>
      <c r="F1034" s="16"/>
      <c r="G1034" s="16"/>
      <c r="H1034" s="21" t="str">
        <f aca="false">IF(OR($B1034="",F1034=0),"",G1034/F1034)</f>
        <v/>
      </c>
      <c r="I1034" s="22" t="str">
        <f aca="false">IF($B1034="","",MAX(F1034-G1034,0))</f>
        <v/>
      </c>
      <c r="J1034" s="23" t="str">
        <f aca="false">IF($B1034="","",IFERROR(INDEX(고객사!$G$5:$G$104,MATCH($B1034,고객사!$A$5:$A$104,0)),""))</f>
        <v/>
      </c>
      <c r="K1034" s="16"/>
      <c r="L1034" s="22" t="str">
        <f aca="false">IF($B1034="","",K1034*IFERROR(INDEX(고객사!$L$5:$L$104,MATCH($B1034,고객사!$A$5:$A$104,0)),0))</f>
        <v/>
      </c>
      <c r="M1034" s="23" t="str">
        <f aca="false">IF($B1034="","",IF(AND(J1034="N",G1034&gt;0,K1034=0,IFERROR(INDEX(고객사!$H$5:$H$104,MATCH($B1034,고객사!$A$5:$A$104,0)),"")="자사 차량 운행"),"차량 미배정",""))</f>
        <v/>
      </c>
      <c r="N1034" s="22" t="str">
        <f aca="false">IF($B1034="","",IFERROR(INDEX(고객사!$J$5:$J$104,MATCH($B1034,고객사!$A$5:$A$104,0)),0))</f>
        <v/>
      </c>
      <c r="O1034" s="22" t="str">
        <f aca="false">IF($B1034="","",G1034*N1034)</f>
        <v/>
      </c>
      <c r="P1034" s="22" t="str">
        <f aca="false">IF($B1034="","",IFERROR(INDEX(고객사!$K$5:$K$104,MATCH($B1034,고객사!$A$5:$A$104,0)),0))</f>
        <v/>
      </c>
      <c r="Q1034" s="22" t="str">
        <f aca="false">IF($B1034="","",G1034*P1034)</f>
        <v/>
      </c>
      <c r="R1034" s="22" t="str">
        <f aca="false">IF($B1034="","",O1034-Q1034-L1034)</f>
        <v/>
      </c>
      <c r="S1034" s="21" t="str">
        <f aca="false">IF(OR($B1034="",N(O1034)=0),"",R1034/O1034)</f>
        <v/>
      </c>
      <c r="T1034" s="14"/>
      <c r="U1034" s="19" t="n">
        <f aca="false">IF(OR($B1034="",$A1034=""),0,IF(COUNTIFS($A$5:$A1034,$A1034,$B$5:$B1034,$B1034)=1,1,0))</f>
        <v>0</v>
      </c>
    </row>
    <row r="1035" customFormat="false" ht="15" hidden="false" customHeight="false" outlineLevel="0" collapsed="false">
      <c r="A1035" s="17"/>
      <c r="B1035" s="13"/>
      <c r="C1035" s="20" t="str">
        <f aca="false">IF($B1035="","",IFERROR(INDEX(고객사!$B$5:$B$104,MATCH($B1035,고객사!$A$5:$A$104,0)),"코드 확인"))</f>
        <v/>
      </c>
      <c r="D1035" s="15"/>
      <c r="E1035" s="15"/>
      <c r="F1035" s="16"/>
      <c r="G1035" s="16"/>
      <c r="H1035" s="21" t="str">
        <f aca="false">IF(OR($B1035="",F1035=0),"",G1035/F1035)</f>
        <v/>
      </c>
      <c r="I1035" s="22" t="str">
        <f aca="false">IF($B1035="","",MAX(F1035-G1035,0))</f>
        <v/>
      </c>
      <c r="J1035" s="23" t="str">
        <f aca="false">IF($B1035="","",IFERROR(INDEX(고객사!$G$5:$G$104,MATCH($B1035,고객사!$A$5:$A$104,0)),""))</f>
        <v/>
      </c>
      <c r="K1035" s="16"/>
      <c r="L1035" s="22" t="str">
        <f aca="false">IF($B1035="","",K1035*IFERROR(INDEX(고객사!$L$5:$L$104,MATCH($B1035,고객사!$A$5:$A$104,0)),0))</f>
        <v/>
      </c>
      <c r="M1035" s="23" t="str">
        <f aca="false">IF($B1035="","",IF(AND(J1035="N",G1035&gt;0,K1035=0,IFERROR(INDEX(고객사!$H$5:$H$104,MATCH($B1035,고객사!$A$5:$A$104,0)),"")="자사 차량 운행"),"차량 미배정",""))</f>
        <v/>
      </c>
      <c r="N1035" s="22" t="str">
        <f aca="false">IF($B1035="","",IFERROR(INDEX(고객사!$J$5:$J$104,MATCH($B1035,고객사!$A$5:$A$104,0)),0))</f>
        <v/>
      </c>
      <c r="O1035" s="22" t="str">
        <f aca="false">IF($B1035="","",G1035*N1035)</f>
        <v/>
      </c>
      <c r="P1035" s="22" t="str">
        <f aca="false">IF($B1035="","",IFERROR(INDEX(고객사!$K$5:$K$104,MATCH($B1035,고객사!$A$5:$A$104,0)),0))</f>
        <v/>
      </c>
      <c r="Q1035" s="22" t="str">
        <f aca="false">IF($B1035="","",G1035*P1035)</f>
        <v/>
      </c>
      <c r="R1035" s="22" t="str">
        <f aca="false">IF($B1035="","",O1035-Q1035-L1035)</f>
        <v/>
      </c>
      <c r="S1035" s="21" t="str">
        <f aca="false">IF(OR($B1035="",N(O1035)=0),"",R1035/O1035)</f>
        <v/>
      </c>
      <c r="T1035" s="14"/>
      <c r="U1035" s="19" t="n">
        <f aca="false">IF(OR($B1035="",$A1035=""),0,IF(COUNTIFS($A$5:$A1035,$A1035,$B$5:$B1035,$B1035)=1,1,0))</f>
        <v>0</v>
      </c>
    </row>
    <row r="1036" customFormat="false" ht="15" hidden="false" customHeight="false" outlineLevel="0" collapsed="false">
      <c r="A1036" s="17"/>
      <c r="B1036" s="13"/>
      <c r="C1036" s="20" t="str">
        <f aca="false">IF($B1036="","",IFERROR(INDEX(고객사!$B$5:$B$104,MATCH($B1036,고객사!$A$5:$A$104,0)),"코드 확인"))</f>
        <v/>
      </c>
      <c r="D1036" s="15"/>
      <c r="E1036" s="15"/>
      <c r="F1036" s="16"/>
      <c r="G1036" s="16"/>
      <c r="H1036" s="21" t="str">
        <f aca="false">IF(OR($B1036="",F1036=0),"",G1036/F1036)</f>
        <v/>
      </c>
      <c r="I1036" s="22" t="str">
        <f aca="false">IF($B1036="","",MAX(F1036-G1036,0))</f>
        <v/>
      </c>
      <c r="J1036" s="23" t="str">
        <f aca="false">IF($B1036="","",IFERROR(INDEX(고객사!$G$5:$G$104,MATCH($B1036,고객사!$A$5:$A$104,0)),""))</f>
        <v/>
      </c>
      <c r="K1036" s="16"/>
      <c r="L1036" s="22" t="str">
        <f aca="false">IF($B1036="","",K1036*IFERROR(INDEX(고객사!$L$5:$L$104,MATCH($B1036,고객사!$A$5:$A$104,0)),0))</f>
        <v/>
      </c>
      <c r="M1036" s="23" t="str">
        <f aca="false">IF($B1036="","",IF(AND(J1036="N",G1036&gt;0,K1036=0,IFERROR(INDEX(고객사!$H$5:$H$104,MATCH($B1036,고객사!$A$5:$A$104,0)),"")="자사 차량 운행"),"차량 미배정",""))</f>
        <v/>
      </c>
      <c r="N1036" s="22" t="str">
        <f aca="false">IF($B1036="","",IFERROR(INDEX(고객사!$J$5:$J$104,MATCH($B1036,고객사!$A$5:$A$104,0)),0))</f>
        <v/>
      </c>
      <c r="O1036" s="22" t="str">
        <f aca="false">IF($B1036="","",G1036*N1036)</f>
        <v/>
      </c>
      <c r="P1036" s="22" t="str">
        <f aca="false">IF($B1036="","",IFERROR(INDEX(고객사!$K$5:$K$104,MATCH($B1036,고객사!$A$5:$A$104,0)),0))</f>
        <v/>
      </c>
      <c r="Q1036" s="22" t="str">
        <f aca="false">IF($B1036="","",G1036*P1036)</f>
        <v/>
      </c>
      <c r="R1036" s="22" t="str">
        <f aca="false">IF($B1036="","",O1036-Q1036-L1036)</f>
        <v/>
      </c>
      <c r="S1036" s="21" t="str">
        <f aca="false">IF(OR($B1036="",N(O1036)=0),"",R1036/O1036)</f>
        <v/>
      </c>
      <c r="T1036" s="14"/>
      <c r="U1036" s="19" t="n">
        <f aca="false">IF(OR($B1036="",$A1036=""),0,IF(COUNTIFS($A$5:$A1036,$A1036,$B$5:$B1036,$B1036)=1,1,0))</f>
        <v>0</v>
      </c>
    </row>
    <row r="1037" customFormat="false" ht="15" hidden="false" customHeight="false" outlineLevel="0" collapsed="false">
      <c r="A1037" s="17"/>
      <c r="B1037" s="13"/>
      <c r="C1037" s="20" t="str">
        <f aca="false">IF($B1037="","",IFERROR(INDEX(고객사!$B$5:$B$104,MATCH($B1037,고객사!$A$5:$A$104,0)),"코드 확인"))</f>
        <v/>
      </c>
      <c r="D1037" s="15"/>
      <c r="E1037" s="15"/>
      <c r="F1037" s="16"/>
      <c r="G1037" s="16"/>
      <c r="H1037" s="21" t="str">
        <f aca="false">IF(OR($B1037="",F1037=0),"",G1037/F1037)</f>
        <v/>
      </c>
      <c r="I1037" s="22" t="str">
        <f aca="false">IF($B1037="","",MAX(F1037-G1037,0))</f>
        <v/>
      </c>
      <c r="J1037" s="23" t="str">
        <f aca="false">IF($B1037="","",IFERROR(INDEX(고객사!$G$5:$G$104,MATCH($B1037,고객사!$A$5:$A$104,0)),""))</f>
        <v/>
      </c>
      <c r="K1037" s="16"/>
      <c r="L1037" s="22" t="str">
        <f aca="false">IF($B1037="","",K1037*IFERROR(INDEX(고객사!$L$5:$L$104,MATCH($B1037,고객사!$A$5:$A$104,0)),0))</f>
        <v/>
      </c>
      <c r="M1037" s="23" t="str">
        <f aca="false">IF($B1037="","",IF(AND(J1037="N",G1037&gt;0,K1037=0,IFERROR(INDEX(고객사!$H$5:$H$104,MATCH($B1037,고객사!$A$5:$A$104,0)),"")="자사 차량 운행"),"차량 미배정",""))</f>
        <v/>
      </c>
      <c r="N1037" s="22" t="str">
        <f aca="false">IF($B1037="","",IFERROR(INDEX(고객사!$J$5:$J$104,MATCH($B1037,고객사!$A$5:$A$104,0)),0))</f>
        <v/>
      </c>
      <c r="O1037" s="22" t="str">
        <f aca="false">IF($B1037="","",G1037*N1037)</f>
        <v/>
      </c>
      <c r="P1037" s="22" t="str">
        <f aca="false">IF($B1037="","",IFERROR(INDEX(고객사!$K$5:$K$104,MATCH($B1037,고객사!$A$5:$A$104,0)),0))</f>
        <v/>
      </c>
      <c r="Q1037" s="22" t="str">
        <f aca="false">IF($B1037="","",G1037*P1037)</f>
        <v/>
      </c>
      <c r="R1037" s="22" t="str">
        <f aca="false">IF($B1037="","",O1037-Q1037-L1037)</f>
        <v/>
      </c>
      <c r="S1037" s="21" t="str">
        <f aca="false">IF(OR($B1037="",N(O1037)=0),"",R1037/O1037)</f>
        <v/>
      </c>
      <c r="T1037" s="14"/>
      <c r="U1037" s="19" t="n">
        <f aca="false">IF(OR($B1037="",$A1037=""),0,IF(COUNTIFS($A$5:$A1037,$A1037,$B$5:$B1037,$B1037)=1,1,0))</f>
        <v>0</v>
      </c>
    </row>
    <row r="1038" customFormat="false" ht="15" hidden="false" customHeight="false" outlineLevel="0" collapsed="false">
      <c r="A1038" s="17"/>
      <c r="B1038" s="13"/>
      <c r="C1038" s="20" t="str">
        <f aca="false">IF($B1038="","",IFERROR(INDEX(고객사!$B$5:$B$104,MATCH($B1038,고객사!$A$5:$A$104,0)),"코드 확인"))</f>
        <v/>
      </c>
      <c r="D1038" s="15"/>
      <c r="E1038" s="15"/>
      <c r="F1038" s="16"/>
      <c r="G1038" s="16"/>
      <c r="H1038" s="21" t="str">
        <f aca="false">IF(OR($B1038="",F1038=0),"",G1038/F1038)</f>
        <v/>
      </c>
      <c r="I1038" s="22" t="str">
        <f aca="false">IF($B1038="","",MAX(F1038-G1038,0))</f>
        <v/>
      </c>
      <c r="J1038" s="23" t="str">
        <f aca="false">IF($B1038="","",IFERROR(INDEX(고객사!$G$5:$G$104,MATCH($B1038,고객사!$A$5:$A$104,0)),""))</f>
        <v/>
      </c>
      <c r="K1038" s="16"/>
      <c r="L1038" s="22" t="str">
        <f aca="false">IF($B1038="","",K1038*IFERROR(INDEX(고객사!$L$5:$L$104,MATCH($B1038,고객사!$A$5:$A$104,0)),0))</f>
        <v/>
      </c>
      <c r="M1038" s="23" t="str">
        <f aca="false">IF($B1038="","",IF(AND(J1038="N",G1038&gt;0,K1038=0,IFERROR(INDEX(고객사!$H$5:$H$104,MATCH($B1038,고객사!$A$5:$A$104,0)),"")="자사 차량 운행"),"차량 미배정",""))</f>
        <v/>
      </c>
      <c r="N1038" s="22" t="str">
        <f aca="false">IF($B1038="","",IFERROR(INDEX(고객사!$J$5:$J$104,MATCH($B1038,고객사!$A$5:$A$104,0)),0))</f>
        <v/>
      </c>
      <c r="O1038" s="22" t="str">
        <f aca="false">IF($B1038="","",G1038*N1038)</f>
        <v/>
      </c>
      <c r="P1038" s="22" t="str">
        <f aca="false">IF($B1038="","",IFERROR(INDEX(고객사!$K$5:$K$104,MATCH($B1038,고객사!$A$5:$A$104,0)),0))</f>
        <v/>
      </c>
      <c r="Q1038" s="22" t="str">
        <f aca="false">IF($B1038="","",G1038*P1038)</f>
        <v/>
      </c>
      <c r="R1038" s="22" t="str">
        <f aca="false">IF($B1038="","",O1038-Q1038-L1038)</f>
        <v/>
      </c>
      <c r="S1038" s="21" t="str">
        <f aca="false">IF(OR($B1038="",N(O1038)=0),"",R1038/O1038)</f>
        <v/>
      </c>
      <c r="T1038" s="14"/>
      <c r="U1038" s="19" t="n">
        <f aca="false">IF(OR($B1038="",$A1038=""),0,IF(COUNTIFS($A$5:$A1038,$A1038,$B$5:$B1038,$B1038)=1,1,0))</f>
        <v>0</v>
      </c>
    </row>
    <row r="1039" customFormat="false" ht="15" hidden="false" customHeight="false" outlineLevel="0" collapsed="false">
      <c r="A1039" s="17"/>
      <c r="B1039" s="13"/>
      <c r="C1039" s="20" t="str">
        <f aca="false">IF($B1039="","",IFERROR(INDEX(고객사!$B$5:$B$104,MATCH($B1039,고객사!$A$5:$A$104,0)),"코드 확인"))</f>
        <v/>
      </c>
      <c r="D1039" s="15"/>
      <c r="E1039" s="15"/>
      <c r="F1039" s="16"/>
      <c r="G1039" s="16"/>
      <c r="H1039" s="21" t="str">
        <f aca="false">IF(OR($B1039="",F1039=0),"",G1039/F1039)</f>
        <v/>
      </c>
      <c r="I1039" s="22" t="str">
        <f aca="false">IF($B1039="","",MAX(F1039-G1039,0))</f>
        <v/>
      </c>
      <c r="J1039" s="23" t="str">
        <f aca="false">IF($B1039="","",IFERROR(INDEX(고객사!$G$5:$G$104,MATCH($B1039,고객사!$A$5:$A$104,0)),""))</f>
        <v/>
      </c>
      <c r="K1039" s="16"/>
      <c r="L1039" s="22" t="str">
        <f aca="false">IF($B1039="","",K1039*IFERROR(INDEX(고객사!$L$5:$L$104,MATCH($B1039,고객사!$A$5:$A$104,0)),0))</f>
        <v/>
      </c>
      <c r="M1039" s="23" t="str">
        <f aca="false">IF($B1039="","",IF(AND(J1039="N",G1039&gt;0,K1039=0,IFERROR(INDEX(고객사!$H$5:$H$104,MATCH($B1039,고객사!$A$5:$A$104,0)),"")="자사 차량 운행"),"차량 미배정",""))</f>
        <v/>
      </c>
      <c r="N1039" s="22" t="str">
        <f aca="false">IF($B1039="","",IFERROR(INDEX(고객사!$J$5:$J$104,MATCH($B1039,고객사!$A$5:$A$104,0)),0))</f>
        <v/>
      </c>
      <c r="O1039" s="22" t="str">
        <f aca="false">IF($B1039="","",G1039*N1039)</f>
        <v/>
      </c>
      <c r="P1039" s="22" t="str">
        <f aca="false">IF($B1039="","",IFERROR(INDEX(고객사!$K$5:$K$104,MATCH($B1039,고객사!$A$5:$A$104,0)),0))</f>
        <v/>
      </c>
      <c r="Q1039" s="22" t="str">
        <f aca="false">IF($B1039="","",G1039*P1039)</f>
        <v/>
      </c>
      <c r="R1039" s="22" t="str">
        <f aca="false">IF($B1039="","",O1039-Q1039-L1039)</f>
        <v/>
      </c>
      <c r="S1039" s="21" t="str">
        <f aca="false">IF(OR($B1039="",N(O1039)=0),"",R1039/O1039)</f>
        <v/>
      </c>
      <c r="T1039" s="14"/>
      <c r="U1039" s="19" t="n">
        <f aca="false">IF(OR($B1039="",$A1039=""),0,IF(COUNTIFS($A$5:$A1039,$A1039,$B$5:$B1039,$B1039)=1,1,0))</f>
        <v>0</v>
      </c>
    </row>
    <row r="1040" customFormat="false" ht="15" hidden="false" customHeight="false" outlineLevel="0" collapsed="false">
      <c r="A1040" s="17"/>
      <c r="B1040" s="13"/>
      <c r="C1040" s="20" t="str">
        <f aca="false">IF($B1040="","",IFERROR(INDEX(고객사!$B$5:$B$104,MATCH($B1040,고객사!$A$5:$A$104,0)),"코드 확인"))</f>
        <v/>
      </c>
      <c r="D1040" s="15"/>
      <c r="E1040" s="15"/>
      <c r="F1040" s="16"/>
      <c r="G1040" s="16"/>
      <c r="H1040" s="21" t="str">
        <f aca="false">IF(OR($B1040="",F1040=0),"",G1040/F1040)</f>
        <v/>
      </c>
      <c r="I1040" s="22" t="str">
        <f aca="false">IF($B1040="","",MAX(F1040-G1040,0))</f>
        <v/>
      </c>
      <c r="J1040" s="23" t="str">
        <f aca="false">IF($B1040="","",IFERROR(INDEX(고객사!$G$5:$G$104,MATCH($B1040,고객사!$A$5:$A$104,0)),""))</f>
        <v/>
      </c>
      <c r="K1040" s="16"/>
      <c r="L1040" s="22" t="str">
        <f aca="false">IF($B1040="","",K1040*IFERROR(INDEX(고객사!$L$5:$L$104,MATCH($B1040,고객사!$A$5:$A$104,0)),0))</f>
        <v/>
      </c>
      <c r="M1040" s="23" t="str">
        <f aca="false">IF($B1040="","",IF(AND(J1040="N",G1040&gt;0,K1040=0,IFERROR(INDEX(고객사!$H$5:$H$104,MATCH($B1040,고객사!$A$5:$A$104,0)),"")="자사 차량 운행"),"차량 미배정",""))</f>
        <v/>
      </c>
      <c r="N1040" s="22" t="str">
        <f aca="false">IF($B1040="","",IFERROR(INDEX(고객사!$J$5:$J$104,MATCH($B1040,고객사!$A$5:$A$104,0)),0))</f>
        <v/>
      </c>
      <c r="O1040" s="22" t="str">
        <f aca="false">IF($B1040="","",G1040*N1040)</f>
        <v/>
      </c>
      <c r="P1040" s="22" t="str">
        <f aca="false">IF($B1040="","",IFERROR(INDEX(고객사!$K$5:$K$104,MATCH($B1040,고객사!$A$5:$A$104,0)),0))</f>
        <v/>
      </c>
      <c r="Q1040" s="22" t="str">
        <f aca="false">IF($B1040="","",G1040*P1040)</f>
        <v/>
      </c>
      <c r="R1040" s="22" t="str">
        <f aca="false">IF($B1040="","",O1040-Q1040-L1040)</f>
        <v/>
      </c>
      <c r="S1040" s="21" t="str">
        <f aca="false">IF(OR($B1040="",N(O1040)=0),"",R1040/O1040)</f>
        <v/>
      </c>
      <c r="T1040" s="14"/>
      <c r="U1040" s="19" t="n">
        <f aca="false">IF(OR($B1040="",$A1040=""),0,IF(COUNTIFS($A$5:$A1040,$A1040,$B$5:$B1040,$B1040)=1,1,0))</f>
        <v>0</v>
      </c>
    </row>
    <row r="1041" customFormat="false" ht="15" hidden="false" customHeight="false" outlineLevel="0" collapsed="false">
      <c r="A1041" s="17"/>
      <c r="B1041" s="13"/>
      <c r="C1041" s="20" t="str">
        <f aca="false">IF($B1041="","",IFERROR(INDEX(고객사!$B$5:$B$104,MATCH($B1041,고객사!$A$5:$A$104,0)),"코드 확인"))</f>
        <v/>
      </c>
      <c r="D1041" s="15"/>
      <c r="E1041" s="15"/>
      <c r="F1041" s="16"/>
      <c r="G1041" s="16"/>
      <c r="H1041" s="21" t="str">
        <f aca="false">IF(OR($B1041="",F1041=0),"",G1041/F1041)</f>
        <v/>
      </c>
      <c r="I1041" s="22" t="str">
        <f aca="false">IF($B1041="","",MAX(F1041-G1041,0))</f>
        <v/>
      </c>
      <c r="J1041" s="23" t="str">
        <f aca="false">IF($B1041="","",IFERROR(INDEX(고객사!$G$5:$G$104,MATCH($B1041,고객사!$A$5:$A$104,0)),""))</f>
        <v/>
      </c>
      <c r="K1041" s="16"/>
      <c r="L1041" s="22" t="str">
        <f aca="false">IF($B1041="","",K1041*IFERROR(INDEX(고객사!$L$5:$L$104,MATCH($B1041,고객사!$A$5:$A$104,0)),0))</f>
        <v/>
      </c>
      <c r="M1041" s="23" t="str">
        <f aca="false">IF($B1041="","",IF(AND(J1041="N",G1041&gt;0,K1041=0,IFERROR(INDEX(고객사!$H$5:$H$104,MATCH($B1041,고객사!$A$5:$A$104,0)),"")="자사 차량 운행"),"차량 미배정",""))</f>
        <v/>
      </c>
      <c r="N1041" s="22" t="str">
        <f aca="false">IF($B1041="","",IFERROR(INDEX(고객사!$J$5:$J$104,MATCH($B1041,고객사!$A$5:$A$104,0)),0))</f>
        <v/>
      </c>
      <c r="O1041" s="22" t="str">
        <f aca="false">IF($B1041="","",G1041*N1041)</f>
        <v/>
      </c>
      <c r="P1041" s="22" t="str">
        <f aca="false">IF($B1041="","",IFERROR(INDEX(고객사!$K$5:$K$104,MATCH($B1041,고객사!$A$5:$A$104,0)),0))</f>
        <v/>
      </c>
      <c r="Q1041" s="22" t="str">
        <f aca="false">IF($B1041="","",G1041*P1041)</f>
        <v/>
      </c>
      <c r="R1041" s="22" t="str">
        <f aca="false">IF($B1041="","",O1041-Q1041-L1041)</f>
        <v/>
      </c>
      <c r="S1041" s="21" t="str">
        <f aca="false">IF(OR($B1041="",N(O1041)=0),"",R1041/O1041)</f>
        <v/>
      </c>
      <c r="T1041" s="14"/>
      <c r="U1041" s="19" t="n">
        <f aca="false">IF(OR($B1041="",$A1041=""),0,IF(COUNTIFS($A$5:$A1041,$A1041,$B$5:$B1041,$B1041)=1,1,0))</f>
        <v>0</v>
      </c>
    </row>
    <row r="1042" customFormat="false" ht="15" hidden="false" customHeight="false" outlineLevel="0" collapsed="false">
      <c r="A1042" s="17"/>
      <c r="B1042" s="13"/>
      <c r="C1042" s="20" t="str">
        <f aca="false">IF($B1042="","",IFERROR(INDEX(고객사!$B$5:$B$104,MATCH($B1042,고객사!$A$5:$A$104,0)),"코드 확인"))</f>
        <v/>
      </c>
      <c r="D1042" s="15"/>
      <c r="E1042" s="15"/>
      <c r="F1042" s="16"/>
      <c r="G1042" s="16"/>
      <c r="H1042" s="21" t="str">
        <f aca="false">IF(OR($B1042="",F1042=0),"",G1042/F1042)</f>
        <v/>
      </c>
      <c r="I1042" s="22" t="str">
        <f aca="false">IF($B1042="","",MAX(F1042-G1042,0))</f>
        <v/>
      </c>
      <c r="J1042" s="23" t="str">
        <f aca="false">IF($B1042="","",IFERROR(INDEX(고객사!$G$5:$G$104,MATCH($B1042,고객사!$A$5:$A$104,0)),""))</f>
        <v/>
      </c>
      <c r="K1042" s="16"/>
      <c r="L1042" s="22" t="str">
        <f aca="false">IF($B1042="","",K1042*IFERROR(INDEX(고객사!$L$5:$L$104,MATCH($B1042,고객사!$A$5:$A$104,0)),0))</f>
        <v/>
      </c>
      <c r="M1042" s="23" t="str">
        <f aca="false">IF($B1042="","",IF(AND(J1042="N",G1042&gt;0,K1042=0,IFERROR(INDEX(고객사!$H$5:$H$104,MATCH($B1042,고객사!$A$5:$A$104,0)),"")="자사 차량 운행"),"차량 미배정",""))</f>
        <v/>
      </c>
      <c r="N1042" s="22" t="str">
        <f aca="false">IF($B1042="","",IFERROR(INDEX(고객사!$J$5:$J$104,MATCH($B1042,고객사!$A$5:$A$104,0)),0))</f>
        <v/>
      </c>
      <c r="O1042" s="22" t="str">
        <f aca="false">IF($B1042="","",G1042*N1042)</f>
        <v/>
      </c>
      <c r="P1042" s="22" t="str">
        <f aca="false">IF($B1042="","",IFERROR(INDEX(고객사!$K$5:$K$104,MATCH($B1042,고객사!$A$5:$A$104,0)),0))</f>
        <v/>
      </c>
      <c r="Q1042" s="22" t="str">
        <f aca="false">IF($B1042="","",G1042*P1042)</f>
        <v/>
      </c>
      <c r="R1042" s="22" t="str">
        <f aca="false">IF($B1042="","",O1042-Q1042-L1042)</f>
        <v/>
      </c>
      <c r="S1042" s="21" t="str">
        <f aca="false">IF(OR($B1042="",N(O1042)=0),"",R1042/O1042)</f>
        <v/>
      </c>
      <c r="T1042" s="14"/>
      <c r="U1042" s="19" t="n">
        <f aca="false">IF(OR($B1042="",$A1042=""),0,IF(COUNTIFS($A$5:$A1042,$A1042,$B$5:$B1042,$B1042)=1,1,0))</f>
        <v>0</v>
      </c>
    </row>
    <row r="1043" customFormat="false" ht="15" hidden="false" customHeight="false" outlineLevel="0" collapsed="false">
      <c r="A1043" s="17"/>
      <c r="B1043" s="13"/>
      <c r="C1043" s="20" t="str">
        <f aca="false">IF($B1043="","",IFERROR(INDEX(고객사!$B$5:$B$104,MATCH($B1043,고객사!$A$5:$A$104,0)),"코드 확인"))</f>
        <v/>
      </c>
      <c r="D1043" s="15"/>
      <c r="E1043" s="15"/>
      <c r="F1043" s="16"/>
      <c r="G1043" s="16"/>
      <c r="H1043" s="21" t="str">
        <f aca="false">IF(OR($B1043="",F1043=0),"",G1043/F1043)</f>
        <v/>
      </c>
      <c r="I1043" s="22" t="str">
        <f aca="false">IF($B1043="","",MAX(F1043-G1043,0))</f>
        <v/>
      </c>
      <c r="J1043" s="23" t="str">
        <f aca="false">IF($B1043="","",IFERROR(INDEX(고객사!$G$5:$G$104,MATCH($B1043,고객사!$A$5:$A$104,0)),""))</f>
        <v/>
      </c>
      <c r="K1043" s="16"/>
      <c r="L1043" s="22" t="str">
        <f aca="false">IF($B1043="","",K1043*IFERROR(INDEX(고객사!$L$5:$L$104,MATCH($B1043,고객사!$A$5:$A$104,0)),0))</f>
        <v/>
      </c>
      <c r="M1043" s="23" t="str">
        <f aca="false">IF($B1043="","",IF(AND(J1043="N",G1043&gt;0,K1043=0,IFERROR(INDEX(고객사!$H$5:$H$104,MATCH($B1043,고객사!$A$5:$A$104,0)),"")="자사 차량 운행"),"차량 미배정",""))</f>
        <v/>
      </c>
      <c r="N1043" s="22" t="str">
        <f aca="false">IF($B1043="","",IFERROR(INDEX(고객사!$J$5:$J$104,MATCH($B1043,고객사!$A$5:$A$104,0)),0))</f>
        <v/>
      </c>
      <c r="O1043" s="22" t="str">
        <f aca="false">IF($B1043="","",G1043*N1043)</f>
        <v/>
      </c>
      <c r="P1043" s="22" t="str">
        <f aca="false">IF($B1043="","",IFERROR(INDEX(고객사!$K$5:$K$104,MATCH($B1043,고객사!$A$5:$A$104,0)),0))</f>
        <v/>
      </c>
      <c r="Q1043" s="22" t="str">
        <f aca="false">IF($B1043="","",G1043*P1043)</f>
        <v/>
      </c>
      <c r="R1043" s="22" t="str">
        <f aca="false">IF($B1043="","",O1043-Q1043-L1043)</f>
        <v/>
      </c>
      <c r="S1043" s="21" t="str">
        <f aca="false">IF(OR($B1043="",N(O1043)=0),"",R1043/O1043)</f>
        <v/>
      </c>
      <c r="T1043" s="14"/>
      <c r="U1043" s="19" t="n">
        <f aca="false">IF(OR($B1043="",$A1043=""),0,IF(COUNTIFS($A$5:$A1043,$A1043,$B$5:$B1043,$B1043)=1,1,0))</f>
        <v>0</v>
      </c>
    </row>
    <row r="1044" customFormat="false" ht="15" hidden="false" customHeight="false" outlineLevel="0" collapsed="false">
      <c r="A1044" s="17"/>
      <c r="B1044" s="13"/>
      <c r="C1044" s="20" t="str">
        <f aca="false">IF($B1044="","",IFERROR(INDEX(고객사!$B$5:$B$104,MATCH($B1044,고객사!$A$5:$A$104,0)),"코드 확인"))</f>
        <v/>
      </c>
      <c r="D1044" s="15"/>
      <c r="E1044" s="15"/>
      <c r="F1044" s="16"/>
      <c r="G1044" s="16"/>
      <c r="H1044" s="21" t="str">
        <f aca="false">IF(OR($B1044="",F1044=0),"",G1044/F1044)</f>
        <v/>
      </c>
      <c r="I1044" s="22" t="str">
        <f aca="false">IF($B1044="","",MAX(F1044-G1044,0))</f>
        <v/>
      </c>
      <c r="J1044" s="23" t="str">
        <f aca="false">IF($B1044="","",IFERROR(INDEX(고객사!$G$5:$G$104,MATCH($B1044,고객사!$A$5:$A$104,0)),""))</f>
        <v/>
      </c>
      <c r="K1044" s="16"/>
      <c r="L1044" s="22" t="str">
        <f aca="false">IF($B1044="","",K1044*IFERROR(INDEX(고객사!$L$5:$L$104,MATCH($B1044,고객사!$A$5:$A$104,0)),0))</f>
        <v/>
      </c>
      <c r="M1044" s="23" t="str">
        <f aca="false">IF($B1044="","",IF(AND(J1044="N",G1044&gt;0,K1044=0,IFERROR(INDEX(고객사!$H$5:$H$104,MATCH($B1044,고객사!$A$5:$A$104,0)),"")="자사 차량 운행"),"차량 미배정",""))</f>
        <v/>
      </c>
      <c r="N1044" s="22" t="str">
        <f aca="false">IF($B1044="","",IFERROR(INDEX(고객사!$J$5:$J$104,MATCH($B1044,고객사!$A$5:$A$104,0)),0))</f>
        <v/>
      </c>
      <c r="O1044" s="22" t="str">
        <f aca="false">IF($B1044="","",G1044*N1044)</f>
        <v/>
      </c>
      <c r="P1044" s="22" t="str">
        <f aca="false">IF($B1044="","",IFERROR(INDEX(고객사!$K$5:$K$104,MATCH($B1044,고객사!$A$5:$A$104,0)),0))</f>
        <v/>
      </c>
      <c r="Q1044" s="22" t="str">
        <f aca="false">IF($B1044="","",G1044*P1044)</f>
        <v/>
      </c>
      <c r="R1044" s="22" t="str">
        <f aca="false">IF($B1044="","",O1044-Q1044-L1044)</f>
        <v/>
      </c>
      <c r="S1044" s="21" t="str">
        <f aca="false">IF(OR($B1044="",N(O1044)=0),"",R1044/O1044)</f>
        <v/>
      </c>
      <c r="T1044" s="14"/>
      <c r="U1044" s="19" t="n">
        <f aca="false">IF(OR($B1044="",$A1044=""),0,IF(COUNTIFS($A$5:$A1044,$A1044,$B$5:$B1044,$B1044)=1,1,0))</f>
        <v>0</v>
      </c>
    </row>
    <row r="1045" customFormat="false" ht="15" hidden="false" customHeight="false" outlineLevel="0" collapsed="false">
      <c r="A1045" s="17"/>
      <c r="B1045" s="13"/>
      <c r="C1045" s="20" t="str">
        <f aca="false">IF($B1045="","",IFERROR(INDEX(고객사!$B$5:$B$104,MATCH($B1045,고객사!$A$5:$A$104,0)),"코드 확인"))</f>
        <v/>
      </c>
      <c r="D1045" s="15"/>
      <c r="E1045" s="15"/>
      <c r="F1045" s="16"/>
      <c r="G1045" s="16"/>
      <c r="H1045" s="21" t="str">
        <f aca="false">IF(OR($B1045="",F1045=0),"",G1045/F1045)</f>
        <v/>
      </c>
      <c r="I1045" s="22" t="str">
        <f aca="false">IF($B1045="","",MAX(F1045-G1045,0))</f>
        <v/>
      </c>
      <c r="J1045" s="23" t="str">
        <f aca="false">IF($B1045="","",IFERROR(INDEX(고객사!$G$5:$G$104,MATCH($B1045,고객사!$A$5:$A$104,0)),""))</f>
        <v/>
      </c>
      <c r="K1045" s="16"/>
      <c r="L1045" s="22" t="str">
        <f aca="false">IF($B1045="","",K1045*IFERROR(INDEX(고객사!$L$5:$L$104,MATCH($B1045,고객사!$A$5:$A$104,0)),0))</f>
        <v/>
      </c>
      <c r="M1045" s="23" t="str">
        <f aca="false">IF($B1045="","",IF(AND(J1045="N",G1045&gt;0,K1045=0,IFERROR(INDEX(고객사!$H$5:$H$104,MATCH($B1045,고객사!$A$5:$A$104,0)),"")="자사 차량 운행"),"차량 미배정",""))</f>
        <v/>
      </c>
      <c r="N1045" s="22" t="str">
        <f aca="false">IF($B1045="","",IFERROR(INDEX(고객사!$J$5:$J$104,MATCH($B1045,고객사!$A$5:$A$104,0)),0))</f>
        <v/>
      </c>
      <c r="O1045" s="22" t="str">
        <f aca="false">IF($B1045="","",G1045*N1045)</f>
        <v/>
      </c>
      <c r="P1045" s="22" t="str">
        <f aca="false">IF($B1045="","",IFERROR(INDEX(고객사!$K$5:$K$104,MATCH($B1045,고객사!$A$5:$A$104,0)),0))</f>
        <v/>
      </c>
      <c r="Q1045" s="22" t="str">
        <f aca="false">IF($B1045="","",G1045*P1045)</f>
        <v/>
      </c>
      <c r="R1045" s="22" t="str">
        <f aca="false">IF($B1045="","",O1045-Q1045-L1045)</f>
        <v/>
      </c>
      <c r="S1045" s="21" t="str">
        <f aca="false">IF(OR($B1045="",N(O1045)=0),"",R1045/O1045)</f>
        <v/>
      </c>
      <c r="T1045" s="14"/>
      <c r="U1045" s="19" t="n">
        <f aca="false">IF(OR($B1045="",$A1045=""),0,IF(COUNTIFS($A$5:$A1045,$A1045,$B$5:$B1045,$B1045)=1,1,0))</f>
        <v>0</v>
      </c>
    </row>
    <row r="1046" customFormat="false" ht="15" hidden="false" customHeight="false" outlineLevel="0" collapsed="false">
      <c r="A1046" s="17"/>
      <c r="B1046" s="13"/>
      <c r="C1046" s="20" t="str">
        <f aca="false">IF($B1046="","",IFERROR(INDEX(고객사!$B$5:$B$104,MATCH($B1046,고객사!$A$5:$A$104,0)),"코드 확인"))</f>
        <v/>
      </c>
      <c r="D1046" s="15"/>
      <c r="E1046" s="15"/>
      <c r="F1046" s="16"/>
      <c r="G1046" s="16"/>
      <c r="H1046" s="21" t="str">
        <f aca="false">IF(OR($B1046="",F1046=0),"",G1046/F1046)</f>
        <v/>
      </c>
      <c r="I1046" s="22" t="str">
        <f aca="false">IF($B1046="","",MAX(F1046-G1046,0))</f>
        <v/>
      </c>
      <c r="J1046" s="23" t="str">
        <f aca="false">IF($B1046="","",IFERROR(INDEX(고객사!$G$5:$G$104,MATCH($B1046,고객사!$A$5:$A$104,0)),""))</f>
        <v/>
      </c>
      <c r="K1046" s="16"/>
      <c r="L1046" s="22" t="str">
        <f aca="false">IF($B1046="","",K1046*IFERROR(INDEX(고객사!$L$5:$L$104,MATCH($B1046,고객사!$A$5:$A$104,0)),0))</f>
        <v/>
      </c>
      <c r="M1046" s="23" t="str">
        <f aca="false">IF($B1046="","",IF(AND(J1046="N",G1046&gt;0,K1046=0,IFERROR(INDEX(고객사!$H$5:$H$104,MATCH($B1046,고객사!$A$5:$A$104,0)),"")="자사 차량 운행"),"차량 미배정",""))</f>
        <v/>
      </c>
      <c r="N1046" s="22" t="str">
        <f aca="false">IF($B1046="","",IFERROR(INDEX(고객사!$J$5:$J$104,MATCH($B1046,고객사!$A$5:$A$104,0)),0))</f>
        <v/>
      </c>
      <c r="O1046" s="22" t="str">
        <f aca="false">IF($B1046="","",G1046*N1046)</f>
        <v/>
      </c>
      <c r="P1046" s="22" t="str">
        <f aca="false">IF($B1046="","",IFERROR(INDEX(고객사!$K$5:$K$104,MATCH($B1046,고객사!$A$5:$A$104,0)),0))</f>
        <v/>
      </c>
      <c r="Q1046" s="22" t="str">
        <f aca="false">IF($B1046="","",G1046*P1046)</f>
        <v/>
      </c>
      <c r="R1046" s="22" t="str">
        <f aca="false">IF($B1046="","",O1046-Q1046-L1046)</f>
        <v/>
      </c>
      <c r="S1046" s="21" t="str">
        <f aca="false">IF(OR($B1046="",N(O1046)=0),"",R1046/O1046)</f>
        <v/>
      </c>
      <c r="T1046" s="14"/>
      <c r="U1046" s="19" t="n">
        <f aca="false">IF(OR($B1046="",$A1046=""),0,IF(COUNTIFS($A$5:$A1046,$A1046,$B$5:$B1046,$B1046)=1,1,0))</f>
        <v>0</v>
      </c>
    </row>
    <row r="1047" customFormat="false" ht="15" hidden="false" customHeight="false" outlineLevel="0" collapsed="false">
      <c r="A1047" s="17"/>
      <c r="B1047" s="13"/>
      <c r="C1047" s="20" t="str">
        <f aca="false">IF($B1047="","",IFERROR(INDEX(고객사!$B$5:$B$104,MATCH($B1047,고객사!$A$5:$A$104,0)),"코드 확인"))</f>
        <v/>
      </c>
      <c r="D1047" s="15"/>
      <c r="E1047" s="15"/>
      <c r="F1047" s="16"/>
      <c r="G1047" s="16"/>
      <c r="H1047" s="21" t="str">
        <f aca="false">IF(OR($B1047="",F1047=0),"",G1047/F1047)</f>
        <v/>
      </c>
      <c r="I1047" s="22" t="str">
        <f aca="false">IF($B1047="","",MAX(F1047-G1047,0))</f>
        <v/>
      </c>
      <c r="J1047" s="23" t="str">
        <f aca="false">IF($B1047="","",IFERROR(INDEX(고객사!$G$5:$G$104,MATCH($B1047,고객사!$A$5:$A$104,0)),""))</f>
        <v/>
      </c>
      <c r="K1047" s="16"/>
      <c r="L1047" s="22" t="str">
        <f aca="false">IF($B1047="","",K1047*IFERROR(INDEX(고객사!$L$5:$L$104,MATCH($B1047,고객사!$A$5:$A$104,0)),0))</f>
        <v/>
      </c>
      <c r="M1047" s="23" t="str">
        <f aca="false">IF($B1047="","",IF(AND(J1047="N",G1047&gt;0,K1047=0,IFERROR(INDEX(고객사!$H$5:$H$104,MATCH($B1047,고객사!$A$5:$A$104,0)),"")="자사 차량 운행"),"차량 미배정",""))</f>
        <v/>
      </c>
      <c r="N1047" s="22" t="str">
        <f aca="false">IF($B1047="","",IFERROR(INDEX(고객사!$J$5:$J$104,MATCH($B1047,고객사!$A$5:$A$104,0)),0))</f>
        <v/>
      </c>
      <c r="O1047" s="22" t="str">
        <f aca="false">IF($B1047="","",G1047*N1047)</f>
        <v/>
      </c>
      <c r="P1047" s="22" t="str">
        <f aca="false">IF($B1047="","",IFERROR(INDEX(고객사!$K$5:$K$104,MATCH($B1047,고객사!$A$5:$A$104,0)),0))</f>
        <v/>
      </c>
      <c r="Q1047" s="22" t="str">
        <f aca="false">IF($B1047="","",G1047*P1047)</f>
        <v/>
      </c>
      <c r="R1047" s="22" t="str">
        <f aca="false">IF($B1047="","",O1047-Q1047-L1047)</f>
        <v/>
      </c>
      <c r="S1047" s="21" t="str">
        <f aca="false">IF(OR($B1047="",N(O1047)=0),"",R1047/O1047)</f>
        <v/>
      </c>
      <c r="T1047" s="14"/>
      <c r="U1047" s="19" t="n">
        <f aca="false">IF(OR($B1047="",$A1047=""),0,IF(COUNTIFS($A$5:$A1047,$A1047,$B$5:$B1047,$B1047)=1,1,0))</f>
        <v>0</v>
      </c>
    </row>
    <row r="1048" customFormat="false" ht="15" hidden="false" customHeight="false" outlineLevel="0" collapsed="false">
      <c r="A1048" s="17"/>
      <c r="B1048" s="13"/>
      <c r="C1048" s="20" t="str">
        <f aca="false">IF($B1048="","",IFERROR(INDEX(고객사!$B$5:$B$104,MATCH($B1048,고객사!$A$5:$A$104,0)),"코드 확인"))</f>
        <v/>
      </c>
      <c r="D1048" s="15"/>
      <c r="E1048" s="15"/>
      <c r="F1048" s="16"/>
      <c r="G1048" s="16"/>
      <c r="H1048" s="21" t="str">
        <f aca="false">IF(OR($B1048="",F1048=0),"",G1048/F1048)</f>
        <v/>
      </c>
      <c r="I1048" s="22" t="str">
        <f aca="false">IF($B1048="","",MAX(F1048-G1048,0))</f>
        <v/>
      </c>
      <c r="J1048" s="23" t="str">
        <f aca="false">IF($B1048="","",IFERROR(INDEX(고객사!$G$5:$G$104,MATCH($B1048,고객사!$A$5:$A$104,0)),""))</f>
        <v/>
      </c>
      <c r="K1048" s="16"/>
      <c r="L1048" s="22" t="str">
        <f aca="false">IF($B1048="","",K1048*IFERROR(INDEX(고객사!$L$5:$L$104,MATCH($B1048,고객사!$A$5:$A$104,0)),0))</f>
        <v/>
      </c>
      <c r="M1048" s="23" t="str">
        <f aca="false">IF($B1048="","",IF(AND(J1048="N",G1048&gt;0,K1048=0,IFERROR(INDEX(고객사!$H$5:$H$104,MATCH($B1048,고객사!$A$5:$A$104,0)),"")="자사 차량 운행"),"차량 미배정",""))</f>
        <v/>
      </c>
      <c r="N1048" s="22" t="str">
        <f aca="false">IF($B1048="","",IFERROR(INDEX(고객사!$J$5:$J$104,MATCH($B1048,고객사!$A$5:$A$104,0)),0))</f>
        <v/>
      </c>
      <c r="O1048" s="22" t="str">
        <f aca="false">IF($B1048="","",G1048*N1048)</f>
        <v/>
      </c>
      <c r="P1048" s="22" t="str">
        <f aca="false">IF($B1048="","",IFERROR(INDEX(고객사!$K$5:$K$104,MATCH($B1048,고객사!$A$5:$A$104,0)),0))</f>
        <v/>
      </c>
      <c r="Q1048" s="22" t="str">
        <f aca="false">IF($B1048="","",G1048*P1048)</f>
        <v/>
      </c>
      <c r="R1048" s="22" t="str">
        <f aca="false">IF($B1048="","",O1048-Q1048-L1048)</f>
        <v/>
      </c>
      <c r="S1048" s="21" t="str">
        <f aca="false">IF(OR($B1048="",N(O1048)=0),"",R1048/O1048)</f>
        <v/>
      </c>
      <c r="T1048" s="14"/>
      <c r="U1048" s="19" t="n">
        <f aca="false">IF(OR($B1048="",$A1048=""),0,IF(COUNTIFS($A$5:$A1048,$A1048,$B$5:$B1048,$B1048)=1,1,0))</f>
        <v>0</v>
      </c>
    </row>
    <row r="1049" customFormat="false" ht="15" hidden="false" customHeight="false" outlineLevel="0" collapsed="false">
      <c r="A1049" s="17"/>
      <c r="B1049" s="13"/>
      <c r="C1049" s="20" t="str">
        <f aca="false">IF($B1049="","",IFERROR(INDEX(고객사!$B$5:$B$104,MATCH($B1049,고객사!$A$5:$A$104,0)),"코드 확인"))</f>
        <v/>
      </c>
      <c r="D1049" s="15"/>
      <c r="E1049" s="15"/>
      <c r="F1049" s="16"/>
      <c r="G1049" s="16"/>
      <c r="H1049" s="21" t="str">
        <f aca="false">IF(OR($B1049="",F1049=0),"",G1049/F1049)</f>
        <v/>
      </c>
      <c r="I1049" s="22" t="str">
        <f aca="false">IF($B1049="","",MAX(F1049-G1049,0))</f>
        <v/>
      </c>
      <c r="J1049" s="23" t="str">
        <f aca="false">IF($B1049="","",IFERROR(INDEX(고객사!$G$5:$G$104,MATCH($B1049,고객사!$A$5:$A$104,0)),""))</f>
        <v/>
      </c>
      <c r="K1049" s="16"/>
      <c r="L1049" s="22" t="str">
        <f aca="false">IF($B1049="","",K1049*IFERROR(INDEX(고객사!$L$5:$L$104,MATCH($B1049,고객사!$A$5:$A$104,0)),0))</f>
        <v/>
      </c>
      <c r="M1049" s="23" t="str">
        <f aca="false">IF($B1049="","",IF(AND(J1049="N",G1049&gt;0,K1049=0,IFERROR(INDEX(고객사!$H$5:$H$104,MATCH($B1049,고객사!$A$5:$A$104,0)),"")="자사 차량 운행"),"차량 미배정",""))</f>
        <v/>
      </c>
      <c r="N1049" s="22" t="str">
        <f aca="false">IF($B1049="","",IFERROR(INDEX(고객사!$J$5:$J$104,MATCH($B1049,고객사!$A$5:$A$104,0)),0))</f>
        <v/>
      </c>
      <c r="O1049" s="22" t="str">
        <f aca="false">IF($B1049="","",G1049*N1049)</f>
        <v/>
      </c>
      <c r="P1049" s="22" t="str">
        <f aca="false">IF($B1049="","",IFERROR(INDEX(고객사!$K$5:$K$104,MATCH($B1049,고객사!$A$5:$A$104,0)),0))</f>
        <v/>
      </c>
      <c r="Q1049" s="22" t="str">
        <f aca="false">IF($B1049="","",G1049*P1049)</f>
        <v/>
      </c>
      <c r="R1049" s="22" t="str">
        <f aca="false">IF($B1049="","",O1049-Q1049-L1049)</f>
        <v/>
      </c>
      <c r="S1049" s="21" t="str">
        <f aca="false">IF(OR($B1049="",N(O1049)=0),"",R1049/O1049)</f>
        <v/>
      </c>
      <c r="T1049" s="14"/>
      <c r="U1049" s="19" t="n">
        <f aca="false">IF(OR($B1049="",$A1049=""),0,IF(COUNTIFS($A$5:$A1049,$A1049,$B$5:$B1049,$B1049)=1,1,0))</f>
        <v>0</v>
      </c>
    </row>
    <row r="1050" customFormat="false" ht="15" hidden="false" customHeight="false" outlineLevel="0" collapsed="false">
      <c r="A1050" s="17"/>
      <c r="B1050" s="13"/>
      <c r="C1050" s="20" t="str">
        <f aca="false">IF($B1050="","",IFERROR(INDEX(고객사!$B$5:$B$104,MATCH($B1050,고객사!$A$5:$A$104,0)),"코드 확인"))</f>
        <v/>
      </c>
      <c r="D1050" s="15"/>
      <c r="E1050" s="15"/>
      <c r="F1050" s="16"/>
      <c r="G1050" s="16"/>
      <c r="H1050" s="21" t="str">
        <f aca="false">IF(OR($B1050="",F1050=0),"",G1050/F1050)</f>
        <v/>
      </c>
      <c r="I1050" s="22" t="str">
        <f aca="false">IF($B1050="","",MAX(F1050-G1050,0))</f>
        <v/>
      </c>
      <c r="J1050" s="23" t="str">
        <f aca="false">IF($B1050="","",IFERROR(INDEX(고객사!$G$5:$G$104,MATCH($B1050,고객사!$A$5:$A$104,0)),""))</f>
        <v/>
      </c>
      <c r="K1050" s="16"/>
      <c r="L1050" s="22" t="str">
        <f aca="false">IF($B1050="","",K1050*IFERROR(INDEX(고객사!$L$5:$L$104,MATCH($B1050,고객사!$A$5:$A$104,0)),0))</f>
        <v/>
      </c>
      <c r="M1050" s="23" t="str">
        <f aca="false">IF($B1050="","",IF(AND(J1050="N",G1050&gt;0,K1050=0,IFERROR(INDEX(고객사!$H$5:$H$104,MATCH($B1050,고객사!$A$5:$A$104,0)),"")="자사 차량 운행"),"차량 미배정",""))</f>
        <v/>
      </c>
      <c r="N1050" s="22" t="str">
        <f aca="false">IF($B1050="","",IFERROR(INDEX(고객사!$J$5:$J$104,MATCH($B1050,고객사!$A$5:$A$104,0)),0))</f>
        <v/>
      </c>
      <c r="O1050" s="22" t="str">
        <f aca="false">IF($B1050="","",G1050*N1050)</f>
        <v/>
      </c>
      <c r="P1050" s="22" t="str">
        <f aca="false">IF($B1050="","",IFERROR(INDEX(고객사!$K$5:$K$104,MATCH($B1050,고객사!$A$5:$A$104,0)),0))</f>
        <v/>
      </c>
      <c r="Q1050" s="22" t="str">
        <f aca="false">IF($B1050="","",G1050*P1050)</f>
        <v/>
      </c>
      <c r="R1050" s="22" t="str">
        <f aca="false">IF($B1050="","",O1050-Q1050-L1050)</f>
        <v/>
      </c>
      <c r="S1050" s="21" t="str">
        <f aca="false">IF(OR($B1050="",N(O1050)=0),"",R1050/O1050)</f>
        <v/>
      </c>
      <c r="T1050" s="14"/>
      <c r="U1050" s="19" t="n">
        <f aca="false">IF(OR($B1050="",$A1050=""),0,IF(COUNTIFS($A$5:$A1050,$A1050,$B$5:$B1050,$B1050)=1,1,0))</f>
        <v>0</v>
      </c>
    </row>
    <row r="1051" customFormat="false" ht="15" hidden="false" customHeight="false" outlineLevel="0" collapsed="false">
      <c r="A1051" s="17"/>
      <c r="B1051" s="13"/>
      <c r="C1051" s="20" t="str">
        <f aca="false">IF($B1051="","",IFERROR(INDEX(고객사!$B$5:$B$104,MATCH($B1051,고객사!$A$5:$A$104,0)),"코드 확인"))</f>
        <v/>
      </c>
      <c r="D1051" s="15"/>
      <c r="E1051" s="15"/>
      <c r="F1051" s="16"/>
      <c r="G1051" s="16"/>
      <c r="H1051" s="21" t="str">
        <f aca="false">IF(OR($B1051="",F1051=0),"",G1051/F1051)</f>
        <v/>
      </c>
      <c r="I1051" s="22" t="str">
        <f aca="false">IF($B1051="","",MAX(F1051-G1051,0))</f>
        <v/>
      </c>
      <c r="J1051" s="23" t="str">
        <f aca="false">IF($B1051="","",IFERROR(INDEX(고객사!$G$5:$G$104,MATCH($B1051,고객사!$A$5:$A$104,0)),""))</f>
        <v/>
      </c>
      <c r="K1051" s="16"/>
      <c r="L1051" s="22" t="str">
        <f aca="false">IF($B1051="","",K1051*IFERROR(INDEX(고객사!$L$5:$L$104,MATCH($B1051,고객사!$A$5:$A$104,0)),0))</f>
        <v/>
      </c>
      <c r="M1051" s="23" t="str">
        <f aca="false">IF($B1051="","",IF(AND(J1051="N",G1051&gt;0,K1051=0,IFERROR(INDEX(고객사!$H$5:$H$104,MATCH($B1051,고객사!$A$5:$A$104,0)),"")="자사 차량 운행"),"차량 미배정",""))</f>
        <v/>
      </c>
      <c r="N1051" s="22" t="str">
        <f aca="false">IF($B1051="","",IFERROR(INDEX(고객사!$J$5:$J$104,MATCH($B1051,고객사!$A$5:$A$104,0)),0))</f>
        <v/>
      </c>
      <c r="O1051" s="22" t="str">
        <f aca="false">IF($B1051="","",G1051*N1051)</f>
        <v/>
      </c>
      <c r="P1051" s="22" t="str">
        <f aca="false">IF($B1051="","",IFERROR(INDEX(고객사!$K$5:$K$104,MATCH($B1051,고객사!$A$5:$A$104,0)),0))</f>
        <v/>
      </c>
      <c r="Q1051" s="22" t="str">
        <f aca="false">IF($B1051="","",G1051*P1051)</f>
        <v/>
      </c>
      <c r="R1051" s="22" t="str">
        <f aca="false">IF($B1051="","",O1051-Q1051-L1051)</f>
        <v/>
      </c>
      <c r="S1051" s="21" t="str">
        <f aca="false">IF(OR($B1051="",N(O1051)=0),"",R1051/O1051)</f>
        <v/>
      </c>
      <c r="T1051" s="14"/>
      <c r="U1051" s="19" t="n">
        <f aca="false">IF(OR($B1051="",$A1051=""),0,IF(COUNTIFS($A$5:$A1051,$A1051,$B$5:$B1051,$B1051)=1,1,0))</f>
        <v>0</v>
      </c>
    </row>
    <row r="1052" customFormat="false" ht="15" hidden="false" customHeight="false" outlineLevel="0" collapsed="false">
      <c r="A1052" s="17"/>
      <c r="B1052" s="13"/>
      <c r="C1052" s="20" t="str">
        <f aca="false">IF($B1052="","",IFERROR(INDEX(고객사!$B$5:$B$104,MATCH($B1052,고객사!$A$5:$A$104,0)),"코드 확인"))</f>
        <v/>
      </c>
      <c r="D1052" s="15"/>
      <c r="E1052" s="15"/>
      <c r="F1052" s="16"/>
      <c r="G1052" s="16"/>
      <c r="H1052" s="21" t="str">
        <f aca="false">IF(OR($B1052="",F1052=0),"",G1052/F1052)</f>
        <v/>
      </c>
      <c r="I1052" s="22" t="str">
        <f aca="false">IF($B1052="","",MAX(F1052-G1052,0))</f>
        <v/>
      </c>
      <c r="J1052" s="23" t="str">
        <f aca="false">IF($B1052="","",IFERROR(INDEX(고객사!$G$5:$G$104,MATCH($B1052,고객사!$A$5:$A$104,0)),""))</f>
        <v/>
      </c>
      <c r="K1052" s="16"/>
      <c r="L1052" s="22" t="str">
        <f aca="false">IF($B1052="","",K1052*IFERROR(INDEX(고객사!$L$5:$L$104,MATCH($B1052,고객사!$A$5:$A$104,0)),0))</f>
        <v/>
      </c>
      <c r="M1052" s="23" t="str">
        <f aca="false">IF($B1052="","",IF(AND(J1052="N",G1052&gt;0,K1052=0,IFERROR(INDEX(고객사!$H$5:$H$104,MATCH($B1052,고객사!$A$5:$A$104,0)),"")="자사 차량 운행"),"차량 미배정",""))</f>
        <v/>
      </c>
      <c r="N1052" s="22" t="str">
        <f aca="false">IF($B1052="","",IFERROR(INDEX(고객사!$J$5:$J$104,MATCH($B1052,고객사!$A$5:$A$104,0)),0))</f>
        <v/>
      </c>
      <c r="O1052" s="22" t="str">
        <f aca="false">IF($B1052="","",G1052*N1052)</f>
        <v/>
      </c>
      <c r="P1052" s="22" t="str">
        <f aca="false">IF($B1052="","",IFERROR(INDEX(고객사!$K$5:$K$104,MATCH($B1052,고객사!$A$5:$A$104,0)),0))</f>
        <v/>
      </c>
      <c r="Q1052" s="22" t="str">
        <f aca="false">IF($B1052="","",G1052*P1052)</f>
        <v/>
      </c>
      <c r="R1052" s="22" t="str">
        <f aca="false">IF($B1052="","",O1052-Q1052-L1052)</f>
        <v/>
      </c>
      <c r="S1052" s="21" t="str">
        <f aca="false">IF(OR($B1052="",N(O1052)=0),"",R1052/O1052)</f>
        <v/>
      </c>
      <c r="T1052" s="14"/>
      <c r="U1052" s="19" t="n">
        <f aca="false">IF(OR($B1052="",$A1052=""),0,IF(COUNTIFS($A$5:$A1052,$A1052,$B$5:$B1052,$B1052)=1,1,0))</f>
        <v>0</v>
      </c>
    </row>
    <row r="1053" customFormat="false" ht="15" hidden="false" customHeight="false" outlineLevel="0" collapsed="false">
      <c r="A1053" s="17"/>
      <c r="B1053" s="13"/>
      <c r="C1053" s="20" t="str">
        <f aca="false">IF($B1053="","",IFERROR(INDEX(고객사!$B$5:$B$104,MATCH($B1053,고객사!$A$5:$A$104,0)),"코드 확인"))</f>
        <v/>
      </c>
      <c r="D1053" s="15"/>
      <c r="E1053" s="15"/>
      <c r="F1053" s="16"/>
      <c r="G1053" s="16"/>
      <c r="H1053" s="21" t="str">
        <f aca="false">IF(OR($B1053="",F1053=0),"",G1053/F1053)</f>
        <v/>
      </c>
      <c r="I1053" s="22" t="str">
        <f aca="false">IF($B1053="","",MAX(F1053-G1053,0))</f>
        <v/>
      </c>
      <c r="J1053" s="23" t="str">
        <f aca="false">IF($B1053="","",IFERROR(INDEX(고객사!$G$5:$G$104,MATCH($B1053,고객사!$A$5:$A$104,0)),""))</f>
        <v/>
      </c>
      <c r="K1053" s="16"/>
      <c r="L1053" s="22" t="str">
        <f aca="false">IF($B1053="","",K1053*IFERROR(INDEX(고객사!$L$5:$L$104,MATCH($B1053,고객사!$A$5:$A$104,0)),0))</f>
        <v/>
      </c>
      <c r="M1053" s="23" t="str">
        <f aca="false">IF($B1053="","",IF(AND(J1053="N",G1053&gt;0,K1053=0,IFERROR(INDEX(고객사!$H$5:$H$104,MATCH($B1053,고객사!$A$5:$A$104,0)),"")="자사 차량 운행"),"차량 미배정",""))</f>
        <v/>
      </c>
      <c r="N1053" s="22" t="str">
        <f aca="false">IF($B1053="","",IFERROR(INDEX(고객사!$J$5:$J$104,MATCH($B1053,고객사!$A$5:$A$104,0)),0))</f>
        <v/>
      </c>
      <c r="O1053" s="22" t="str">
        <f aca="false">IF($B1053="","",G1053*N1053)</f>
        <v/>
      </c>
      <c r="P1053" s="22" t="str">
        <f aca="false">IF($B1053="","",IFERROR(INDEX(고객사!$K$5:$K$104,MATCH($B1053,고객사!$A$5:$A$104,0)),0))</f>
        <v/>
      </c>
      <c r="Q1053" s="22" t="str">
        <f aca="false">IF($B1053="","",G1053*P1053)</f>
        <v/>
      </c>
      <c r="R1053" s="22" t="str">
        <f aca="false">IF($B1053="","",O1053-Q1053-L1053)</f>
        <v/>
      </c>
      <c r="S1053" s="21" t="str">
        <f aca="false">IF(OR($B1053="",N(O1053)=0),"",R1053/O1053)</f>
        <v/>
      </c>
      <c r="T1053" s="14"/>
      <c r="U1053" s="19" t="n">
        <f aca="false">IF(OR($B1053="",$A1053=""),0,IF(COUNTIFS($A$5:$A1053,$A1053,$B$5:$B1053,$B1053)=1,1,0))</f>
        <v>0</v>
      </c>
    </row>
    <row r="1054" customFormat="false" ht="15" hidden="false" customHeight="false" outlineLevel="0" collapsed="false">
      <c r="A1054" s="17"/>
      <c r="B1054" s="13"/>
      <c r="C1054" s="20" t="str">
        <f aca="false">IF($B1054="","",IFERROR(INDEX(고객사!$B$5:$B$104,MATCH($B1054,고객사!$A$5:$A$104,0)),"코드 확인"))</f>
        <v/>
      </c>
      <c r="D1054" s="15"/>
      <c r="E1054" s="15"/>
      <c r="F1054" s="16"/>
      <c r="G1054" s="16"/>
      <c r="H1054" s="21" t="str">
        <f aca="false">IF(OR($B1054="",F1054=0),"",G1054/F1054)</f>
        <v/>
      </c>
      <c r="I1054" s="22" t="str">
        <f aca="false">IF($B1054="","",MAX(F1054-G1054,0))</f>
        <v/>
      </c>
      <c r="J1054" s="23" t="str">
        <f aca="false">IF($B1054="","",IFERROR(INDEX(고객사!$G$5:$G$104,MATCH($B1054,고객사!$A$5:$A$104,0)),""))</f>
        <v/>
      </c>
      <c r="K1054" s="16"/>
      <c r="L1054" s="22" t="str">
        <f aca="false">IF($B1054="","",K1054*IFERROR(INDEX(고객사!$L$5:$L$104,MATCH($B1054,고객사!$A$5:$A$104,0)),0))</f>
        <v/>
      </c>
      <c r="M1054" s="23" t="str">
        <f aca="false">IF($B1054="","",IF(AND(J1054="N",G1054&gt;0,K1054=0,IFERROR(INDEX(고객사!$H$5:$H$104,MATCH($B1054,고객사!$A$5:$A$104,0)),"")="자사 차량 운행"),"차량 미배정",""))</f>
        <v/>
      </c>
      <c r="N1054" s="22" t="str">
        <f aca="false">IF($B1054="","",IFERROR(INDEX(고객사!$J$5:$J$104,MATCH($B1054,고객사!$A$5:$A$104,0)),0))</f>
        <v/>
      </c>
      <c r="O1054" s="22" t="str">
        <f aca="false">IF($B1054="","",G1054*N1054)</f>
        <v/>
      </c>
      <c r="P1054" s="22" t="str">
        <f aca="false">IF($B1054="","",IFERROR(INDEX(고객사!$K$5:$K$104,MATCH($B1054,고객사!$A$5:$A$104,0)),0))</f>
        <v/>
      </c>
      <c r="Q1054" s="22" t="str">
        <f aca="false">IF($B1054="","",G1054*P1054)</f>
        <v/>
      </c>
      <c r="R1054" s="22" t="str">
        <f aca="false">IF($B1054="","",O1054-Q1054-L1054)</f>
        <v/>
      </c>
      <c r="S1054" s="21" t="str">
        <f aca="false">IF(OR($B1054="",N(O1054)=0),"",R1054/O1054)</f>
        <v/>
      </c>
      <c r="T1054" s="14"/>
      <c r="U1054" s="19" t="n">
        <f aca="false">IF(OR($B1054="",$A1054=""),0,IF(COUNTIFS($A$5:$A1054,$A1054,$B$5:$B1054,$B1054)=1,1,0))</f>
        <v>0</v>
      </c>
    </row>
    <row r="1055" customFormat="false" ht="15" hidden="false" customHeight="false" outlineLevel="0" collapsed="false">
      <c r="A1055" s="17"/>
      <c r="B1055" s="13"/>
      <c r="C1055" s="20" t="str">
        <f aca="false">IF($B1055="","",IFERROR(INDEX(고객사!$B$5:$B$104,MATCH($B1055,고객사!$A$5:$A$104,0)),"코드 확인"))</f>
        <v/>
      </c>
      <c r="D1055" s="15"/>
      <c r="E1055" s="15"/>
      <c r="F1055" s="16"/>
      <c r="G1055" s="16"/>
      <c r="H1055" s="21" t="str">
        <f aca="false">IF(OR($B1055="",F1055=0),"",G1055/F1055)</f>
        <v/>
      </c>
      <c r="I1055" s="22" t="str">
        <f aca="false">IF($B1055="","",MAX(F1055-G1055,0))</f>
        <v/>
      </c>
      <c r="J1055" s="23" t="str">
        <f aca="false">IF($B1055="","",IFERROR(INDEX(고객사!$G$5:$G$104,MATCH($B1055,고객사!$A$5:$A$104,0)),""))</f>
        <v/>
      </c>
      <c r="K1055" s="16"/>
      <c r="L1055" s="22" t="str">
        <f aca="false">IF($B1055="","",K1055*IFERROR(INDEX(고객사!$L$5:$L$104,MATCH($B1055,고객사!$A$5:$A$104,0)),0))</f>
        <v/>
      </c>
      <c r="M1055" s="23" t="str">
        <f aca="false">IF($B1055="","",IF(AND(J1055="N",G1055&gt;0,K1055=0,IFERROR(INDEX(고객사!$H$5:$H$104,MATCH($B1055,고객사!$A$5:$A$104,0)),"")="자사 차량 운행"),"차량 미배정",""))</f>
        <v/>
      </c>
      <c r="N1055" s="22" t="str">
        <f aca="false">IF($B1055="","",IFERROR(INDEX(고객사!$J$5:$J$104,MATCH($B1055,고객사!$A$5:$A$104,0)),0))</f>
        <v/>
      </c>
      <c r="O1055" s="22" t="str">
        <f aca="false">IF($B1055="","",G1055*N1055)</f>
        <v/>
      </c>
      <c r="P1055" s="22" t="str">
        <f aca="false">IF($B1055="","",IFERROR(INDEX(고객사!$K$5:$K$104,MATCH($B1055,고객사!$A$5:$A$104,0)),0))</f>
        <v/>
      </c>
      <c r="Q1055" s="22" t="str">
        <f aca="false">IF($B1055="","",G1055*P1055)</f>
        <v/>
      </c>
      <c r="R1055" s="22" t="str">
        <f aca="false">IF($B1055="","",O1055-Q1055-L1055)</f>
        <v/>
      </c>
      <c r="S1055" s="21" t="str">
        <f aca="false">IF(OR($B1055="",N(O1055)=0),"",R1055/O1055)</f>
        <v/>
      </c>
      <c r="T1055" s="14"/>
      <c r="U1055" s="19" t="n">
        <f aca="false">IF(OR($B1055="",$A1055=""),0,IF(COUNTIFS($A$5:$A1055,$A1055,$B$5:$B1055,$B1055)=1,1,0))</f>
        <v>0</v>
      </c>
    </row>
    <row r="1056" customFormat="false" ht="15" hidden="false" customHeight="false" outlineLevel="0" collapsed="false">
      <c r="A1056" s="17"/>
      <c r="B1056" s="13"/>
      <c r="C1056" s="20" t="str">
        <f aca="false">IF($B1056="","",IFERROR(INDEX(고객사!$B$5:$B$104,MATCH($B1056,고객사!$A$5:$A$104,0)),"코드 확인"))</f>
        <v/>
      </c>
      <c r="D1056" s="15"/>
      <c r="E1056" s="15"/>
      <c r="F1056" s="16"/>
      <c r="G1056" s="16"/>
      <c r="H1056" s="21" t="str">
        <f aca="false">IF(OR($B1056="",F1056=0),"",G1056/F1056)</f>
        <v/>
      </c>
      <c r="I1056" s="22" t="str">
        <f aca="false">IF($B1056="","",MAX(F1056-G1056,0))</f>
        <v/>
      </c>
      <c r="J1056" s="23" t="str">
        <f aca="false">IF($B1056="","",IFERROR(INDEX(고객사!$G$5:$G$104,MATCH($B1056,고객사!$A$5:$A$104,0)),""))</f>
        <v/>
      </c>
      <c r="K1056" s="16"/>
      <c r="L1056" s="22" t="str">
        <f aca="false">IF($B1056="","",K1056*IFERROR(INDEX(고객사!$L$5:$L$104,MATCH($B1056,고객사!$A$5:$A$104,0)),0))</f>
        <v/>
      </c>
      <c r="M1056" s="23" t="str">
        <f aca="false">IF($B1056="","",IF(AND(J1056="N",G1056&gt;0,K1056=0,IFERROR(INDEX(고객사!$H$5:$H$104,MATCH($B1056,고객사!$A$5:$A$104,0)),"")="자사 차량 운행"),"차량 미배정",""))</f>
        <v/>
      </c>
      <c r="N1056" s="22" t="str">
        <f aca="false">IF($B1056="","",IFERROR(INDEX(고객사!$J$5:$J$104,MATCH($B1056,고객사!$A$5:$A$104,0)),0))</f>
        <v/>
      </c>
      <c r="O1056" s="22" t="str">
        <f aca="false">IF($B1056="","",G1056*N1056)</f>
        <v/>
      </c>
      <c r="P1056" s="22" t="str">
        <f aca="false">IF($B1056="","",IFERROR(INDEX(고객사!$K$5:$K$104,MATCH($B1056,고객사!$A$5:$A$104,0)),0))</f>
        <v/>
      </c>
      <c r="Q1056" s="22" t="str">
        <f aca="false">IF($B1056="","",G1056*P1056)</f>
        <v/>
      </c>
      <c r="R1056" s="22" t="str">
        <f aca="false">IF($B1056="","",O1056-Q1056-L1056)</f>
        <v/>
      </c>
      <c r="S1056" s="21" t="str">
        <f aca="false">IF(OR($B1056="",N(O1056)=0),"",R1056/O1056)</f>
        <v/>
      </c>
      <c r="T1056" s="14"/>
      <c r="U1056" s="19" t="n">
        <f aca="false">IF(OR($B1056="",$A1056=""),0,IF(COUNTIFS($A$5:$A1056,$A1056,$B$5:$B1056,$B1056)=1,1,0))</f>
        <v>0</v>
      </c>
    </row>
    <row r="1057" customFormat="false" ht="15" hidden="false" customHeight="false" outlineLevel="0" collapsed="false">
      <c r="A1057" s="17"/>
      <c r="B1057" s="13"/>
      <c r="C1057" s="20" t="str">
        <f aca="false">IF($B1057="","",IFERROR(INDEX(고객사!$B$5:$B$104,MATCH($B1057,고객사!$A$5:$A$104,0)),"코드 확인"))</f>
        <v/>
      </c>
      <c r="D1057" s="15"/>
      <c r="E1057" s="15"/>
      <c r="F1057" s="16"/>
      <c r="G1057" s="16"/>
      <c r="H1057" s="21" t="str">
        <f aca="false">IF(OR($B1057="",F1057=0),"",G1057/F1057)</f>
        <v/>
      </c>
      <c r="I1057" s="22" t="str">
        <f aca="false">IF($B1057="","",MAX(F1057-G1057,0))</f>
        <v/>
      </c>
      <c r="J1057" s="23" t="str">
        <f aca="false">IF($B1057="","",IFERROR(INDEX(고객사!$G$5:$G$104,MATCH($B1057,고객사!$A$5:$A$104,0)),""))</f>
        <v/>
      </c>
      <c r="K1057" s="16"/>
      <c r="L1057" s="22" t="str">
        <f aca="false">IF($B1057="","",K1057*IFERROR(INDEX(고객사!$L$5:$L$104,MATCH($B1057,고객사!$A$5:$A$104,0)),0))</f>
        <v/>
      </c>
      <c r="M1057" s="23" t="str">
        <f aca="false">IF($B1057="","",IF(AND(J1057="N",G1057&gt;0,K1057=0,IFERROR(INDEX(고객사!$H$5:$H$104,MATCH($B1057,고객사!$A$5:$A$104,0)),"")="자사 차량 운행"),"차량 미배정",""))</f>
        <v/>
      </c>
      <c r="N1057" s="22" t="str">
        <f aca="false">IF($B1057="","",IFERROR(INDEX(고객사!$J$5:$J$104,MATCH($B1057,고객사!$A$5:$A$104,0)),0))</f>
        <v/>
      </c>
      <c r="O1057" s="22" t="str">
        <f aca="false">IF($B1057="","",G1057*N1057)</f>
        <v/>
      </c>
      <c r="P1057" s="22" t="str">
        <f aca="false">IF($B1057="","",IFERROR(INDEX(고객사!$K$5:$K$104,MATCH($B1057,고객사!$A$5:$A$104,0)),0))</f>
        <v/>
      </c>
      <c r="Q1057" s="22" t="str">
        <f aca="false">IF($B1057="","",G1057*P1057)</f>
        <v/>
      </c>
      <c r="R1057" s="22" t="str">
        <f aca="false">IF($B1057="","",O1057-Q1057-L1057)</f>
        <v/>
      </c>
      <c r="S1057" s="21" t="str">
        <f aca="false">IF(OR($B1057="",N(O1057)=0),"",R1057/O1057)</f>
        <v/>
      </c>
      <c r="T1057" s="14"/>
      <c r="U1057" s="19" t="n">
        <f aca="false">IF(OR($B1057="",$A1057=""),0,IF(COUNTIFS($A$5:$A1057,$A1057,$B$5:$B1057,$B1057)=1,1,0))</f>
        <v>0</v>
      </c>
    </row>
    <row r="1058" customFormat="false" ht="15" hidden="false" customHeight="false" outlineLevel="0" collapsed="false">
      <c r="A1058" s="17"/>
      <c r="B1058" s="13"/>
      <c r="C1058" s="20" t="str">
        <f aca="false">IF($B1058="","",IFERROR(INDEX(고객사!$B$5:$B$104,MATCH($B1058,고객사!$A$5:$A$104,0)),"코드 확인"))</f>
        <v/>
      </c>
      <c r="D1058" s="15"/>
      <c r="E1058" s="15"/>
      <c r="F1058" s="16"/>
      <c r="G1058" s="16"/>
      <c r="H1058" s="21" t="str">
        <f aca="false">IF(OR($B1058="",F1058=0),"",G1058/F1058)</f>
        <v/>
      </c>
      <c r="I1058" s="22" t="str">
        <f aca="false">IF($B1058="","",MAX(F1058-G1058,0))</f>
        <v/>
      </c>
      <c r="J1058" s="23" t="str">
        <f aca="false">IF($B1058="","",IFERROR(INDEX(고객사!$G$5:$G$104,MATCH($B1058,고객사!$A$5:$A$104,0)),""))</f>
        <v/>
      </c>
      <c r="K1058" s="16"/>
      <c r="L1058" s="22" t="str">
        <f aca="false">IF($B1058="","",K1058*IFERROR(INDEX(고객사!$L$5:$L$104,MATCH($B1058,고객사!$A$5:$A$104,0)),0))</f>
        <v/>
      </c>
      <c r="M1058" s="23" t="str">
        <f aca="false">IF($B1058="","",IF(AND(J1058="N",G1058&gt;0,K1058=0,IFERROR(INDEX(고객사!$H$5:$H$104,MATCH($B1058,고객사!$A$5:$A$104,0)),"")="자사 차량 운행"),"차량 미배정",""))</f>
        <v/>
      </c>
      <c r="N1058" s="22" t="str">
        <f aca="false">IF($B1058="","",IFERROR(INDEX(고객사!$J$5:$J$104,MATCH($B1058,고객사!$A$5:$A$104,0)),0))</f>
        <v/>
      </c>
      <c r="O1058" s="22" t="str">
        <f aca="false">IF($B1058="","",G1058*N1058)</f>
        <v/>
      </c>
      <c r="P1058" s="22" t="str">
        <f aca="false">IF($B1058="","",IFERROR(INDEX(고객사!$K$5:$K$104,MATCH($B1058,고객사!$A$5:$A$104,0)),0))</f>
        <v/>
      </c>
      <c r="Q1058" s="22" t="str">
        <f aca="false">IF($B1058="","",G1058*P1058)</f>
        <v/>
      </c>
      <c r="R1058" s="22" t="str">
        <f aca="false">IF($B1058="","",O1058-Q1058-L1058)</f>
        <v/>
      </c>
      <c r="S1058" s="21" t="str">
        <f aca="false">IF(OR($B1058="",N(O1058)=0),"",R1058/O1058)</f>
        <v/>
      </c>
      <c r="T1058" s="14"/>
      <c r="U1058" s="19" t="n">
        <f aca="false">IF(OR($B1058="",$A1058=""),0,IF(COUNTIFS($A$5:$A1058,$A1058,$B$5:$B1058,$B1058)=1,1,0))</f>
        <v>0</v>
      </c>
    </row>
    <row r="1059" customFormat="false" ht="15" hidden="false" customHeight="false" outlineLevel="0" collapsed="false">
      <c r="A1059" s="17"/>
      <c r="B1059" s="13"/>
      <c r="C1059" s="20" t="str">
        <f aca="false">IF($B1059="","",IFERROR(INDEX(고객사!$B$5:$B$104,MATCH($B1059,고객사!$A$5:$A$104,0)),"코드 확인"))</f>
        <v/>
      </c>
      <c r="D1059" s="15"/>
      <c r="E1059" s="15"/>
      <c r="F1059" s="16"/>
      <c r="G1059" s="16"/>
      <c r="H1059" s="21" t="str">
        <f aca="false">IF(OR($B1059="",F1059=0),"",G1059/F1059)</f>
        <v/>
      </c>
      <c r="I1059" s="22" t="str">
        <f aca="false">IF($B1059="","",MAX(F1059-G1059,0))</f>
        <v/>
      </c>
      <c r="J1059" s="23" t="str">
        <f aca="false">IF($B1059="","",IFERROR(INDEX(고객사!$G$5:$G$104,MATCH($B1059,고객사!$A$5:$A$104,0)),""))</f>
        <v/>
      </c>
      <c r="K1059" s="16"/>
      <c r="L1059" s="22" t="str">
        <f aca="false">IF($B1059="","",K1059*IFERROR(INDEX(고객사!$L$5:$L$104,MATCH($B1059,고객사!$A$5:$A$104,0)),0))</f>
        <v/>
      </c>
      <c r="M1059" s="23" t="str">
        <f aca="false">IF($B1059="","",IF(AND(J1059="N",G1059&gt;0,K1059=0,IFERROR(INDEX(고객사!$H$5:$H$104,MATCH($B1059,고객사!$A$5:$A$104,0)),"")="자사 차량 운행"),"차량 미배정",""))</f>
        <v/>
      </c>
      <c r="N1059" s="22" t="str">
        <f aca="false">IF($B1059="","",IFERROR(INDEX(고객사!$J$5:$J$104,MATCH($B1059,고객사!$A$5:$A$104,0)),0))</f>
        <v/>
      </c>
      <c r="O1059" s="22" t="str">
        <f aca="false">IF($B1059="","",G1059*N1059)</f>
        <v/>
      </c>
      <c r="P1059" s="22" t="str">
        <f aca="false">IF($B1059="","",IFERROR(INDEX(고객사!$K$5:$K$104,MATCH($B1059,고객사!$A$5:$A$104,0)),0))</f>
        <v/>
      </c>
      <c r="Q1059" s="22" t="str">
        <f aca="false">IF($B1059="","",G1059*P1059)</f>
        <v/>
      </c>
      <c r="R1059" s="22" t="str">
        <f aca="false">IF($B1059="","",O1059-Q1059-L1059)</f>
        <v/>
      </c>
      <c r="S1059" s="21" t="str">
        <f aca="false">IF(OR($B1059="",N(O1059)=0),"",R1059/O1059)</f>
        <v/>
      </c>
      <c r="T1059" s="14"/>
      <c r="U1059" s="19" t="n">
        <f aca="false">IF(OR($B1059="",$A1059=""),0,IF(COUNTIFS($A$5:$A1059,$A1059,$B$5:$B1059,$B1059)=1,1,0))</f>
        <v>0</v>
      </c>
    </row>
    <row r="1060" customFormat="false" ht="15" hidden="false" customHeight="false" outlineLevel="0" collapsed="false">
      <c r="A1060" s="17"/>
      <c r="B1060" s="13"/>
      <c r="C1060" s="20" t="str">
        <f aca="false">IF($B1060="","",IFERROR(INDEX(고객사!$B$5:$B$104,MATCH($B1060,고객사!$A$5:$A$104,0)),"코드 확인"))</f>
        <v/>
      </c>
      <c r="D1060" s="15"/>
      <c r="E1060" s="15"/>
      <c r="F1060" s="16"/>
      <c r="G1060" s="16"/>
      <c r="H1060" s="21" t="str">
        <f aca="false">IF(OR($B1060="",F1060=0),"",G1060/F1060)</f>
        <v/>
      </c>
      <c r="I1060" s="22" t="str">
        <f aca="false">IF($B1060="","",MAX(F1060-G1060,0))</f>
        <v/>
      </c>
      <c r="J1060" s="23" t="str">
        <f aca="false">IF($B1060="","",IFERROR(INDEX(고객사!$G$5:$G$104,MATCH($B1060,고객사!$A$5:$A$104,0)),""))</f>
        <v/>
      </c>
      <c r="K1060" s="16"/>
      <c r="L1060" s="22" t="str">
        <f aca="false">IF($B1060="","",K1060*IFERROR(INDEX(고객사!$L$5:$L$104,MATCH($B1060,고객사!$A$5:$A$104,0)),0))</f>
        <v/>
      </c>
      <c r="M1060" s="23" t="str">
        <f aca="false">IF($B1060="","",IF(AND(J1060="N",G1060&gt;0,K1060=0,IFERROR(INDEX(고객사!$H$5:$H$104,MATCH($B1060,고객사!$A$5:$A$104,0)),"")="자사 차량 운행"),"차량 미배정",""))</f>
        <v/>
      </c>
      <c r="N1060" s="22" t="str">
        <f aca="false">IF($B1060="","",IFERROR(INDEX(고객사!$J$5:$J$104,MATCH($B1060,고객사!$A$5:$A$104,0)),0))</f>
        <v/>
      </c>
      <c r="O1060" s="22" t="str">
        <f aca="false">IF($B1060="","",G1060*N1060)</f>
        <v/>
      </c>
      <c r="P1060" s="22" t="str">
        <f aca="false">IF($B1060="","",IFERROR(INDEX(고객사!$K$5:$K$104,MATCH($B1060,고객사!$A$5:$A$104,0)),0))</f>
        <v/>
      </c>
      <c r="Q1060" s="22" t="str">
        <f aca="false">IF($B1060="","",G1060*P1060)</f>
        <v/>
      </c>
      <c r="R1060" s="22" t="str">
        <f aca="false">IF($B1060="","",O1060-Q1060-L1060)</f>
        <v/>
      </c>
      <c r="S1060" s="21" t="str">
        <f aca="false">IF(OR($B1060="",N(O1060)=0),"",R1060/O1060)</f>
        <v/>
      </c>
      <c r="T1060" s="14"/>
      <c r="U1060" s="19" t="n">
        <f aca="false">IF(OR($B1060="",$A1060=""),0,IF(COUNTIFS($A$5:$A1060,$A1060,$B$5:$B1060,$B1060)=1,1,0))</f>
        <v>0</v>
      </c>
    </row>
    <row r="1061" customFormat="false" ht="15" hidden="false" customHeight="false" outlineLevel="0" collapsed="false">
      <c r="A1061" s="17"/>
      <c r="B1061" s="13"/>
      <c r="C1061" s="20" t="str">
        <f aca="false">IF($B1061="","",IFERROR(INDEX(고객사!$B$5:$B$104,MATCH($B1061,고객사!$A$5:$A$104,0)),"코드 확인"))</f>
        <v/>
      </c>
      <c r="D1061" s="15"/>
      <c r="E1061" s="15"/>
      <c r="F1061" s="16"/>
      <c r="G1061" s="16"/>
      <c r="H1061" s="21" t="str">
        <f aca="false">IF(OR($B1061="",F1061=0),"",G1061/F1061)</f>
        <v/>
      </c>
      <c r="I1061" s="22" t="str">
        <f aca="false">IF($B1061="","",MAX(F1061-G1061,0))</f>
        <v/>
      </c>
      <c r="J1061" s="23" t="str">
        <f aca="false">IF($B1061="","",IFERROR(INDEX(고객사!$G$5:$G$104,MATCH($B1061,고객사!$A$5:$A$104,0)),""))</f>
        <v/>
      </c>
      <c r="K1061" s="16"/>
      <c r="L1061" s="22" t="str">
        <f aca="false">IF($B1061="","",K1061*IFERROR(INDEX(고객사!$L$5:$L$104,MATCH($B1061,고객사!$A$5:$A$104,0)),0))</f>
        <v/>
      </c>
      <c r="M1061" s="23" t="str">
        <f aca="false">IF($B1061="","",IF(AND(J1061="N",G1061&gt;0,K1061=0,IFERROR(INDEX(고객사!$H$5:$H$104,MATCH($B1061,고객사!$A$5:$A$104,0)),"")="자사 차량 운행"),"차량 미배정",""))</f>
        <v/>
      </c>
      <c r="N1061" s="22" t="str">
        <f aca="false">IF($B1061="","",IFERROR(INDEX(고객사!$J$5:$J$104,MATCH($B1061,고객사!$A$5:$A$104,0)),0))</f>
        <v/>
      </c>
      <c r="O1061" s="22" t="str">
        <f aca="false">IF($B1061="","",G1061*N1061)</f>
        <v/>
      </c>
      <c r="P1061" s="22" t="str">
        <f aca="false">IF($B1061="","",IFERROR(INDEX(고객사!$K$5:$K$104,MATCH($B1061,고객사!$A$5:$A$104,0)),0))</f>
        <v/>
      </c>
      <c r="Q1061" s="22" t="str">
        <f aca="false">IF($B1061="","",G1061*P1061)</f>
        <v/>
      </c>
      <c r="R1061" s="22" t="str">
        <f aca="false">IF($B1061="","",O1061-Q1061-L1061)</f>
        <v/>
      </c>
      <c r="S1061" s="21" t="str">
        <f aca="false">IF(OR($B1061="",N(O1061)=0),"",R1061/O1061)</f>
        <v/>
      </c>
      <c r="T1061" s="14"/>
      <c r="U1061" s="19" t="n">
        <f aca="false">IF(OR($B1061="",$A1061=""),0,IF(COUNTIFS($A$5:$A1061,$A1061,$B$5:$B1061,$B1061)=1,1,0))</f>
        <v>0</v>
      </c>
    </row>
    <row r="1062" customFormat="false" ht="15" hidden="false" customHeight="false" outlineLevel="0" collapsed="false">
      <c r="A1062" s="17"/>
      <c r="B1062" s="13"/>
      <c r="C1062" s="20" t="str">
        <f aca="false">IF($B1062="","",IFERROR(INDEX(고객사!$B$5:$B$104,MATCH($B1062,고객사!$A$5:$A$104,0)),"코드 확인"))</f>
        <v/>
      </c>
      <c r="D1062" s="15"/>
      <c r="E1062" s="15"/>
      <c r="F1062" s="16"/>
      <c r="G1062" s="16"/>
      <c r="H1062" s="21" t="str">
        <f aca="false">IF(OR($B1062="",F1062=0),"",G1062/F1062)</f>
        <v/>
      </c>
      <c r="I1062" s="22" t="str">
        <f aca="false">IF($B1062="","",MAX(F1062-G1062,0))</f>
        <v/>
      </c>
      <c r="J1062" s="23" t="str">
        <f aca="false">IF($B1062="","",IFERROR(INDEX(고객사!$G$5:$G$104,MATCH($B1062,고객사!$A$5:$A$104,0)),""))</f>
        <v/>
      </c>
      <c r="K1062" s="16"/>
      <c r="L1062" s="22" t="str">
        <f aca="false">IF($B1062="","",K1062*IFERROR(INDEX(고객사!$L$5:$L$104,MATCH($B1062,고객사!$A$5:$A$104,0)),0))</f>
        <v/>
      </c>
      <c r="M1062" s="23" t="str">
        <f aca="false">IF($B1062="","",IF(AND(J1062="N",G1062&gt;0,K1062=0,IFERROR(INDEX(고객사!$H$5:$H$104,MATCH($B1062,고객사!$A$5:$A$104,0)),"")="자사 차량 운행"),"차량 미배정",""))</f>
        <v/>
      </c>
      <c r="N1062" s="22" t="str">
        <f aca="false">IF($B1062="","",IFERROR(INDEX(고객사!$J$5:$J$104,MATCH($B1062,고객사!$A$5:$A$104,0)),0))</f>
        <v/>
      </c>
      <c r="O1062" s="22" t="str">
        <f aca="false">IF($B1062="","",G1062*N1062)</f>
        <v/>
      </c>
      <c r="P1062" s="22" t="str">
        <f aca="false">IF($B1062="","",IFERROR(INDEX(고객사!$K$5:$K$104,MATCH($B1062,고객사!$A$5:$A$104,0)),0))</f>
        <v/>
      </c>
      <c r="Q1062" s="22" t="str">
        <f aca="false">IF($B1062="","",G1062*P1062)</f>
        <v/>
      </c>
      <c r="R1062" s="22" t="str">
        <f aca="false">IF($B1062="","",O1062-Q1062-L1062)</f>
        <v/>
      </c>
      <c r="S1062" s="21" t="str">
        <f aca="false">IF(OR($B1062="",N(O1062)=0),"",R1062/O1062)</f>
        <v/>
      </c>
      <c r="T1062" s="14"/>
      <c r="U1062" s="19" t="n">
        <f aca="false">IF(OR($B1062="",$A1062=""),0,IF(COUNTIFS($A$5:$A1062,$A1062,$B$5:$B1062,$B1062)=1,1,0))</f>
        <v>0</v>
      </c>
    </row>
    <row r="1063" customFormat="false" ht="15" hidden="false" customHeight="false" outlineLevel="0" collapsed="false">
      <c r="A1063" s="17"/>
      <c r="B1063" s="13"/>
      <c r="C1063" s="20" t="str">
        <f aca="false">IF($B1063="","",IFERROR(INDEX(고객사!$B$5:$B$104,MATCH($B1063,고객사!$A$5:$A$104,0)),"코드 확인"))</f>
        <v/>
      </c>
      <c r="D1063" s="15"/>
      <c r="E1063" s="15"/>
      <c r="F1063" s="16"/>
      <c r="G1063" s="16"/>
      <c r="H1063" s="21" t="str">
        <f aca="false">IF(OR($B1063="",F1063=0),"",G1063/F1063)</f>
        <v/>
      </c>
      <c r="I1063" s="22" t="str">
        <f aca="false">IF($B1063="","",MAX(F1063-G1063,0))</f>
        <v/>
      </c>
      <c r="J1063" s="23" t="str">
        <f aca="false">IF($B1063="","",IFERROR(INDEX(고객사!$G$5:$G$104,MATCH($B1063,고객사!$A$5:$A$104,0)),""))</f>
        <v/>
      </c>
      <c r="K1063" s="16"/>
      <c r="L1063" s="22" t="str">
        <f aca="false">IF($B1063="","",K1063*IFERROR(INDEX(고객사!$L$5:$L$104,MATCH($B1063,고객사!$A$5:$A$104,0)),0))</f>
        <v/>
      </c>
      <c r="M1063" s="23" t="str">
        <f aca="false">IF($B1063="","",IF(AND(J1063="N",G1063&gt;0,K1063=0,IFERROR(INDEX(고객사!$H$5:$H$104,MATCH($B1063,고객사!$A$5:$A$104,0)),"")="자사 차량 운행"),"차량 미배정",""))</f>
        <v/>
      </c>
      <c r="N1063" s="22" t="str">
        <f aca="false">IF($B1063="","",IFERROR(INDEX(고객사!$J$5:$J$104,MATCH($B1063,고객사!$A$5:$A$104,0)),0))</f>
        <v/>
      </c>
      <c r="O1063" s="22" t="str">
        <f aca="false">IF($B1063="","",G1063*N1063)</f>
        <v/>
      </c>
      <c r="P1063" s="22" t="str">
        <f aca="false">IF($B1063="","",IFERROR(INDEX(고객사!$K$5:$K$104,MATCH($B1063,고객사!$A$5:$A$104,0)),0))</f>
        <v/>
      </c>
      <c r="Q1063" s="22" t="str">
        <f aca="false">IF($B1063="","",G1063*P1063)</f>
        <v/>
      </c>
      <c r="R1063" s="22" t="str">
        <f aca="false">IF($B1063="","",O1063-Q1063-L1063)</f>
        <v/>
      </c>
      <c r="S1063" s="21" t="str">
        <f aca="false">IF(OR($B1063="",N(O1063)=0),"",R1063/O1063)</f>
        <v/>
      </c>
      <c r="T1063" s="14"/>
      <c r="U1063" s="19" t="n">
        <f aca="false">IF(OR($B1063="",$A1063=""),0,IF(COUNTIFS($A$5:$A1063,$A1063,$B$5:$B1063,$B1063)=1,1,0))</f>
        <v>0</v>
      </c>
    </row>
    <row r="1064" customFormat="false" ht="15" hidden="false" customHeight="false" outlineLevel="0" collapsed="false">
      <c r="A1064" s="17"/>
      <c r="B1064" s="13"/>
      <c r="C1064" s="20" t="str">
        <f aca="false">IF($B1064="","",IFERROR(INDEX(고객사!$B$5:$B$104,MATCH($B1064,고객사!$A$5:$A$104,0)),"코드 확인"))</f>
        <v/>
      </c>
      <c r="D1064" s="15"/>
      <c r="E1064" s="15"/>
      <c r="F1064" s="16"/>
      <c r="G1064" s="16"/>
      <c r="H1064" s="21" t="str">
        <f aca="false">IF(OR($B1064="",F1064=0),"",G1064/F1064)</f>
        <v/>
      </c>
      <c r="I1064" s="22" t="str">
        <f aca="false">IF($B1064="","",MAX(F1064-G1064,0))</f>
        <v/>
      </c>
      <c r="J1064" s="23" t="str">
        <f aca="false">IF($B1064="","",IFERROR(INDEX(고객사!$G$5:$G$104,MATCH($B1064,고객사!$A$5:$A$104,0)),""))</f>
        <v/>
      </c>
      <c r="K1064" s="16"/>
      <c r="L1064" s="22" t="str">
        <f aca="false">IF($B1064="","",K1064*IFERROR(INDEX(고객사!$L$5:$L$104,MATCH($B1064,고객사!$A$5:$A$104,0)),0))</f>
        <v/>
      </c>
      <c r="M1064" s="23" t="str">
        <f aca="false">IF($B1064="","",IF(AND(J1064="N",G1064&gt;0,K1064=0,IFERROR(INDEX(고객사!$H$5:$H$104,MATCH($B1064,고객사!$A$5:$A$104,0)),"")="자사 차량 운행"),"차량 미배정",""))</f>
        <v/>
      </c>
      <c r="N1064" s="22" t="str">
        <f aca="false">IF($B1064="","",IFERROR(INDEX(고객사!$J$5:$J$104,MATCH($B1064,고객사!$A$5:$A$104,0)),0))</f>
        <v/>
      </c>
      <c r="O1064" s="22" t="str">
        <f aca="false">IF($B1064="","",G1064*N1064)</f>
        <v/>
      </c>
      <c r="P1064" s="22" t="str">
        <f aca="false">IF($B1064="","",IFERROR(INDEX(고객사!$K$5:$K$104,MATCH($B1064,고객사!$A$5:$A$104,0)),0))</f>
        <v/>
      </c>
      <c r="Q1064" s="22" t="str">
        <f aca="false">IF($B1064="","",G1064*P1064)</f>
        <v/>
      </c>
      <c r="R1064" s="22" t="str">
        <f aca="false">IF($B1064="","",O1064-Q1064-L1064)</f>
        <v/>
      </c>
      <c r="S1064" s="21" t="str">
        <f aca="false">IF(OR($B1064="",N(O1064)=0),"",R1064/O1064)</f>
        <v/>
      </c>
      <c r="T1064" s="14"/>
      <c r="U1064" s="19" t="n">
        <f aca="false">IF(OR($B1064="",$A1064=""),0,IF(COUNTIFS($A$5:$A1064,$A1064,$B$5:$B1064,$B1064)=1,1,0))</f>
        <v>0</v>
      </c>
    </row>
    <row r="1065" customFormat="false" ht="15" hidden="false" customHeight="false" outlineLevel="0" collapsed="false">
      <c r="A1065" s="17"/>
      <c r="B1065" s="13"/>
      <c r="C1065" s="20" t="str">
        <f aca="false">IF($B1065="","",IFERROR(INDEX(고객사!$B$5:$B$104,MATCH($B1065,고객사!$A$5:$A$104,0)),"코드 확인"))</f>
        <v/>
      </c>
      <c r="D1065" s="15"/>
      <c r="E1065" s="15"/>
      <c r="F1065" s="16"/>
      <c r="G1065" s="16"/>
      <c r="H1065" s="21" t="str">
        <f aca="false">IF(OR($B1065="",F1065=0),"",G1065/F1065)</f>
        <v/>
      </c>
      <c r="I1065" s="22" t="str">
        <f aca="false">IF($B1065="","",MAX(F1065-G1065,0))</f>
        <v/>
      </c>
      <c r="J1065" s="23" t="str">
        <f aca="false">IF($B1065="","",IFERROR(INDEX(고객사!$G$5:$G$104,MATCH($B1065,고객사!$A$5:$A$104,0)),""))</f>
        <v/>
      </c>
      <c r="K1065" s="16"/>
      <c r="L1065" s="22" t="str">
        <f aca="false">IF($B1065="","",K1065*IFERROR(INDEX(고객사!$L$5:$L$104,MATCH($B1065,고객사!$A$5:$A$104,0)),0))</f>
        <v/>
      </c>
      <c r="M1065" s="23" t="str">
        <f aca="false">IF($B1065="","",IF(AND(J1065="N",G1065&gt;0,K1065=0,IFERROR(INDEX(고객사!$H$5:$H$104,MATCH($B1065,고객사!$A$5:$A$104,0)),"")="자사 차량 운행"),"차량 미배정",""))</f>
        <v/>
      </c>
      <c r="N1065" s="22" t="str">
        <f aca="false">IF($B1065="","",IFERROR(INDEX(고객사!$J$5:$J$104,MATCH($B1065,고객사!$A$5:$A$104,0)),0))</f>
        <v/>
      </c>
      <c r="O1065" s="22" t="str">
        <f aca="false">IF($B1065="","",G1065*N1065)</f>
        <v/>
      </c>
      <c r="P1065" s="22" t="str">
        <f aca="false">IF($B1065="","",IFERROR(INDEX(고객사!$K$5:$K$104,MATCH($B1065,고객사!$A$5:$A$104,0)),0))</f>
        <v/>
      </c>
      <c r="Q1065" s="22" t="str">
        <f aca="false">IF($B1065="","",G1065*P1065)</f>
        <v/>
      </c>
      <c r="R1065" s="22" t="str">
        <f aca="false">IF($B1065="","",O1065-Q1065-L1065)</f>
        <v/>
      </c>
      <c r="S1065" s="21" t="str">
        <f aca="false">IF(OR($B1065="",N(O1065)=0),"",R1065/O1065)</f>
        <v/>
      </c>
      <c r="T1065" s="14"/>
      <c r="U1065" s="19" t="n">
        <f aca="false">IF(OR($B1065="",$A1065=""),0,IF(COUNTIFS($A$5:$A1065,$A1065,$B$5:$B1065,$B1065)=1,1,0))</f>
        <v>0</v>
      </c>
    </row>
    <row r="1066" customFormat="false" ht="15" hidden="false" customHeight="false" outlineLevel="0" collapsed="false">
      <c r="A1066" s="17"/>
      <c r="B1066" s="13"/>
      <c r="C1066" s="20" t="str">
        <f aca="false">IF($B1066="","",IFERROR(INDEX(고객사!$B$5:$B$104,MATCH($B1066,고객사!$A$5:$A$104,0)),"코드 확인"))</f>
        <v/>
      </c>
      <c r="D1066" s="15"/>
      <c r="E1066" s="15"/>
      <c r="F1066" s="16"/>
      <c r="G1066" s="16"/>
      <c r="H1066" s="21" t="str">
        <f aca="false">IF(OR($B1066="",F1066=0),"",G1066/F1066)</f>
        <v/>
      </c>
      <c r="I1066" s="22" t="str">
        <f aca="false">IF($B1066="","",MAX(F1066-G1066,0))</f>
        <v/>
      </c>
      <c r="J1066" s="23" t="str">
        <f aca="false">IF($B1066="","",IFERROR(INDEX(고객사!$G$5:$G$104,MATCH($B1066,고객사!$A$5:$A$104,0)),""))</f>
        <v/>
      </c>
      <c r="K1066" s="16"/>
      <c r="L1066" s="22" t="str">
        <f aca="false">IF($B1066="","",K1066*IFERROR(INDEX(고객사!$L$5:$L$104,MATCH($B1066,고객사!$A$5:$A$104,0)),0))</f>
        <v/>
      </c>
      <c r="M1066" s="23" t="str">
        <f aca="false">IF($B1066="","",IF(AND(J1066="N",G1066&gt;0,K1066=0,IFERROR(INDEX(고객사!$H$5:$H$104,MATCH($B1066,고객사!$A$5:$A$104,0)),"")="자사 차량 운행"),"차량 미배정",""))</f>
        <v/>
      </c>
      <c r="N1066" s="22" t="str">
        <f aca="false">IF($B1066="","",IFERROR(INDEX(고객사!$J$5:$J$104,MATCH($B1066,고객사!$A$5:$A$104,0)),0))</f>
        <v/>
      </c>
      <c r="O1066" s="22" t="str">
        <f aca="false">IF($B1066="","",G1066*N1066)</f>
        <v/>
      </c>
      <c r="P1066" s="22" t="str">
        <f aca="false">IF($B1066="","",IFERROR(INDEX(고객사!$K$5:$K$104,MATCH($B1066,고객사!$A$5:$A$104,0)),0))</f>
        <v/>
      </c>
      <c r="Q1066" s="22" t="str">
        <f aca="false">IF($B1066="","",G1066*P1066)</f>
        <v/>
      </c>
      <c r="R1066" s="22" t="str">
        <f aca="false">IF($B1066="","",O1066-Q1066-L1066)</f>
        <v/>
      </c>
      <c r="S1066" s="21" t="str">
        <f aca="false">IF(OR($B1066="",N(O1066)=0),"",R1066/O1066)</f>
        <v/>
      </c>
      <c r="T1066" s="14"/>
      <c r="U1066" s="19" t="n">
        <f aca="false">IF(OR($B1066="",$A1066=""),0,IF(COUNTIFS($A$5:$A1066,$A1066,$B$5:$B1066,$B1066)=1,1,0))</f>
        <v>0</v>
      </c>
    </row>
    <row r="1067" customFormat="false" ht="15" hidden="false" customHeight="false" outlineLevel="0" collapsed="false">
      <c r="A1067" s="17"/>
      <c r="B1067" s="13"/>
      <c r="C1067" s="20" t="str">
        <f aca="false">IF($B1067="","",IFERROR(INDEX(고객사!$B$5:$B$104,MATCH($B1067,고객사!$A$5:$A$104,0)),"코드 확인"))</f>
        <v/>
      </c>
      <c r="D1067" s="15"/>
      <c r="E1067" s="15"/>
      <c r="F1067" s="16"/>
      <c r="G1067" s="16"/>
      <c r="H1067" s="21" t="str">
        <f aca="false">IF(OR($B1067="",F1067=0),"",G1067/F1067)</f>
        <v/>
      </c>
      <c r="I1067" s="22" t="str">
        <f aca="false">IF($B1067="","",MAX(F1067-G1067,0))</f>
        <v/>
      </c>
      <c r="J1067" s="23" t="str">
        <f aca="false">IF($B1067="","",IFERROR(INDEX(고객사!$G$5:$G$104,MATCH($B1067,고객사!$A$5:$A$104,0)),""))</f>
        <v/>
      </c>
      <c r="K1067" s="16"/>
      <c r="L1067" s="22" t="str">
        <f aca="false">IF($B1067="","",K1067*IFERROR(INDEX(고객사!$L$5:$L$104,MATCH($B1067,고객사!$A$5:$A$104,0)),0))</f>
        <v/>
      </c>
      <c r="M1067" s="23" t="str">
        <f aca="false">IF($B1067="","",IF(AND(J1067="N",G1067&gt;0,K1067=0,IFERROR(INDEX(고객사!$H$5:$H$104,MATCH($B1067,고객사!$A$5:$A$104,0)),"")="자사 차량 운행"),"차량 미배정",""))</f>
        <v/>
      </c>
      <c r="N1067" s="22" t="str">
        <f aca="false">IF($B1067="","",IFERROR(INDEX(고객사!$J$5:$J$104,MATCH($B1067,고객사!$A$5:$A$104,0)),0))</f>
        <v/>
      </c>
      <c r="O1067" s="22" t="str">
        <f aca="false">IF($B1067="","",G1067*N1067)</f>
        <v/>
      </c>
      <c r="P1067" s="22" t="str">
        <f aca="false">IF($B1067="","",IFERROR(INDEX(고객사!$K$5:$K$104,MATCH($B1067,고객사!$A$5:$A$104,0)),0))</f>
        <v/>
      </c>
      <c r="Q1067" s="22" t="str">
        <f aca="false">IF($B1067="","",G1067*P1067)</f>
        <v/>
      </c>
      <c r="R1067" s="22" t="str">
        <f aca="false">IF($B1067="","",O1067-Q1067-L1067)</f>
        <v/>
      </c>
      <c r="S1067" s="21" t="str">
        <f aca="false">IF(OR($B1067="",N(O1067)=0),"",R1067/O1067)</f>
        <v/>
      </c>
      <c r="T1067" s="14"/>
      <c r="U1067" s="19" t="n">
        <f aca="false">IF(OR($B1067="",$A1067=""),0,IF(COUNTIFS($A$5:$A1067,$A1067,$B$5:$B1067,$B1067)=1,1,0))</f>
        <v>0</v>
      </c>
    </row>
    <row r="1068" customFormat="false" ht="15" hidden="false" customHeight="false" outlineLevel="0" collapsed="false">
      <c r="A1068" s="17"/>
      <c r="B1068" s="13"/>
      <c r="C1068" s="20" t="str">
        <f aca="false">IF($B1068="","",IFERROR(INDEX(고객사!$B$5:$B$104,MATCH($B1068,고객사!$A$5:$A$104,0)),"코드 확인"))</f>
        <v/>
      </c>
      <c r="D1068" s="15"/>
      <c r="E1068" s="15"/>
      <c r="F1068" s="16"/>
      <c r="G1068" s="16"/>
      <c r="H1068" s="21" t="str">
        <f aca="false">IF(OR($B1068="",F1068=0),"",G1068/F1068)</f>
        <v/>
      </c>
      <c r="I1068" s="22" t="str">
        <f aca="false">IF($B1068="","",MAX(F1068-G1068,0))</f>
        <v/>
      </c>
      <c r="J1068" s="23" t="str">
        <f aca="false">IF($B1068="","",IFERROR(INDEX(고객사!$G$5:$G$104,MATCH($B1068,고객사!$A$5:$A$104,0)),""))</f>
        <v/>
      </c>
      <c r="K1068" s="16"/>
      <c r="L1068" s="22" t="str">
        <f aca="false">IF($B1068="","",K1068*IFERROR(INDEX(고객사!$L$5:$L$104,MATCH($B1068,고객사!$A$5:$A$104,0)),0))</f>
        <v/>
      </c>
      <c r="M1068" s="23" t="str">
        <f aca="false">IF($B1068="","",IF(AND(J1068="N",G1068&gt;0,K1068=0,IFERROR(INDEX(고객사!$H$5:$H$104,MATCH($B1068,고객사!$A$5:$A$104,0)),"")="자사 차량 운행"),"차량 미배정",""))</f>
        <v/>
      </c>
      <c r="N1068" s="22" t="str">
        <f aca="false">IF($B1068="","",IFERROR(INDEX(고객사!$J$5:$J$104,MATCH($B1068,고객사!$A$5:$A$104,0)),0))</f>
        <v/>
      </c>
      <c r="O1068" s="22" t="str">
        <f aca="false">IF($B1068="","",G1068*N1068)</f>
        <v/>
      </c>
      <c r="P1068" s="22" t="str">
        <f aca="false">IF($B1068="","",IFERROR(INDEX(고객사!$K$5:$K$104,MATCH($B1068,고객사!$A$5:$A$104,0)),0))</f>
        <v/>
      </c>
      <c r="Q1068" s="22" t="str">
        <f aca="false">IF($B1068="","",G1068*P1068)</f>
        <v/>
      </c>
      <c r="R1068" s="22" t="str">
        <f aca="false">IF($B1068="","",O1068-Q1068-L1068)</f>
        <v/>
      </c>
      <c r="S1068" s="21" t="str">
        <f aca="false">IF(OR($B1068="",N(O1068)=0),"",R1068/O1068)</f>
        <v/>
      </c>
      <c r="T1068" s="14"/>
      <c r="U1068" s="19" t="n">
        <f aca="false">IF(OR($B1068="",$A1068=""),0,IF(COUNTIFS($A$5:$A1068,$A1068,$B$5:$B1068,$B1068)=1,1,0))</f>
        <v>0</v>
      </c>
    </row>
    <row r="1069" customFormat="false" ht="15" hidden="false" customHeight="false" outlineLevel="0" collapsed="false">
      <c r="A1069" s="17"/>
      <c r="B1069" s="13"/>
      <c r="C1069" s="20" t="str">
        <f aca="false">IF($B1069="","",IFERROR(INDEX(고객사!$B$5:$B$104,MATCH($B1069,고객사!$A$5:$A$104,0)),"코드 확인"))</f>
        <v/>
      </c>
      <c r="D1069" s="15"/>
      <c r="E1069" s="15"/>
      <c r="F1069" s="16"/>
      <c r="G1069" s="16"/>
      <c r="H1069" s="21" t="str">
        <f aca="false">IF(OR($B1069="",F1069=0),"",G1069/F1069)</f>
        <v/>
      </c>
      <c r="I1069" s="22" t="str">
        <f aca="false">IF($B1069="","",MAX(F1069-G1069,0))</f>
        <v/>
      </c>
      <c r="J1069" s="23" t="str">
        <f aca="false">IF($B1069="","",IFERROR(INDEX(고객사!$G$5:$G$104,MATCH($B1069,고객사!$A$5:$A$104,0)),""))</f>
        <v/>
      </c>
      <c r="K1069" s="16"/>
      <c r="L1069" s="22" t="str">
        <f aca="false">IF($B1069="","",K1069*IFERROR(INDEX(고객사!$L$5:$L$104,MATCH($B1069,고객사!$A$5:$A$104,0)),0))</f>
        <v/>
      </c>
      <c r="M1069" s="23" t="str">
        <f aca="false">IF($B1069="","",IF(AND(J1069="N",G1069&gt;0,K1069=0,IFERROR(INDEX(고객사!$H$5:$H$104,MATCH($B1069,고객사!$A$5:$A$104,0)),"")="자사 차량 운행"),"차량 미배정",""))</f>
        <v/>
      </c>
      <c r="N1069" s="22" t="str">
        <f aca="false">IF($B1069="","",IFERROR(INDEX(고객사!$J$5:$J$104,MATCH($B1069,고객사!$A$5:$A$104,0)),0))</f>
        <v/>
      </c>
      <c r="O1069" s="22" t="str">
        <f aca="false">IF($B1069="","",G1069*N1069)</f>
        <v/>
      </c>
      <c r="P1069" s="22" t="str">
        <f aca="false">IF($B1069="","",IFERROR(INDEX(고객사!$K$5:$K$104,MATCH($B1069,고객사!$A$5:$A$104,0)),0))</f>
        <v/>
      </c>
      <c r="Q1069" s="22" t="str">
        <f aca="false">IF($B1069="","",G1069*P1069)</f>
        <v/>
      </c>
      <c r="R1069" s="22" t="str">
        <f aca="false">IF($B1069="","",O1069-Q1069-L1069)</f>
        <v/>
      </c>
      <c r="S1069" s="21" t="str">
        <f aca="false">IF(OR($B1069="",N(O1069)=0),"",R1069/O1069)</f>
        <v/>
      </c>
      <c r="T1069" s="14"/>
      <c r="U1069" s="19" t="n">
        <f aca="false">IF(OR($B1069="",$A1069=""),0,IF(COUNTIFS($A$5:$A1069,$A1069,$B$5:$B1069,$B1069)=1,1,0))</f>
        <v>0</v>
      </c>
    </row>
    <row r="1070" customFormat="false" ht="15" hidden="false" customHeight="false" outlineLevel="0" collapsed="false">
      <c r="A1070" s="17"/>
      <c r="B1070" s="13"/>
      <c r="C1070" s="20" t="str">
        <f aca="false">IF($B1070="","",IFERROR(INDEX(고객사!$B$5:$B$104,MATCH($B1070,고객사!$A$5:$A$104,0)),"코드 확인"))</f>
        <v/>
      </c>
      <c r="D1070" s="15"/>
      <c r="E1070" s="15"/>
      <c r="F1070" s="16"/>
      <c r="G1070" s="16"/>
      <c r="H1070" s="21" t="str">
        <f aca="false">IF(OR($B1070="",F1070=0),"",G1070/F1070)</f>
        <v/>
      </c>
      <c r="I1070" s="22" t="str">
        <f aca="false">IF($B1070="","",MAX(F1070-G1070,0))</f>
        <v/>
      </c>
      <c r="J1070" s="23" t="str">
        <f aca="false">IF($B1070="","",IFERROR(INDEX(고객사!$G$5:$G$104,MATCH($B1070,고객사!$A$5:$A$104,0)),""))</f>
        <v/>
      </c>
      <c r="K1070" s="16"/>
      <c r="L1070" s="22" t="str">
        <f aca="false">IF($B1070="","",K1070*IFERROR(INDEX(고객사!$L$5:$L$104,MATCH($B1070,고객사!$A$5:$A$104,0)),0))</f>
        <v/>
      </c>
      <c r="M1070" s="23" t="str">
        <f aca="false">IF($B1070="","",IF(AND(J1070="N",G1070&gt;0,K1070=0,IFERROR(INDEX(고객사!$H$5:$H$104,MATCH($B1070,고객사!$A$5:$A$104,0)),"")="자사 차량 운행"),"차량 미배정",""))</f>
        <v/>
      </c>
      <c r="N1070" s="22" t="str">
        <f aca="false">IF($B1070="","",IFERROR(INDEX(고객사!$J$5:$J$104,MATCH($B1070,고객사!$A$5:$A$104,0)),0))</f>
        <v/>
      </c>
      <c r="O1070" s="22" t="str">
        <f aca="false">IF($B1070="","",G1070*N1070)</f>
        <v/>
      </c>
      <c r="P1070" s="22" t="str">
        <f aca="false">IF($B1070="","",IFERROR(INDEX(고객사!$K$5:$K$104,MATCH($B1070,고객사!$A$5:$A$104,0)),0))</f>
        <v/>
      </c>
      <c r="Q1070" s="22" t="str">
        <f aca="false">IF($B1070="","",G1070*P1070)</f>
        <v/>
      </c>
      <c r="R1070" s="22" t="str">
        <f aca="false">IF($B1070="","",O1070-Q1070-L1070)</f>
        <v/>
      </c>
      <c r="S1070" s="21" t="str">
        <f aca="false">IF(OR($B1070="",N(O1070)=0),"",R1070/O1070)</f>
        <v/>
      </c>
      <c r="T1070" s="14"/>
      <c r="U1070" s="19" t="n">
        <f aca="false">IF(OR($B1070="",$A1070=""),0,IF(COUNTIFS($A$5:$A1070,$A1070,$B$5:$B1070,$B1070)=1,1,0))</f>
        <v>0</v>
      </c>
    </row>
    <row r="1071" customFormat="false" ht="15" hidden="false" customHeight="false" outlineLevel="0" collapsed="false">
      <c r="A1071" s="17"/>
      <c r="B1071" s="13"/>
      <c r="C1071" s="20" t="str">
        <f aca="false">IF($B1071="","",IFERROR(INDEX(고객사!$B$5:$B$104,MATCH($B1071,고객사!$A$5:$A$104,0)),"코드 확인"))</f>
        <v/>
      </c>
      <c r="D1071" s="15"/>
      <c r="E1071" s="15"/>
      <c r="F1071" s="16"/>
      <c r="G1071" s="16"/>
      <c r="H1071" s="21" t="str">
        <f aca="false">IF(OR($B1071="",F1071=0),"",G1071/F1071)</f>
        <v/>
      </c>
      <c r="I1071" s="22" t="str">
        <f aca="false">IF($B1071="","",MAX(F1071-G1071,0))</f>
        <v/>
      </c>
      <c r="J1071" s="23" t="str">
        <f aca="false">IF($B1071="","",IFERROR(INDEX(고객사!$G$5:$G$104,MATCH($B1071,고객사!$A$5:$A$104,0)),""))</f>
        <v/>
      </c>
      <c r="K1071" s="16"/>
      <c r="L1071" s="22" t="str">
        <f aca="false">IF($B1071="","",K1071*IFERROR(INDEX(고객사!$L$5:$L$104,MATCH($B1071,고객사!$A$5:$A$104,0)),0))</f>
        <v/>
      </c>
      <c r="M1071" s="23" t="str">
        <f aca="false">IF($B1071="","",IF(AND(J1071="N",G1071&gt;0,K1071=0,IFERROR(INDEX(고객사!$H$5:$H$104,MATCH($B1071,고객사!$A$5:$A$104,0)),"")="자사 차량 운행"),"차량 미배정",""))</f>
        <v/>
      </c>
      <c r="N1071" s="22" t="str">
        <f aca="false">IF($B1071="","",IFERROR(INDEX(고객사!$J$5:$J$104,MATCH($B1071,고객사!$A$5:$A$104,0)),0))</f>
        <v/>
      </c>
      <c r="O1071" s="22" t="str">
        <f aca="false">IF($B1071="","",G1071*N1071)</f>
        <v/>
      </c>
      <c r="P1071" s="22" t="str">
        <f aca="false">IF($B1071="","",IFERROR(INDEX(고객사!$K$5:$K$104,MATCH($B1071,고객사!$A$5:$A$104,0)),0))</f>
        <v/>
      </c>
      <c r="Q1071" s="22" t="str">
        <f aca="false">IF($B1071="","",G1071*P1071)</f>
        <v/>
      </c>
      <c r="R1071" s="22" t="str">
        <f aca="false">IF($B1071="","",O1071-Q1071-L1071)</f>
        <v/>
      </c>
      <c r="S1071" s="21" t="str">
        <f aca="false">IF(OR($B1071="",N(O1071)=0),"",R1071/O1071)</f>
        <v/>
      </c>
      <c r="T1071" s="14"/>
      <c r="U1071" s="19" t="n">
        <f aca="false">IF(OR($B1071="",$A1071=""),0,IF(COUNTIFS($A$5:$A1071,$A1071,$B$5:$B1071,$B1071)=1,1,0))</f>
        <v>0</v>
      </c>
    </row>
    <row r="1072" customFormat="false" ht="15" hidden="false" customHeight="false" outlineLevel="0" collapsed="false">
      <c r="A1072" s="17"/>
      <c r="B1072" s="13"/>
      <c r="C1072" s="20" t="str">
        <f aca="false">IF($B1072="","",IFERROR(INDEX(고객사!$B$5:$B$104,MATCH($B1072,고객사!$A$5:$A$104,0)),"코드 확인"))</f>
        <v/>
      </c>
      <c r="D1072" s="15"/>
      <c r="E1072" s="15"/>
      <c r="F1072" s="16"/>
      <c r="G1072" s="16"/>
      <c r="H1072" s="21" t="str">
        <f aca="false">IF(OR($B1072="",F1072=0),"",G1072/F1072)</f>
        <v/>
      </c>
      <c r="I1072" s="22" t="str">
        <f aca="false">IF($B1072="","",MAX(F1072-G1072,0))</f>
        <v/>
      </c>
      <c r="J1072" s="23" t="str">
        <f aca="false">IF($B1072="","",IFERROR(INDEX(고객사!$G$5:$G$104,MATCH($B1072,고객사!$A$5:$A$104,0)),""))</f>
        <v/>
      </c>
      <c r="K1072" s="16"/>
      <c r="L1072" s="22" t="str">
        <f aca="false">IF($B1072="","",K1072*IFERROR(INDEX(고객사!$L$5:$L$104,MATCH($B1072,고객사!$A$5:$A$104,0)),0))</f>
        <v/>
      </c>
      <c r="M1072" s="23" t="str">
        <f aca="false">IF($B1072="","",IF(AND(J1072="N",G1072&gt;0,K1072=0,IFERROR(INDEX(고객사!$H$5:$H$104,MATCH($B1072,고객사!$A$5:$A$104,0)),"")="자사 차량 운행"),"차량 미배정",""))</f>
        <v/>
      </c>
      <c r="N1072" s="22" t="str">
        <f aca="false">IF($B1072="","",IFERROR(INDEX(고객사!$J$5:$J$104,MATCH($B1072,고객사!$A$5:$A$104,0)),0))</f>
        <v/>
      </c>
      <c r="O1072" s="22" t="str">
        <f aca="false">IF($B1072="","",G1072*N1072)</f>
        <v/>
      </c>
      <c r="P1072" s="22" t="str">
        <f aca="false">IF($B1072="","",IFERROR(INDEX(고객사!$K$5:$K$104,MATCH($B1072,고객사!$A$5:$A$104,0)),0))</f>
        <v/>
      </c>
      <c r="Q1072" s="22" t="str">
        <f aca="false">IF($B1072="","",G1072*P1072)</f>
        <v/>
      </c>
      <c r="R1072" s="22" t="str">
        <f aca="false">IF($B1072="","",O1072-Q1072-L1072)</f>
        <v/>
      </c>
      <c r="S1072" s="21" t="str">
        <f aca="false">IF(OR($B1072="",N(O1072)=0),"",R1072/O1072)</f>
        <v/>
      </c>
      <c r="T1072" s="14"/>
      <c r="U1072" s="19" t="n">
        <f aca="false">IF(OR($B1072="",$A1072=""),0,IF(COUNTIFS($A$5:$A1072,$A1072,$B$5:$B1072,$B1072)=1,1,0))</f>
        <v>0</v>
      </c>
    </row>
    <row r="1073" customFormat="false" ht="15" hidden="false" customHeight="false" outlineLevel="0" collapsed="false">
      <c r="A1073" s="17"/>
      <c r="B1073" s="13"/>
      <c r="C1073" s="20" t="str">
        <f aca="false">IF($B1073="","",IFERROR(INDEX(고객사!$B$5:$B$104,MATCH($B1073,고객사!$A$5:$A$104,0)),"코드 확인"))</f>
        <v/>
      </c>
      <c r="D1073" s="15"/>
      <c r="E1073" s="15"/>
      <c r="F1073" s="16"/>
      <c r="G1073" s="16"/>
      <c r="H1073" s="21" t="str">
        <f aca="false">IF(OR($B1073="",F1073=0),"",G1073/F1073)</f>
        <v/>
      </c>
      <c r="I1073" s="22" t="str">
        <f aca="false">IF($B1073="","",MAX(F1073-G1073,0))</f>
        <v/>
      </c>
      <c r="J1073" s="23" t="str">
        <f aca="false">IF($B1073="","",IFERROR(INDEX(고객사!$G$5:$G$104,MATCH($B1073,고객사!$A$5:$A$104,0)),""))</f>
        <v/>
      </c>
      <c r="K1073" s="16"/>
      <c r="L1073" s="22" t="str">
        <f aca="false">IF($B1073="","",K1073*IFERROR(INDEX(고객사!$L$5:$L$104,MATCH($B1073,고객사!$A$5:$A$104,0)),0))</f>
        <v/>
      </c>
      <c r="M1073" s="23" t="str">
        <f aca="false">IF($B1073="","",IF(AND(J1073="N",G1073&gt;0,K1073=0,IFERROR(INDEX(고객사!$H$5:$H$104,MATCH($B1073,고객사!$A$5:$A$104,0)),"")="자사 차량 운행"),"차량 미배정",""))</f>
        <v/>
      </c>
      <c r="N1073" s="22" t="str">
        <f aca="false">IF($B1073="","",IFERROR(INDEX(고객사!$J$5:$J$104,MATCH($B1073,고객사!$A$5:$A$104,0)),0))</f>
        <v/>
      </c>
      <c r="O1073" s="22" t="str">
        <f aca="false">IF($B1073="","",G1073*N1073)</f>
        <v/>
      </c>
      <c r="P1073" s="22" t="str">
        <f aca="false">IF($B1073="","",IFERROR(INDEX(고객사!$K$5:$K$104,MATCH($B1073,고객사!$A$5:$A$104,0)),0))</f>
        <v/>
      </c>
      <c r="Q1073" s="22" t="str">
        <f aca="false">IF($B1073="","",G1073*P1073)</f>
        <v/>
      </c>
      <c r="R1073" s="22" t="str">
        <f aca="false">IF($B1073="","",O1073-Q1073-L1073)</f>
        <v/>
      </c>
      <c r="S1073" s="21" t="str">
        <f aca="false">IF(OR($B1073="",N(O1073)=0),"",R1073/O1073)</f>
        <v/>
      </c>
      <c r="T1073" s="14"/>
      <c r="U1073" s="19" t="n">
        <f aca="false">IF(OR($B1073="",$A1073=""),0,IF(COUNTIFS($A$5:$A1073,$A1073,$B$5:$B1073,$B1073)=1,1,0))</f>
        <v>0</v>
      </c>
    </row>
    <row r="1074" customFormat="false" ht="15" hidden="false" customHeight="false" outlineLevel="0" collapsed="false">
      <c r="A1074" s="17"/>
      <c r="B1074" s="13"/>
      <c r="C1074" s="20" t="str">
        <f aca="false">IF($B1074="","",IFERROR(INDEX(고객사!$B$5:$B$104,MATCH($B1074,고객사!$A$5:$A$104,0)),"코드 확인"))</f>
        <v/>
      </c>
      <c r="D1074" s="15"/>
      <c r="E1074" s="15"/>
      <c r="F1074" s="16"/>
      <c r="G1074" s="16"/>
      <c r="H1074" s="21" t="str">
        <f aca="false">IF(OR($B1074="",F1074=0),"",G1074/F1074)</f>
        <v/>
      </c>
      <c r="I1074" s="22" t="str">
        <f aca="false">IF($B1074="","",MAX(F1074-G1074,0))</f>
        <v/>
      </c>
      <c r="J1074" s="23" t="str">
        <f aca="false">IF($B1074="","",IFERROR(INDEX(고객사!$G$5:$G$104,MATCH($B1074,고객사!$A$5:$A$104,0)),""))</f>
        <v/>
      </c>
      <c r="K1074" s="16"/>
      <c r="L1074" s="22" t="str">
        <f aca="false">IF($B1074="","",K1074*IFERROR(INDEX(고객사!$L$5:$L$104,MATCH($B1074,고객사!$A$5:$A$104,0)),0))</f>
        <v/>
      </c>
      <c r="M1074" s="23" t="str">
        <f aca="false">IF($B1074="","",IF(AND(J1074="N",G1074&gt;0,K1074=0,IFERROR(INDEX(고객사!$H$5:$H$104,MATCH($B1074,고객사!$A$5:$A$104,0)),"")="자사 차량 운행"),"차량 미배정",""))</f>
        <v/>
      </c>
      <c r="N1074" s="22" t="str">
        <f aca="false">IF($B1074="","",IFERROR(INDEX(고객사!$J$5:$J$104,MATCH($B1074,고객사!$A$5:$A$104,0)),0))</f>
        <v/>
      </c>
      <c r="O1074" s="22" t="str">
        <f aca="false">IF($B1074="","",G1074*N1074)</f>
        <v/>
      </c>
      <c r="P1074" s="22" t="str">
        <f aca="false">IF($B1074="","",IFERROR(INDEX(고객사!$K$5:$K$104,MATCH($B1074,고객사!$A$5:$A$104,0)),0))</f>
        <v/>
      </c>
      <c r="Q1074" s="22" t="str">
        <f aca="false">IF($B1074="","",G1074*P1074)</f>
        <v/>
      </c>
      <c r="R1074" s="22" t="str">
        <f aca="false">IF($B1074="","",O1074-Q1074-L1074)</f>
        <v/>
      </c>
      <c r="S1074" s="21" t="str">
        <f aca="false">IF(OR($B1074="",N(O1074)=0),"",R1074/O1074)</f>
        <v/>
      </c>
      <c r="T1074" s="14"/>
      <c r="U1074" s="19" t="n">
        <f aca="false">IF(OR($B1074="",$A1074=""),0,IF(COUNTIFS($A$5:$A1074,$A1074,$B$5:$B1074,$B1074)=1,1,0))</f>
        <v>0</v>
      </c>
    </row>
    <row r="1075" customFormat="false" ht="15" hidden="false" customHeight="false" outlineLevel="0" collapsed="false">
      <c r="A1075" s="17"/>
      <c r="B1075" s="13"/>
      <c r="C1075" s="20" t="str">
        <f aca="false">IF($B1075="","",IFERROR(INDEX(고객사!$B$5:$B$104,MATCH($B1075,고객사!$A$5:$A$104,0)),"코드 확인"))</f>
        <v/>
      </c>
      <c r="D1075" s="15"/>
      <c r="E1075" s="15"/>
      <c r="F1075" s="16"/>
      <c r="G1075" s="16"/>
      <c r="H1075" s="21" t="str">
        <f aca="false">IF(OR($B1075="",F1075=0),"",G1075/F1075)</f>
        <v/>
      </c>
      <c r="I1075" s="22" t="str">
        <f aca="false">IF($B1075="","",MAX(F1075-G1075,0))</f>
        <v/>
      </c>
      <c r="J1075" s="23" t="str">
        <f aca="false">IF($B1075="","",IFERROR(INDEX(고객사!$G$5:$G$104,MATCH($B1075,고객사!$A$5:$A$104,0)),""))</f>
        <v/>
      </c>
      <c r="K1075" s="16"/>
      <c r="L1075" s="22" t="str">
        <f aca="false">IF($B1075="","",K1075*IFERROR(INDEX(고객사!$L$5:$L$104,MATCH($B1075,고객사!$A$5:$A$104,0)),0))</f>
        <v/>
      </c>
      <c r="M1075" s="23" t="str">
        <f aca="false">IF($B1075="","",IF(AND(J1075="N",G1075&gt;0,K1075=0,IFERROR(INDEX(고객사!$H$5:$H$104,MATCH($B1075,고객사!$A$5:$A$104,0)),"")="자사 차량 운행"),"차량 미배정",""))</f>
        <v/>
      </c>
      <c r="N1075" s="22" t="str">
        <f aca="false">IF($B1075="","",IFERROR(INDEX(고객사!$J$5:$J$104,MATCH($B1075,고객사!$A$5:$A$104,0)),0))</f>
        <v/>
      </c>
      <c r="O1075" s="22" t="str">
        <f aca="false">IF($B1075="","",G1075*N1075)</f>
        <v/>
      </c>
      <c r="P1075" s="22" t="str">
        <f aca="false">IF($B1075="","",IFERROR(INDEX(고객사!$K$5:$K$104,MATCH($B1075,고객사!$A$5:$A$104,0)),0))</f>
        <v/>
      </c>
      <c r="Q1075" s="22" t="str">
        <f aca="false">IF($B1075="","",G1075*P1075)</f>
        <v/>
      </c>
      <c r="R1075" s="22" t="str">
        <f aca="false">IF($B1075="","",O1075-Q1075-L1075)</f>
        <v/>
      </c>
      <c r="S1075" s="21" t="str">
        <f aca="false">IF(OR($B1075="",N(O1075)=0),"",R1075/O1075)</f>
        <v/>
      </c>
      <c r="T1075" s="14"/>
      <c r="U1075" s="19" t="n">
        <f aca="false">IF(OR($B1075="",$A1075=""),0,IF(COUNTIFS($A$5:$A1075,$A1075,$B$5:$B1075,$B1075)=1,1,0))</f>
        <v>0</v>
      </c>
    </row>
    <row r="1076" customFormat="false" ht="15" hidden="false" customHeight="false" outlineLevel="0" collapsed="false">
      <c r="A1076" s="17"/>
      <c r="B1076" s="13"/>
      <c r="C1076" s="20" t="str">
        <f aca="false">IF($B1076="","",IFERROR(INDEX(고객사!$B$5:$B$104,MATCH($B1076,고객사!$A$5:$A$104,0)),"코드 확인"))</f>
        <v/>
      </c>
      <c r="D1076" s="15"/>
      <c r="E1076" s="15"/>
      <c r="F1076" s="16"/>
      <c r="G1076" s="16"/>
      <c r="H1076" s="21" t="str">
        <f aca="false">IF(OR($B1076="",F1076=0),"",G1076/F1076)</f>
        <v/>
      </c>
      <c r="I1076" s="22" t="str">
        <f aca="false">IF($B1076="","",MAX(F1076-G1076,0))</f>
        <v/>
      </c>
      <c r="J1076" s="23" t="str">
        <f aca="false">IF($B1076="","",IFERROR(INDEX(고객사!$G$5:$G$104,MATCH($B1076,고객사!$A$5:$A$104,0)),""))</f>
        <v/>
      </c>
      <c r="K1076" s="16"/>
      <c r="L1076" s="22" t="str">
        <f aca="false">IF($B1076="","",K1076*IFERROR(INDEX(고객사!$L$5:$L$104,MATCH($B1076,고객사!$A$5:$A$104,0)),0))</f>
        <v/>
      </c>
      <c r="M1076" s="23" t="str">
        <f aca="false">IF($B1076="","",IF(AND(J1076="N",G1076&gt;0,K1076=0,IFERROR(INDEX(고객사!$H$5:$H$104,MATCH($B1076,고객사!$A$5:$A$104,0)),"")="자사 차량 운행"),"차량 미배정",""))</f>
        <v/>
      </c>
      <c r="N1076" s="22" t="str">
        <f aca="false">IF($B1076="","",IFERROR(INDEX(고객사!$J$5:$J$104,MATCH($B1076,고객사!$A$5:$A$104,0)),0))</f>
        <v/>
      </c>
      <c r="O1076" s="22" t="str">
        <f aca="false">IF($B1076="","",G1076*N1076)</f>
        <v/>
      </c>
      <c r="P1076" s="22" t="str">
        <f aca="false">IF($B1076="","",IFERROR(INDEX(고객사!$K$5:$K$104,MATCH($B1076,고객사!$A$5:$A$104,0)),0))</f>
        <v/>
      </c>
      <c r="Q1076" s="22" t="str">
        <f aca="false">IF($B1076="","",G1076*P1076)</f>
        <v/>
      </c>
      <c r="R1076" s="22" t="str">
        <f aca="false">IF($B1076="","",O1076-Q1076-L1076)</f>
        <v/>
      </c>
      <c r="S1076" s="21" t="str">
        <f aca="false">IF(OR($B1076="",N(O1076)=0),"",R1076/O1076)</f>
        <v/>
      </c>
      <c r="T1076" s="14"/>
      <c r="U1076" s="19" t="n">
        <f aca="false">IF(OR($B1076="",$A1076=""),0,IF(COUNTIFS($A$5:$A1076,$A1076,$B$5:$B1076,$B1076)=1,1,0))</f>
        <v>0</v>
      </c>
    </row>
    <row r="1077" customFormat="false" ht="15" hidden="false" customHeight="false" outlineLevel="0" collapsed="false">
      <c r="A1077" s="17"/>
      <c r="B1077" s="13"/>
      <c r="C1077" s="20" t="str">
        <f aca="false">IF($B1077="","",IFERROR(INDEX(고객사!$B$5:$B$104,MATCH($B1077,고객사!$A$5:$A$104,0)),"코드 확인"))</f>
        <v/>
      </c>
      <c r="D1077" s="15"/>
      <c r="E1077" s="15"/>
      <c r="F1077" s="16"/>
      <c r="G1077" s="16"/>
      <c r="H1077" s="21" t="str">
        <f aca="false">IF(OR($B1077="",F1077=0),"",G1077/F1077)</f>
        <v/>
      </c>
      <c r="I1077" s="22" t="str">
        <f aca="false">IF($B1077="","",MAX(F1077-G1077,0))</f>
        <v/>
      </c>
      <c r="J1077" s="23" t="str">
        <f aca="false">IF($B1077="","",IFERROR(INDEX(고객사!$G$5:$G$104,MATCH($B1077,고객사!$A$5:$A$104,0)),""))</f>
        <v/>
      </c>
      <c r="K1077" s="16"/>
      <c r="L1077" s="22" t="str">
        <f aca="false">IF($B1077="","",K1077*IFERROR(INDEX(고객사!$L$5:$L$104,MATCH($B1077,고객사!$A$5:$A$104,0)),0))</f>
        <v/>
      </c>
      <c r="M1077" s="23" t="str">
        <f aca="false">IF($B1077="","",IF(AND(J1077="N",G1077&gt;0,K1077=0,IFERROR(INDEX(고객사!$H$5:$H$104,MATCH($B1077,고객사!$A$5:$A$104,0)),"")="자사 차량 운행"),"차량 미배정",""))</f>
        <v/>
      </c>
      <c r="N1077" s="22" t="str">
        <f aca="false">IF($B1077="","",IFERROR(INDEX(고객사!$J$5:$J$104,MATCH($B1077,고객사!$A$5:$A$104,0)),0))</f>
        <v/>
      </c>
      <c r="O1077" s="22" t="str">
        <f aca="false">IF($B1077="","",G1077*N1077)</f>
        <v/>
      </c>
      <c r="P1077" s="22" t="str">
        <f aca="false">IF($B1077="","",IFERROR(INDEX(고객사!$K$5:$K$104,MATCH($B1077,고객사!$A$5:$A$104,0)),0))</f>
        <v/>
      </c>
      <c r="Q1077" s="22" t="str">
        <f aca="false">IF($B1077="","",G1077*P1077)</f>
        <v/>
      </c>
      <c r="R1077" s="22" t="str">
        <f aca="false">IF($B1077="","",O1077-Q1077-L1077)</f>
        <v/>
      </c>
      <c r="S1077" s="21" t="str">
        <f aca="false">IF(OR($B1077="",N(O1077)=0),"",R1077/O1077)</f>
        <v/>
      </c>
      <c r="T1077" s="14"/>
      <c r="U1077" s="19" t="n">
        <f aca="false">IF(OR($B1077="",$A1077=""),0,IF(COUNTIFS($A$5:$A1077,$A1077,$B$5:$B1077,$B1077)=1,1,0))</f>
        <v>0</v>
      </c>
    </row>
    <row r="1078" customFormat="false" ht="15" hidden="false" customHeight="false" outlineLevel="0" collapsed="false">
      <c r="A1078" s="17"/>
      <c r="B1078" s="13"/>
      <c r="C1078" s="20" t="str">
        <f aca="false">IF($B1078="","",IFERROR(INDEX(고객사!$B$5:$B$104,MATCH($B1078,고객사!$A$5:$A$104,0)),"코드 확인"))</f>
        <v/>
      </c>
      <c r="D1078" s="15"/>
      <c r="E1078" s="15"/>
      <c r="F1078" s="16"/>
      <c r="G1078" s="16"/>
      <c r="H1078" s="21" t="str">
        <f aca="false">IF(OR($B1078="",F1078=0),"",G1078/F1078)</f>
        <v/>
      </c>
      <c r="I1078" s="22" t="str">
        <f aca="false">IF($B1078="","",MAX(F1078-G1078,0))</f>
        <v/>
      </c>
      <c r="J1078" s="23" t="str">
        <f aca="false">IF($B1078="","",IFERROR(INDEX(고객사!$G$5:$G$104,MATCH($B1078,고객사!$A$5:$A$104,0)),""))</f>
        <v/>
      </c>
      <c r="K1078" s="16"/>
      <c r="L1078" s="22" t="str">
        <f aca="false">IF($B1078="","",K1078*IFERROR(INDEX(고객사!$L$5:$L$104,MATCH($B1078,고객사!$A$5:$A$104,0)),0))</f>
        <v/>
      </c>
      <c r="M1078" s="23" t="str">
        <f aca="false">IF($B1078="","",IF(AND(J1078="N",G1078&gt;0,K1078=0,IFERROR(INDEX(고객사!$H$5:$H$104,MATCH($B1078,고객사!$A$5:$A$104,0)),"")="자사 차량 운행"),"차량 미배정",""))</f>
        <v/>
      </c>
      <c r="N1078" s="22" t="str">
        <f aca="false">IF($B1078="","",IFERROR(INDEX(고객사!$J$5:$J$104,MATCH($B1078,고객사!$A$5:$A$104,0)),0))</f>
        <v/>
      </c>
      <c r="O1078" s="22" t="str">
        <f aca="false">IF($B1078="","",G1078*N1078)</f>
        <v/>
      </c>
      <c r="P1078" s="22" t="str">
        <f aca="false">IF($B1078="","",IFERROR(INDEX(고객사!$K$5:$K$104,MATCH($B1078,고객사!$A$5:$A$104,0)),0))</f>
        <v/>
      </c>
      <c r="Q1078" s="22" t="str">
        <f aca="false">IF($B1078="","",G1078*P1078)</f>
        <v/>
      </c>
      <c r="R1078" s="22" t="str">
        <f aca="false">IF($B1078="","",O1078-Q1078-L1078)</f>
        <v/>
      </c>
      <c r="S1078" s="21" t="str">
        <f aca="false">IF(OR($B1078="",N(O1078)=0),"",R1078/O1078)</f>
        <v/>
      </c>
      <c r="T1078" s="14"/>
      <c r="U1078" s="19" t="n">
        <f aca="false">IF(OR($B1078="",$A1078=""),0,IF(COUNTIFS($A$5:$A1078,$A1078,$B$5:$B1078,$B1078)=1,1,0))</f>
        <v>0</v>
      </c>
    </row>
    <row r="1079" customFormat="false" ht="15" hidden="false" customHeight="false" outlineLevel="0" collapsed="false">
      <c r="A1079" s="17"/>
      <c r="B1079" s="13"/>
      <c r="C1079" s="20" t="str">
        <f aca="false">IF($B1079="","",IFERROR(INDEX(고객사!$B$5:$B$104,MATCH($B1079,고객사!$A$5:$A$104,0)),"코드 확인"))</f>
        <v/>
      </c>
      <c r="D1079" s="15"/>
      <c r="E1079" s="15"/>
      <c r="F1079" s="16"/>
      <c r="G1079" s="16"/>
      <c r="H1079" s="21" t="str">
        <f aca="false">IF(OR($B1079="",F1079=0),"",G1079/F1079)</f>
        <v/>
      </c>
      <c r="I1079" s="22" t="str">
        <f aca="false">IF($B1079="","",MAX(F1079-G1079,0))</f>
        <v/>
      </c>
      <c r="J1079" s="23" t="str">
        <f aca="false">IF($B1079="","",IFERROR(INDEX(고객사!$G$5:$G$104,MATCH($B1079,고객사!$A$5:$A$104,0)),""))</f>
        <v/>
      </c>
      <c r="K1079" s="16"/>
      <c r="L1079" s="22" t="str">
        <f aca="false">IF($B1079="","",K1079*IFERROR(INDEX(고객사!$L$5:$L$104,MATCH($B1079,고객사!$A$5:$A$104,0)),0))</f>
        <v/>
      </c>
      <c r="M1079" s="23" t="str">
        <f aca="false">IF($B1079="","",IF(AND(J1079="N",G1079&gt;0,K1079=0,IFERROR(INDEX(고객사!$H$5:$H$104,MATCH($B1079,고객사!$A$5:$A$104,0)),"")="자사 차량 운행"),"차량 미배정",""))</f>
        <v/>
      </c>
      <c r="N1079" s="22" t="str">
        <f aca="false">IF($B1079="","",IFERROR(INDEX(고객사!$J$5:$J$104,MATCH($B1079,고객사!$A$5:$A$104,0)),0))</f>
        <v/>
      </c>
      <c r="O1079" s="22" t="str">
        <f aca="false">IF($B1079="","",G1079*N1079)</f>
        <v/>
      </c>
      <c r="P1079" s="22" t="str">
        <f aca="false">IF($B1079="","",IFERROR(INDEX(고객사!$K$5:$K$104,MATCH($B1079,고객사!$A$5:$A$104,0)),0))</f>
        <v/>
      </c>
      <c r="Q1079" s="22" t="str">
        <f aca="false">IF($B1079="","",G1079*P1079)</f>
        <v/>
      </c>
      <c r="R1079" s="22" t="str">
        <f aca="false">IF($B1079="","",O1079-Q1079-L1079)</f>
        <v/>
      </c>
      <c r="S1079" s="21" t="str">
        <f aca="false">IF(OR($B1079="",N(O1079)=0),"",R1079/O1079)</f>
        <v/>
      </c>
      <c r="T1079" s="14"/>
      <c r="U1079" s="19" t="n">
        <f aca="false">IF(OR($B1079="",$A1079=""),0,IF(COUNTIFS($A$5:$A1079,$A1079,$B$5:$B1079,$B1079)=1,1,0))</f>
        <v>0</v>
      </c>
    </row>
    <row r="1080" customFormat="false" ht="15" hidden="false" customHeight="false" outlineLevel="0" collapsed="false">
      <c r="A1080" s="17"/>
      <c r="B1080" s="13"/>
      <c r="C1080" s="20" t="str">
        <f aca="false">IF($B1080="","",IFERROR(INDEX(고객사!$B$5:$B$104,MATCH($B1080,고객사!$A$5:$A$104,0)),"코드 확인"))</f>
        <v/>
      </c>
      <c r="D1080" s="15"/>
      <c r="E1080" s="15"/>
      <c r="F1080" s="16"/>
      <c r="G1080" s="16"/>
      <c r="H1080" s="21" t="str">
        <f aca="false">IF(OR($B1080="",F1080=0),"",G1080/F1080)</f>
        <v/>
      </c>
      <c r="I1080" s="22" t="str">
        <f aca="false">IF($B1080="","",MAX(F1080-G1080,0))</f>
        <v/>
      </c>
      <c r="J1080" s="23" t="str">
        <f aca="false">IF($B1080="","",IFERROR(INDEX(고객사!$G$5:$G$104,MATCH($B1080,고객사!$A$5:$A$104,0)),""))</f>
        <v/>
      </c>
      <c r="K1080" s="16"/>
      <c r="L1080" s="22" t="str">
        <f aca="false">IF($B1080="","",K1080*IFERROR(INDEX(고객사!$L$5:$L$104,MATCH($B1080,고객사!$A$5:$A$104,0)),0))</f>
        <v/>
      </c>
      <c r="M1080" s="23" t="str">
        <f aca="false">IF($B1080="","",IF(AND(J1080="N",G1080&gt;0,K1080=0,IFERROR(INDEX(고객사!$H$5:$H$104,MATCH($B1080,고객사!$A$5:$A$104,0)),"")="자사 차량 운행"),"차량 미배정",""))</f>
        <v/>
      </c>
      <c r="N1080" s="22" t="str">
        <f aca="false">IF($B1080="","",IFERROR(INDEX(고객사!$J$5:$J$104,MATCH($B1080,고객사!$A$5:$A$104,0)),0))</f>
        <v/>
      </c>
      <c r="O1080" s="22" t="str">
        <f aca="false">IF($B1080="","",G1080*N1080)</f>
        <v/>
      </c>
      <c r="P1080" s="22" t="str">
        <f aca="false">IF($B1080="","",IFERROR(INDEX(고객사!$K$5:$K$104,MATCH($B1080,고객사!$A$5:$A$104,0)),0))</f>
        <v/>
      </c>
      <c r="Q1080" s="22" t="str">
        <f aca="false">IF($B1080="","",G1080*P1080)</f>
        <v/>
      </c>
      <c r="R1080" s="22" t="str">
        <f aca="false">IF($B1080="","",O1080-Q1080-L1080)</f>
        <v/>
      </c>
      <c r="S1080" s="21" t="str">
        <f aca="false">IF(OR($B1080="",N(O1080)=0),"",R1080/O1080)</f>
        <v/>
      </c>
      <c r="T1080" s="14"/>
      <c r="U1080" s="19" t="n">
        <f aca="false">IF(OR($B1080="",$A1080=""),0,IF(COUNTIFS($A$5:$A1080,$A1080,$B$5:$B1080,$B1080)=1,1,0))</f>
        <v>0</v>
      </c>
    </row>
    <row r="1081" customFormat="false" ht="15" hidden="false" customHeight="false" outlineLevel="0" collapsed="false">
      <c r="A1081" s="17"/>
      <c r="B1081" s="13"/>
      <c r="C1081" s="20" t="str">
        <f aca="false">IF($B1081="","",IFERROR(INDEX(고객사!$B$5:$B$104,MATCH($B1081,고객사!$A$5:$A$104,0)),"코드 확인"))</f>
        <v/>
      </c>
      <c r="D1081" s="15"/>
      <c r="E1081" s="15"/>
      <c r="F1081" s="16"/>
      <c r="G1081" s="16"/>
      <c r="H1081" s="21" t="str">
        <f aca="false">IF(OR($B1081="",F1081=0),"",G1081/F1081)</f>
        <v/>
      </c>
      <c r="I1081" s="22" t="str">
        <f aca="false">IF($B1081="","",MAX(F1081-G1081,0))</f>
        <v/>
      </c>
      <c r="J1081" s="23" t="str">
        <f aca="false">IF($B1081="","",IFERROR(INDEX(고객사!$G$5:$G$104,MATCH($B1081,고객사!$A$5:$A$104,0)),""))</f>
        <v/>
      </c>
      <c r="K1081" s="16"/>
      <c r="L1081" s="22" t="str">
        <f aca="false">IF($B1081="","",K1081*IFERROR(INDEX(고객사!$L$5:$L$104,MATCH($B1081,고객사!$A$5:$A$104,0)),0))</f>
        <v/>
      </c>
      <c r="M1081" s="23" t="str">
        <f aca="false">IF($B1081="","",IF(AND(J1081="N",G1081&gt;0,K1081=0,IFERROR(INDEX(고객사!$H$5:$H$104,MATCH($B1081,고객사!$A$5:$A$104,0)),"")="자사 차량 운행"),"차량 미배정",""))</f>
        <v/>
      </c>
      <c r="N1081" s="22" t="str">
        <f aca="false">IF($B1081="","",IFERROR(INDEX(고객사!$J$5:$J$104,MATCH($B1081,고객사!$A$5:$A$104,0)),0))</f>
        <v/>
      </c>
      <c r="O1081" s="22" t="str">
        <f aca="false">IF($B1081="","",G1081*N1081)</f>
        <v/>
      </c>
      <c r="P1081" s="22" t="str">
        <f aca="false">IF($B1081="","",IFERROR(INDEX(고객사!$K$5:$K$104,MATCH($B1081,고객사!$A$5:$A$104,0)),0))</f>
        <v/>
      </c>
      <c r="Q1081" s="22" t="str">
        <f aca="false">IF($B1081="","",G1081*P1081)</f>
        <v/>
      </c>
      <c r="R1081" s="22" t="str">
        <f aca="false">IF($B1081="","",O1081-Q1081-L1081)</f>
        <v/>
      </c>
      <c r="S1081" s="21" t="str">
        <f aca="false">IF(OR($B1081="",N(O1081)=0),"",R1081/O1081)</f>
        <v/>
      </c>
      <c r="T1081" s="14"/>
      <c r="U1081" s="19" t="n">
        <f aca="false">IF(OR($B1081="",$A1081=""),0,IF(COUNTIFS($A$5:$A1081,$A1081,$B$5:$B1081,$B1081)=1,1,0))</f>
        <v>0</v>
      </c>
    </row>
    <row r="1082" customFormat="false" ht="15" hidden="false" customHeight="false" outlineLevel="0" collapsed="false">
      <c r="A1082" s="17"/>
      <c r="B1082" s="13"/>
      <c r="C1082" s="20" t="str">
        <f aca="false">IF($B1082="","",IFERROR(INDEX(고객사!$B$5:$B$104,MATCH($B1082,고객사!$A$5:$A$104,0)),"코드 확인"))</f>
        <v/>
      </c>
      <c r="D1082" s="15"/>
      <c r="E1082" s="15"/>
      <c r="F1082" s="16"/>
      <c r="G1082" s="16"/>
      <c r="H1082" s="21" t="str">
        <f aca="false">IF(OR($B1082="",F1082=0),"",G1082/F1082)</f>
        <v/>
      </c>
      <c r="I1082" s="22" t="str">
        <f aca="false">IF($B1082="","",MAX(F1082-G1082,0))</f>
        <v/>
      </c>
      <c r="J1082" s="23" t="str">
        <f aca="false">IF($B1082="","",IFERROR(INDEX(고객사!$G$5:$G$104,MATCH($B1082,고객사!$A$5:$A$104,0)),""))</f>
        <v/>
      </c>
      <c r="K1082" s="16"/>
      <c r="L1082" s="22" t="str">
        <f aca="false">IF($B1082="","",K1082*IFERROR(INDEX(고객사!$L$5:$L$104,MATCH($B1082,고객사!$A$5:$A$104,0)),0))</f>
        <v/>
      </c>
      <c r="M1082" s="23" t="str">
        <f aca="false">IF($B1082="","",IF(AND(J1082="N",G1082&gt;0,K1082=0,IFERROR(INDEX(고객사!$H$5:$H$104,MATCH($B1082,고객사!$A$5:$A$104,0)),"")="자사 차량 운행"),"차량 미배정",""))</f>
        <v/>
      </c>
      <c r="N1082" s="22" t="str">
        <f aca="false">IF($B1082="","",IFERROR(INDEX(고객사!$J$5:$J$104,MATCH($B1082,고객사!$A$5:$A$104,0)),0))</f>
        <v/>
      </c>
      <c r="O1082" s="22" t="str">
        <f aca="false">IF($B1082="","",G1082*N1082)</f>
        <v/>
      </c>
      <c r="P1082" s="22" t="str">
        <f aca="false">IF($B1082="","",IFERROR(INDEX(고객사!$K$5:$K$104,MATCH($B1082,고객사!$A$5:$A$104,0)),0))</f>
        <v/>
      </c>
      <c r="Q1082" s="22" t="str">
        <f aca="false">IF($B1082="","",G1082*P1082)</f>
        <v/>
      </c>
      <c r="R1082" s="22" t="str">
        <f aca="false">IF($B1082="","",O1082-Q1082-L1082)</f>
        <v/>
      </c>
      <c r="S1082" s="21" t="str">
        <f aca="false">IF(OR($B1082="",N(O1082)=0),"",R1082/O1082)</f>
        <v/>
      </c>
      <c r="T1082" s="14"/>
      <c r="U1082" s="19" t="n">
        <f aca="false">IF(OR($B1082="",$A1082=""),0,IF(COUNTIFS($A$5:$A1082,$A1082,$B$5:$B1082,$B1082)=1,1,0))</f>
        <v>0</v>
      </c>
    </row>
    <row r="1083" customFormat="false" ht="15" hidden="false" customHeight="false" outlineLevel="0" collapsed="false">
      <c r="A1083" s="17"/>
      <c r="B1083" s="13"/>
      <c r="C1083" s="20" t="str">
        <f aca="false">IF($B1083="","",IFERROR(INDEX(고객사!$B$5:$B$104,MATCH($B1083,고객사!$A$5:$A$104,0)),"코드 확인"))</f>
        <v/>
      </c>
      <c r="D1083" s="15"/>
      <c r="E1083" s="15"/>
      <c r="F1083" s="16"/>
      <c r="G1083" s="16"/>
      <c r="H1083" s="21" t="str">
        <f aca="false">IF(OR($B1083="",F1083=0),"",G1083/F1083)</f>
        <v/>
      </c>
      <c r="I1083" s="22" t="str">
        <f aca="false">IF($B1083="","",MAX(F1083-G1083,0))</f>
        <v/>
      </c>
      <c r="J1083" s="23" t="str">
        <f aca="false">IF($B1083="","",IFERROR(INDEX(고객사!$G$5:$G$104,MATCH($B1083,고객사!$A$5:$A$104,0)),""))</f>
        <v/>
      </c>
      <c r="K1083" s="16"/>
      <c r="L1083" s="22" t="str">
        <f aca="false">IF($B1083="","",K1083*IFERROR(INDEX(고객사!$L$5:$L$104,MATCH($B1083,고객사!$A$5:$A$104,0)),0))</f>
        <v/>
      </c>
      <c r="M1083" s="23" t="str">
        <f aca="false">IF($B1083="","",IF(AND(J1083="N",G1083&gt;0,K1083=0,IFERROR(INDEX(고객사!$H$5:$H$104,MATCH($B1083,고객사!$A$5:$A$104,0)),"")="자사 차량 운행"),"차량 미배정",""))</f>
        <v/>
      </c>
      <c r="N1083" s="22" t="str">
        <f aca="false">IF($B1083="","",IFERROR(INDEX(고객사!$J$5:$J$104,MATCH($B1083,고객사!$A$5:$A$104,0)),0))</f>
        <v/>
      </c>
      <c r="O1083" s="22" t="str">
        <f aca="false">IF($B1083="","",G1083*N1083)</f>
        <v/>
      </c>
      <c r="P1083" s="22" t="str">
        <f aca="false">IF($B1083="","",IFERROR(INDEX(고객사!$K$5:$K$104,MATCH($B1083,고객사!$A$5:$A$104,0)),0))</f>
        <v/>
      </c>
      <c r="Q1083" s="22" t="str">
        <f aca="false">IF($B1083="","",G1083*P1083)</f>
        <v/>
      </c>
      <c r="R1083" s="22" t="str">
        <f aca="false">IF($B1083="","",O1083-Q1083-L1083)</f>
        <v/>
      </c>
      <c r="S1083" s="21" t="str">
        <f aca="false">IF(OR($B1083="",N(O1083)=0),"",R1083/O1083)</f>
        <v/>
      </c>
      <c r="T1083" s="14"/>
      <c r="U1083" s="19" t="n">
        <f aca="false">IF(OR($B1083="",$A1083=""),0,IF(COUNTIFS($A$5:$A1083,$A1083,$B$5:$B1083,$B1083)=1,1,0))</f>
        <v>0</v>
      </c>
    </row>
    <row r="1084" customFormat="false" ht="15" hidden="false" customHeight="false" outlineLevel="0" collapsed="false">
      <c r="A1084" s="17"/>
      <c r="B1084" s="13"/>
      <c r="C1084" s="20" t="str">
        <f aca="false">IF($B1084="","",IFERROR(INDEX(고객사!$B$5:$B$104,MATCH($B1084,고객사!$A$5:$A$104,0)),"코드 확인"))</f>
        <v/>
      </c>
      <c r="D1084" s="15"/>
      <c r="E1084" s="15"/>
      <c r="F1084" s="16"/>
      <c r="G1084" s="16"/>
      <c r="H1084" s="21" t="str">
        <f aca="false">IF(OR($B1084="",F1084=0),"",G1084/F1084)</f>
        <v/>
      </c>
      <c r="I1084" s="22" t="str">
        <f aca="false">IF($B1084="","",MAX(F1084-G1084,0))</f>
        <v/>
      </c>
      <c r="J1084" s="23" t="str">
        <f aca="false">IF($B1084="","",IFERROR(INDEX(고객사!$G$5:$G$104,MATCH($B1084,고객사!$A$5:$A$104,0)),""))</f>
        <v/>
      </c>
      <c r="K1084" s="16"/>
      <c r="L1084" s="22" t="str">
        <f aca="false">IF($B1084="","",K1084*IFERROR(INDEX(고객사!$L$5:$L$104,MATCH($B1084,고객사!$A$5:$A$104,0)),0))</f>
        <v/>
      </c>
      <c r="M1084" s="23" t="str">
        <f aca="false">IF($B1084="","",IF(AND(J1084="N",G1084&gt;0,K1084=0,IFERROR(INDEX(고객사!$H$5:$H$104,MATCH($B1084,고객사!$A$5:$A$104,0)),"")="자사 차량 운행"),"차량 미배정",""))</f>
        <v/>
      </c>
      <c r="N1084" s="22" t="str">
        <f aca="false">IF($B1084="","",IFERROR(INDEX(고객사!$J$5:$J$104,MATCH($B1084,고객사!$A$5:$A$104,0)),0))</f>
        <v/>
      </c>
      <c r="O1084" s="22" t="str">
        <f aca="false">IF($B1084="","",G1084*N1084)</f>
        <v/>
      </c>
      <c r="P1084" s="22" t="str">
        <f aca="false">IF($B1084="","",IFERROR(INDEX(고객사!$K$5:$K$104,MATCH($B1084,고객사!$A$5:$A$104,0)),0))</f>
        <v/>
      </c>
      <c r="Q1084" s="22" t="str">
        <f aca="false">IF($B1084="","",G1084*P1084)</f>
        <v/>
      </c>
      <c r="R1084" s="22" t="str">
        <f aca="false">IF($B1084="","",O1084-Q1084-L1084)</f>
        <v/>
      </c>
      <c r="S1084" s="21" t="str">
        <f aca="false">IF(OR($B1084="",N(O1084)=0),"",R1084/O1084)</f>
        <v/>
      </c>
      <c r="T1084" s="14"/>
      <c r="U1084" s="19" t="n">
        <f aca="false">IF(OR($B1084="",$A1084=""),0,IF(COUNTIFS($A$5:$A1084,$A1084,$B$5:$B1084,$B1084)=1,1,0))</f>
        <v>0</v>
      </c>
    </row>
    <row r="1085" customFormat="false" ht="15" hidden="false" customHeight="false" outlineLevel="0" collapsed="false">
      <c r="A1085" s="17"/>
      <c r="B1085" s="13"/>
      <c r="C1085" s="20" t="str">
        <f aca="false">IF($B1085="","",IFERROR(INDEX(고객사!$B$5:$B$104,MATCH($B1085,고객사!$A$5:$A$104,0)),"코드 확인"))</f>
        <v/>
      </c>
      <c r="D1085" s="15"/>
      <c r="E1085" s="15"/>
      <c r="F1085" s="16"/>
      <c r="G1085" s="16"/>
      <c r="H1085" s="21" t="str">
        <f aca="false">IF(OR($B1085="",F1085=0),"",G1085/F1085)</f>
        <v/>
      </c>
      <c r="I1085" s="22" t="str">
        <f aca="false">IF($B1085="","",MAX(F1085-G1085,0))</f>
        <v/>
      </c>
      <c r="J1085" s="23" t="str">
        <f aca="false">IF($B1085="","",IFERROR(INDEX(고객사!$G$5:$G$104,MATCH($B1085,고객사!$A$5:$A$104,0)),""))</f>
        <v/>
      </c>
      <c r="K1085" s="16"/>
      <c r="L1085" s="22" t="str">
        <f aca="false">IF($B1085="","",K1085*IFERROR(INDEX(고객사!$L$5:$L$104,MATCH($B1085,고객사!$A$5:$A$104,0)),0))</f>
        <v/>
      </c>
      <c r="M1085" s="23" t="str">
        <f aca="false">IF($B1085="","",IF(AND(J1085="N",G1085&gt;0,K1085=0,IFERROR(INDEX(고객사!$H$5:$H$104,MATCH($B1085,고객사!$A$5:$A$104,0)),"")="자사 차량 운행"),"차량 미배정",""))</f>
        <v/>
      </c>
      <c r="N1085" s="22" t="str">
        <f aca="false">IF($B1085="","",IFERROR(INDEX(고객사!$J$5:$J$104,MATCH($B1085,고객사!$A$5:$A$104,0)),0))</f>
        <v/>
      </c>
      <c r="O1085" s="22" t="str">
        <f aca="false">IF($B1085="","",G1085*N1085)</f>
        <v/>
      </c>
      <c r="P1085" s="22" t="str">
        <f aca="false">IF($B1085="","",IFERROR(INDEX(고객사!$K$5:$K$104,MATCH($B1085,고객사!$A$5:$A$104,0)),0))</f>
        <v/>
      </c>
      <c r="Q1085" s="22" t="str">
        <f aca="false">IF($B1085="","",G1085*P1085)</f>
        <v/>
      </c>
      <c r="R1085" s="22" t="str">
        <f aca="false">IF($B1085="","",O1085-Q1085-L1085)</f>
        <v/>
      </c>
      <c r="S1085" s="21" t="str">
        <f aca="false">IF(OR($B1085="",N(O1085)=0),"",R1085/O1085)</f>
        <v/>
      </c>
      <c r="T1085" s="14"/>
      <c r="U1085" s="19" t="n">
        <f aca="false">IF(OR($B1085="",$A1085=""),0,IF(COUNTIFS($A$5:$A1085,$A1085,$B$5:$B1085,$B1085)=1,1,0))</f>
        <v>0</v>
      </c>
    </row>
    <row r="1086" customFormat="false" ht="15" hidden="false" customHeight="false" outlineLevel="0" collapsed="false">
      <c r="A1086" s="17"/>
      <c r="B1086" s="13"/>
      <c r="C1086" s="20" t="str">
        <f aca="false">IF($B1086="","",IFERROR(INDEX(고객사!$B$5:$B$104,MATCH($B1086,고객사!$A$5:$A$104,0)),"코드 확인"))</f>
        <v/>
      </c>
      <c r="D1086" s="15"/>
      <c r="E1086" s="15"/>
      <c r="F1086" s="16"/>
      <c r="G1086" s="16"/>
      <c r="H1086" s="21" t="str">
        <f aca="false">IF(OR($B1086="",F1086=0),"",G1086/F1086)</f>
        <v/>
      </c>
      <c r="I1086" s="22" t="str">
        <f aca="false">IF($B1086="","",MAX(F1086-G1086,0))</f>
        <v/>
      </c>
      <c r="J1086" s="23" t="str">
        <f aca="false">IF($B1086="","",IFERROR(INDEX(고객사!$G$5:$G$104,MATCH($B1086,고객사!$A$5:$A$104,0)),""))</f>
        <v/>
      </c>
      <c r="K1086" s="16"/>
      <c r="L1086" s="22" t="str">
        <f aca="false">IF($B1086="","",K1086*IFERROR(INDEX(고객사!$L$5:$L$104,MATCH($B1086,고객사!$A$5:$A$104,0)),0))</f>
        <v/>
      </c>
      <c r="M1086" s="23" t="str">
        <f aca="false">IF($B1086="","",IF(AND(J1086="N",G1086&gt;0,K1086=0,IFERROR(INDEX(고객사!$H$5:$H$104,MATCH($B1086,고객사!$A$5:$A$104,0)),"")="자사 차량 운행"),"차량 미배정",""))</f>
        <v/>
      </c>
      <c r="N1086" s="22" t="str">
        <f aca="false">IF($B1086="","",IFERROR(INDEX(고객사!$J$5:$J$104,MATCH($B1086,고객사!$A$5:$A$104,0)),0))</f>
        <v/>
      </c>
      <c r="O1086" s="22" t="str">
        <f aca="false">IF($B1086="","",G1086*N1086)</f>
        <v/>
      </c>
      <c r="P1086" s="22" t="str">
        <f aca="false">IF($B1086="","",IFERROR(INDEX(고객사!$K$5:$K$104,MATCH($B1086,고객사!$A$5:$A$104,0)),0))</f>
        <v/>
      </c>
      <c r="Q1086" s="22" t="str">
        <f aca="false">IF($B1086="","",G1086*P1086)</f>
        <v/>
      </c>
      <c r="R1086" s="22" t="str">
        <f aca="false">IF($B1086="","",O1086-Q1086-L1086)</f>
        <v/>
      </c>
      <c r="S1086" s="21" t="str">
        <f aca="false">IF(OR($B1086="",N(O1086)=0),"",R1086/O1086)</f>
        <v/>
      </c>
      <c r="T1086" s="14"/>
      <c r="U1086" s="19" t="n">
        <f aca="false">IF(OR($B1086="",$A1086=""),0,IF(COUNTIFS($A$5:$A1086,$A1086,$B$5:$B1086,$B1086)=1,1,0))</f>
        <v>0</v>
      </c>
    </row>
    <row r="1087" customFormat="false" ht="15" hidden="false" customHeight="false" outlineLevel="0" collapsed="false">
      <c r="A1087" s="17"/>
      <c r="B1087" s="13"/>
      <c r="C1087" s="20" t="str">
        <f aca="false">IF($B1087="","",IFERROR(INDEX(고객사!$B$5:$B$104,MATCH($B1087,고객사!$A$5:$A$104,0)),"코드 확인"))</f>
        <v/>
      </c>
      <c r="D1087" s="15"/>
      <c r="E1087" s="15"/>
      <c r="F1087" s="16"/>
      <c r="G1087" s="16"/>
      <c r="H1087" s="21" t="str">
        <f aca="false">IF(OR($B1087="",F1087=0),"",G1087/F1087)</f>
        <v/>
      </c>
      <c r="I1087" s="22" t="str">
        <f aca="false">IF($B1087="","",MAX(F1087-G1087,0))</f>
        <v/>
      </c>
      <c r="J1087" s="23" t="str">
        <f aca="false">IF($B1087="","",IFERROR(INDEX(고객사!$G$5:$G$104,MATCH($B1087,고객사!$A$5:$A$104,0)),""))</f>
        <v/>
      </c>
      <c r="K1087" s="16"/>
      <c r="L1087" s="22" t="str">
        <f aca="false">IF($B1087="","",K1087*IFERROR(INDEX(고객사!$L$5:$L$104,MATCH($B1087,고객사!$A$5:$A$104,0)),0))</f>
        <v/>
      </c>
      <c r="M1087" s="23" t="str">
        <f aca="false">IF($B1087="","",IF(AND(J1087="N",G1087&gt;0,K1087=0,IFERROR(INDEX(고객사!$H$5:$H$104,MATCH($B1087,고객사!$A$5:$A$104,0)),"")="자사 차량 운행"),"차량 미배정",""))</f>
        <v/>
      </c>
      <c r="N1087" s="22" t="str">
        <f aca="false">IF($B1087="","",IFERROR(INDEX(고객사!$J$5:$J$104,MATCH($B1087,고객사!$A$5:$A$104,0)),0))</f>
        <v/>
      </c>
      <c r="O1087" s="22" t="str">
        <f aca="false">IF($B1087="","",G1087*N1087)</f>
        <v/>
      </c>
      <c r="P1087" s="22" t="str">
        <f aca="false">IF($B1087="","",IFERROR(INDEX(고객사!$K$5:$K$104,MATCH($B1087,고객사!$A$5:$A$104,0)),0))</f>
        <v/>
      </c>
      <c r="Q1087" s="22" t="str">
        <f aca="false">IF($B1087="","",G1087*P1087)</f>
        <v/>
      </c>
      <c r="R1087" s="22" t="str">
        <f aca="false">IF($B1087="","",O1087-Q1087-L1087)</f>
        <v/>
      </c>
      <c r="S1087" s="21" t="str">
        <f aca="false">IF(OR($B1087="",N(O1087)=0),"",R1087/O1087)</f>
        <v/>
      </c>
      <c r="T1087" s="14"/>
      <c r="U1087" s="19" t="n">
        <f aca="false">IF(OR($B1087="",$A1087=""),0,IF(COUNTIFS($A$5:$A1087,$A1087,$B$5:$B1087,$B1087)=1,1,0))</f>
        <v>0</v>
      </c>
    </row>
    <row r="1088" customFormat="false" ht="15" hidden="false" customHeight="false" outlineLevel="0" collapsed="false">
      <c r="A1088" s="17"/>
      <c r="B1088" s="13"/>
      <c r="C1088" s="20" t="str">
        <f aca="false">IF($B1088="","",IFERROR(INDEX(고객사!$B$5:$B$104,MATCH($B1088,고객사!$A$5:$A$104,0)),"코드 확인"))</f>
        <v/>
      </c>
      <c r="D1088" s="15"/>
      <c r="E1088" s="15"/>
      <c r="F1088" s="16"/>
      <c r="G1088" s="16"/>
      <c r="H1088" s="21" t="str">
        <f aca="false">IF(OR($B1088="",F1088=0),"",G1088/F1088)</f>
        <v/>
      </c>
      <c r="I1088" s="22" t="str">
        <f aca="false">IF($B1088="","",MAX(F1088-G1088,0))</f>
        <v/>
      </c>
      <c r="J1088" s="23" t="str">
        <f aca="false">IF($B1088="","",IFERROR(INDEX(고객사!$G$5:$G$104,MATCH($B1088,고객사!$A$5:$A$104,0)),""))</f>
        <v/>
      </c>
      <c r="K1088" s="16"/>
      <c r="L1088" s="22" t="str">
        <f aca="false">IF($B1088="","",K1088*IFERROR(INDEX(고객사!$L$5:$L$104,MATCH($B1088,고객사!$A$5:$A$104,0)),0))</f>
        <v/>
      </c>
      <c r="M1088" s="23" t="str">
        <f aca="false">IF($B1088="","",IF(AND(J1088="N",G1088&gt;0,K1088=0,IFERROR(INDEX(고객사!$H$5:$H$104,MATCH($B1088,고객사!$A$5:$A$104,0)),"")="자사 차량 운행"),"차량 미배정",""))</f>
        <v/>
      </c>
      <c r="N1088" s="22" t="str">
        <f aca="false">IF($B1088="","",IFERROR(INDEX(고객사!$J$5:$J$104,MATCH($B1088,고객사!$A$5:$A$104,0)),0))</f>
        <v/>
      </c>
      <c r="O1088" s="22" t="str">
        <f aca="false">IF($B1088="","",G1088*N1088)</f>
        <v/>
      </c>
      <c r="P1088" s="22" t="str">
        <f aca="false">IF($B1088="","",IFERROR(INDEX(고객사!$K$5:$K$104,MATCH($B1088,고객사!$A$5:$A$104,0)),0))</f>
        <v/>
      </c>
      <c r="Q1088" s="22" t="str">
        <f aca="false">IF($B1088="","",G1088*P1088)</f>
        <v/>
      </c>
      <c r="R1088" s="22" t="str">
        <f aca="false">IF($B1088="","",O1088-Q1088-L1088)</f>
        <v/>
      </c>
      <c r="S1088" s="21" t="str">
        <f aca="false">IF(OR($B1088="",N(O1088)=0),"",R1088/O1088)</f>
        <v/>
      </c>
      <c r="T1088" s="14"/>
      <c r="U1088" s="19" t="n">
        <f aca="false">IF(OR($B1088="",$A1088=""),0,IF(COUNTIFS($A$5:$A1088,$A1088,$B$5:$B1088,$B1088)=1,1,0))</f>
        <v>0</v>
      </c>
    </row>
    <row r="1089" customFormat="false" ht="15" hidden="false" customHeight="false" outlineLevel="0" collapsed="false">
      <c r="A1089" s="17"/>
      <c r="B1089" s="13"/>
      <c r="C1089" s="20" t="str">
        <f aca="false">IF($B1089="","",IFERROR(INDEX(고객사!$B$5:$B$104,MATCH($B1089,고객사!$A$5:$A$104,0)),"코드 확인"))</f>
        <v/>
      </c>
      <c r="D1089" s="15"/>
      <c r="E1089" s="15"/>
      <c r="F1089" s="16"/>
      <c r="G1089" s="16"/>
      <c r="H1089" s="21" t="str">
        <f aca="false">IF(OR($B1089="",F1089=0),"",G1089/F1089)</f>
        <v/>
      </c>
      <c r="I1089" s="22" t="str">
        <f aca="false">IF($B1089="","",MAX(F1089-G1089,0))</f>
        <v/>
      </c>
      <c r="J1089" s="23" t="str">
        <f aca="false">IF($B1089="","",IFERROR(INDEX(고객사!$G$5:$G$104,MATCH($B1089,고객사!$A$5:$A$104,0)),""))</f>
        <v/>
      </c>
      <c r="K1089" s="16"/>
      <c r="L1089" s="22" t="str">
        <f aca="false">IF($B1089="","",K1089*IFERROR(INDEX(고객사!$L$5:$L$104,MATCH($B1089,고객사!$A$5:$A$104,0)),0))</f>
        <v/>
      </c>
      <c r="M1089" s="23" t="str">
        <f aca="false">IF($B1089="","",IF(AND(J1089="N",G1089&gt;0,K1089=0,IFERROR(INDEX(고객사!$H$5:$H$104,MATCH($B1089,고객사!$A$5:$A$104,0)),"")="자사 차량 운행"),"차량 미배정",""))</f>
        <v/>
      </c>
      <c r="N1089" s="22" t="str">
        <f aca="false">IF($B1089="","",IFERROR(INDEX(고객사!$J$5:$J$104,MATCH($B1089,고객사!$A$5:$A$104,0)),0))</f>
        <v/>
      </c>
      <c r="O1089" s="22" t="str">
        <f aca="false">IF($B1089="","",G1089*N1089)</f>
        <v/>
      </c>
      <c r="P1089" s="22" t="str">
        <f aca="false">IF($B1089="","",IFERROR(INDEX(고객사!$K$5:$K$104,MATCH($B1089,고객사!$A$5:$A$104,0)),0))</f>
        <v/>
      </c>
      <c r="Q1089" s="22" t="str">
        <f aca="false">IF($B1089="","",G1089*P1089)</f>
        <v/>
      </c>
      <c r="R1089" s="22" t="str">
        <f aca="false">IF($B1089="","",O1089-Q1089-L1089)</f>
        <v/>
      </c>
      <c r="S1089" s="21" t="str">
        <f aca="false">IF(OR($B1089="",N(O1089)=0),"",R1089/O1089)</f>
        <v/>
      </c>
      <c r="T1089" s="14"/>
      <c r="U1089" s="19" t="n">
        <f aca="false">IF(OR($B1089="",$A1089=""),0,IF(COUNTIFS($A$5:$A1089,$A1089,$B$5:$B1089,$B1089)=1,1,0))</f>
        <v>0</v>
      </c>
    </row>
    <row r="1090" customFormat="false" ht="15" hidden="false" customHeight="false" outlineLevel="0" collapsed="false">
      <c r="A1090" s="17"/>
      <c r="B1090" s="13"/>
      <c r="C1090" s="20" t="str">
        <f aca="false">IF($B1090="","",IFERROR(INDEX(고객사!$B$5:$B$104,MATCH($B1090,고객사!$A$5:$A$104,0)),"코드 확인"))</f>
        <v/>
      </c>
      <c r="D1090" s="15"/>
      <c r="E1090" s="15"/>
      <c r="F1090" s="16"/>
      <c r="G1090" s="16"/>
      <c r="H1090" s="21" t="str">
        <f aca="false">IF(OR($B1090="",F1090=0),"",G1090/F1090)</f>
        <v/>
      </c>
      <c r="I1090" s="22" t="str">
        <f aca="false">IF($B1090="","",MAX(F1090-G1090,0))</f>
        <v/>
      </c>
      <c r="J1090" s="23" t="str">
        <f aca="false">IF($B1090="","",IFERROR(INDEX(고객사!$G$5:$G$104,MATCH($B1090,고객사!$A$5:$A$104,0)),""))</f>
        <v/>
      </c>
      <c r="K1090" s="16"/>
      <c r="L1090" s="22" t="str">
        <f aca="false">IF($B1090="","",K1090*IFERROR(INDEX(고객사!$L$5:$L$104,MATCH($B1090,고객사!$A$5:$A$104,0)),0))</f>
        <v/>
      </c>
      <c r="M1090" s="23" t="str">
        <f aca="false">IF($B1090="","",IF(AND(J1090="N",G1090&gt;0,K1090=0,IFERROR(INDEX(고객사!$H$5:$H$104,MATCH($B1090,고객사!$A$5:$A$104,0)),"")="자사 차량 운행"),"차량 미배정",""))</f>
        <v/>
      </c>
      <c r="N1090" s="22" t="str">
        <f aca="false">IF($B1090="","",IFERROR(INDEX(고객사!$J$5:$J$104,MATCH($B1090,고객사!$A$5:$A$104,0)),0))</f>
        <v/>
      </c>
      <c r="O1090" s="22" t="str">
        <f aca="false">IF($B1090="","",G1090*N1090)</f>
        <v/>
      </c>
      <c r="P1090" s="22" t="str">
        <f aca="false">IF($B1090="","",IFERROR(INDEX(고객사!$K$5:$K$104,MATCH($B1090,고객사!$A$5:$A$104,0)),0))</f>
        <v/>
      </c>
      <c r="Q1090" s="22" t="str">
        <f aca="false">IF($B1090="","",G1090*P1090)</f>
        <v/>
      </c>
      <c r="R1090" s="22" t="str">
        <f aca="false">IF($B1090="","",O1090-Q1090-L1090)</f>
        <v/>
      </c>
      <c r="S1090" s="21" t="str">
        <f aca="false">IF(OR($B1090="",N(O1090)=0),"",R1090/O1090)</f>
        <v/>
      </c>
      <c r="T1090" s="14"/>
      <c r="U1090" s="19" t="n">
        <f aca="false">IF(OR($B1090="",$A1090=""),0,IF(COUNTIFS($A$5:$A1090,$A1090,$B$5:$B1090,$B1090)=1,1,0))</f>
        <v>0</v>
      </c>
    </row>
    <row r="1091" customFormat="false" ht="15" hidden="false" customHeight="false" outlineLevel="0" collapsed="false">
      <c r="A1091" s="17"/>
      <c r="B1091" s="13"/>
      <c r="C1091" s="20" t="str">
        <f aca="false">IF($B1091="","",IFERROR(INDEX(고객사!$B$5:$B$104,MATCH($B1091,고객사!$A$5:$A$104,0)),"코드 확인"))</f>
        <v/>
      </c>
      <c r="D1091" s="15"/>
      <c r="E1091" s="15"/>
      <c r="F1091" s="16"/>
      <c r="G1091" s="16"/>
      <c r="H1091" s="21" t="str">
        <f aca="false">IF(OR($B1091="",F1091=0),"",G1091/F1091)</f>
        <v/>
      </c>
      <c r="I1091" s="22" t="str">
        <f aca="false">IF($B1091="","",MAX(F1091-G1091,0))</f>
        <v/>
      </c>
      <c r="J1091" s="23" t="str">
        <f aca="false">IF($B1091="","",IFERROR(INDEX(고객사!$G$5:$G$104,MATCH($B1091,고객사!$A$5:$A$104,0)),""))</f>
        <v/>
      </c>
      <c r="K1091" s="16"/>
      <c r="L1091" s="22" t="str">
        <f aca="false">IF($B1091="","",K1091*IFERROR(INDEX(고객사!$L$5:$L$104,MATCH($B1091,고객사!$A$5:$A$104,0)),0))</f>
        <v/>
      </c>
      <c r="M1091" s="23" t="str">
        <f aca="false">IF($B1091="","",IF(AND(J1091="N",G1091&gt;0,K1091=0,IFERROR(INDEX(고객사!$H$5:$H$104,MATCH($B1091,고객사!$A$5:$A$104,0)),"")="자사 차량 운행"),"차량 미배정",""))</f>
        <v/>
      </c>
      <c r="N1091" s="22" t="str">
        <f aca="false">IF($B1091="","",IFERROR(INDEX(고객사!$J$5:$J$104,MATCH($B1091,고객사!$A$5:$A$104,0)),0))</f>
        <v/>
      </c>
      <c r="O1091" s="22" t="str">
        <f aca="false">IF($B1091="","",G1091*N1091)</f>
        <v/>
      </c>
      <c r="P1091" s="22" t="str">
        <f aca="false">IF($B1091="","",IFERROR(INDEX(고객사!$K$5:$K$104,MATCH($B1091,고객사!$A$5:$A$104,0)),0))</f>
        <v/>
      </c>
      <c r="Q1091" s="22" t="str">
        <f aca="false">IF($B1091="","",G1091*P1091)</f>
        <v/>
      </c>
      <c r="R1091" s="22" t="str">
        <f aca="false">IF($B1091="","",O1091-Q1091-L1091)</f>
        <v/>
      </c>
      <c r="S1091" s="21" t="str">
        <f aca="false">IF(OR($B1091="",N(O1091)=0),"",R1091/O1091)</f>
        <v/>
      </c>
      <c r="T1091" s="14"/>
      <c r="U1091" s="19" t="n">
        <f aca="false">IF(OR($B1091="",$A1091=""),0,IF(COUNTIFS($A$5:$A1091,$A1091,$B$5:$B1091,$B1091)=1,1,0))</f>
        <v>0</v>
      </c>
    </row>
    <row r="1092" customFormat="false" ht="15" hidden="false" customHeight="false" outlineLevel="0" collapsed="false">
      <c r="A1092" s="17"/>
      <c r="B1092" s="13"/>
      <c r="C1092" s="20" t="str">
        <f aca="false">IF($B1092="","",IFERROR(INDEX(고객사!$B$5:$B$104,MATCH($B1092,고객사!$A$5:$A$104,0)),"코드 확인"))</f>
        <v/>
      </c>
      <c r="D1092" s="15"/>
      <c r="E1092" s="15"/>
      <c r="F1092" s="16"/>
      <c r="G1092" s="16"/>
      <c r="H1092" s="21" t="str">
        <f aca="false">IF(OR($B1092="",F1092=0),"",G1092/F1092)</f>
        <v/>
      </c>
      <c r="I1092" s="22" t="str">
        <f aca="false">IF($B1092="","",MAX(F1092-G1092,0))</f>
        <v/>
      </c>
      <c r="J1092" s="23" t="str">
        <f aca="false">IF($B1092="","",IFERROR(INDEX(고객사!$G$5:$G$104,MATCH($B1092,고객사!$A$5:$A$104,0)),""))</f>
        <v/>
      </c>
      <c r="K1092" s="16"/>
      <c r="L1092" s="22" t="str">
        <f aca="false">IF($B1092="","",K1092*IFERROR(INDEX(고객사!$L$5:$L$104,MATCH($B1092,고객사!$A$5:$A$104,0)),0))</f>
        <v/>
      </c>
      <c r="M1092" s="23" t="str">
        <f aca="false">IF($B1092="","",IF(AND(J1092="N",G1092&gt;0,K1092=0,IFERROR(INDEX(고객사!$H$5:$H$104,MATCH($B1092,고객사!$A$5:$A$104,0)),"")="자사 차량 운행"),"차량 미배정",""))</f>
        <v/>
      </c>
      <c r="N1092" s="22" t="str">
        <f aca="false">IF($B1092="","",IFERROR(INDEX(고객사!$J$5:$J$104,MATCH($B1092,고객사!$A$5:$A$104,0)),0))</f>
        <v/>
      </c>
      <c r="O1092" s="22" t="str">
        <f aca="false">IF($B1092="","",G1092*N1092)</f>
        <v/>
      </c>
      <c r="P1092" s="22" t="str">
        <f aca="false">IF($B1092="","",IFERROR(INDEX(고객사!$K$5:$K$104,MATCH($B1092,고객사!$A$5:$A$104,0)),0))</f>
        <v/>
      </c>
      <c r="Q1092" s="22" t="str">
        <f aca="false">IF($B1092="","",G1092*P1092)</f>
        <v/>
      </c>
      <c r="R1092" s="22" t="str">
        <f aca="false">IF($B1092="","",O1092-Q1092-L1092)</f>
        <v/>
      </c>
      <c r="S1092" s="21" t="str">
        <f aca="false">IF(OR($B1092="",N(O1092)=0),"",R1092/O1092)</f>
        <v/>
      </c>
      <c r="T1092" s="14"/>
      <c r="U1092" s="19" t="n">
        <f aca="false">IF(OR($B1092="",$A1092=""),0,IF(COUNTIFS($A$5:$A1092,$A1092,$B$5:$B1092,$B1092)=1,1,0))</f>
        <v>0</v>
      </c>
    </row>
    <row r="1093" customFormat="false" ht="15" hidden="false" customHeight="false" outlineLevel="0" collapsed="false">
      <c r="A1093" s="17"/>
      <c r="B1093" s="13"/>
      <c r="C1093" s="20" t="str">
        <f aca="false">IF($B1093="","",IFERROR(INDEX(고객사!$B$5:$B$104,MATCH($B1093,고객사!$A$5:$A$104,0)),"코드 확인"))</f>
        <v/>
      </c>
      <c r="D1093" s="15"/>
      <c r="E1093" s="15"/>
      <c r="F1093" s="16"/>
      <c r="G1093" s="16"/>
      <c r="H1093" s="21" t="str">
        <f aca="false">IF(OR($B1093="",F1093=0),"",G1093/F1093)</f>
        <v/>
      </c>
      <c r="I1093" s="22" t="str">
        <f aca="false">IF($B1093="","",MAX(F1093-G1093,0))</f>
        <v/>
      </c>
      <c r="J1093" s="23" t="str">
        <f aca="false">IF($B1093="","",IFERROR(INDEX(고객사!$G$5:$G$104,MATCH($B1093,고객사!$A$5:$A$104,0)),""))</f>
        <v/>
      </c>
      <c r="K1093" s="16"/>
      <c r="L1093" s="22" t="str">
        <f aca="false">IF($B1093="","",K1093*IFERROR(INDEX(고객사!$L$5:$L$104,MATCH($B1093,고객사!$A$5:$A$104,0)),0))</f>
        <v/>
      </c>
      <c r="M1093" s="23" t="str">
        <f aca="false">IF($B1093="","",IF(AND(J1093="N",G1093&gt;0,K1093=0,IFERROR(INDEX(고객사!$H$5:$H$104,MATCH($B1093,고객사!$A$5:$A$104,0)),"")="자사 차량 운행"),"차량 미배정",""))</f>
        <v/>
      </c>
      <c r="N1093" s="22" t="str">
        <f aca="false">IF($B1093="","",IFERROR(INDEX(고객사!$J$5:$J$104,MATCH($B1093,고객사!$A$5:$A$104,0)),0))</f>
        <v/>
      </c>
      <c r="O1093" s="22" t="str">
        <f aca="false">IF($B1093="","",G1093*N1093)</f>
        <v/>
      </c>
      <c r="P1093" s="22" t="str">
        <f aca="false">IF($B1093="","",IFERROR(INDEX(고객사!$K$5:$K$104,MATCH($B1093,고객사!$A$5:$A$104,0)),0))</f>
        <v/>
      </c>
      <c r="Q1093" s="22" t="str">
        <f aca="false">IF($B1093="","",G1093*P1093)</f>
        <v/>
      </c>
      <c r="R1093" s="22" t="str">
        <f aca="false">IF($B1093="","",O1093-Q1093-L1093)</f>
        <v/>
      </c>
      <c r="S1093" s="21" t="str">
        <f aca="false">IF(OR($B1093="",N(O1093)=0),"",R1093/O1093)</f>
        <v/>
      </c>
      <c r="T1093" s="14"/>
      <c r="U1093" s="19" t="n">
        <f aca="false">IF(OR($B1093="",$A1093=""),0,IF(COUNTIFS($A$5:$A1093,$A1093,$B$5:$B1093,$B1093)=1,1,0))</f>
        <v>0</v>
      </c>
    </row>
    <row r="1094" customFormat="false" ht="15" hidden="false" customHeight="false" outlineLevel="0" collapsed="false">
      <c r="A1094" s="17"/>
      <c r="B1094" s="13"/>
      <c r="C1094" s="20" t="str">
        <f aca="false">IF($B1094="","",IFERROR(INDEX(고객사!$B$5:$B$104,MATCH($B1094,고객사!$A$5:$A$104,0)),"코드 확인"))</f>
        <v/>
      </c>
      <c r="D1094" s="15"/>
      <c r="E1094" s="15"/>
      <c r="F1094" s="16"/>
      <c r="G1094" s="16"/>
      <c r="H1094" s="21" t="str">
        <f aca="false">IF(OR($B1094="",F1094=0),"",G1094/F1094)</f>
        <v/>
      </c>
      <c r="I1094" s="22" t="str">
        <f aca="false">IF($B1094="","",MAX(F1094-G1094,0))</f>
        <v/>
      </c>
      <c r="J1094" s="23" t="str">
        <f aca="false">IF($B1094="","",IFERROR(INDEX(고객사!$G$5:$G$104,MATCH($B1094,고객사!$A$5:$A$104,0)),""))</f>
        <v/>
      </c>
      <c r="K1094" s="16"/>
      <c r="L1094" s="22" t="str">
        <f aca="false">IF($B1094="","",K1094*IFERROR(INDEX(고객사!$L$5:$L$104,MATCH($B1094,고객사!$A$5:$A$104,0)),0))</f>
        <v/>
      </c>
      <c r="M1094" s="23" t="str">
        <f aca="false">IF($B1094="","",IF(AND(J1094="N",G1094&gt;0,K1094=0,IFERROR(INDEX(고객사!$H$5:$H$104,MATCH($B1094,고객사!$A$5:$A$104,0)),"")="자사 차량 운행"),"차량 미배정",""))</f>
        <v/>
      </c>
      <c r="N1094" s="22" t="str">
        <f aca="false">IF($B1094="","",IFERROR(INDEX(고객사!$J$5:$J$104,MATCH($B1094,고객사!$A$5:$A$104,0)),0))</f>
        <v/>
      </c>
      <c r="O1094" s="22" t="str">
        <f aca="false">IF($B1094="","",G1094*N1094)</f>
        <v/>
      </c>
      <c r="P1094" s="22" t="str">
        <f aca="false">IF($B1094="","",IFERROR(INDEX(고객사!$K$5:$K$104,MATCH($B1094,고객사!$A$5:$A$104,0)),0))</f>
        <v/>
      </c>
      <c r="Q1094" s="22" t="str">
        <f aca="false">IF($B1094="","",G1094*P1094)</f>
        <v/>
      </c>
      <c r="R1094" s="22" t="str">
        <f aca="false">IF($B1094="","",O1094-Q1094-L1094)</f>
        <v/>
      </c>
      <c r="S1094" s="21" t="str">
        <f aca="false">IF(OR($B1094="",N(O1094)=0),"",R1094/O1094)</f>
        <v/>
      </c>
      <c r="T1094" s="14"/>
      <c r="U1094" s="19" t="n">
        <f aca="false">IF(OR($B1094="",$A1094=""),0,IF(COUNTIFS($A$5:$A1094,$A1094,$B$5:$B1094,$B1094)=1,1,0))</f>
        <v>0</v>
      </c>
    </row>
    <row r="1095" customFormat="false" ht="15" hidden="false" customHeight="false" outlineLevel="0" collapsed="false">
      <c r="A1095" s="17"/>
      <c r="B1095" s="13"/>
      <c r="C1095" s="20" t="str">
        <f aca="false">IF($B1095="","",IFERROR(INDEX(고객사!$B$5:$B$104,MATCH($B1095,고객사!$A$5:$A$104,0)),"코드 확인"))</f>
        <v/>
      </c>
      <c r="D1095" s="15"/>
      <c r="E1095" s="15"/>
      <c r="F1095" s="16"/>
      <c r="G1095" s="16"/>
      <c r="H1095" s="21" t="str">
        <f aca="false">IF(OR($B1095="",F1095=0),"",G1095/F1095)</f>
        <v/>
      </c>
      <c r="I1095" s="22" t="str">
        <f aca="false">IF($B1095="","",MAX(F1095-G1095,0))</f>
        <v/>
      </c>
      <c r="J1095" s="23" t="str">
        <f aca="false">IF($B1095="","",IFERROR(INDEX(고객사!$G$5:$G$104,MATCH($B1095,고객사!$A$5:$A$104,0)),""))</f>
        <v/>
      </c>
      <c r="K1095" s="16"/>
      <c r="L1095" s="22" t="str">
        <f aca="false">IF($B1095="","",K1095*IFERROR(INDEX(고객사!$L$5:$L$104,MATCH($B1095,고객사!$A$5:$A$104,0)),0))</f>
        <v/>
      </c>
      <c r="M1095" s="23" t="str">
        <f aca="false">IF($B1095="","",IF(AND(J1095="N",G1095&gt;0,K1095=0,IFERROR(INDEX(고객사!$H$5:$H$104,MATCH($B1095,고객사!$A$5:$A$104,0)),"")="자사 차량 운행"),"차량 미배정",""))</f>
        <v/>
      </c>
      <c r="N1095" s="22" t="str">
        <f aca="false">IF($B1095="","",IFERROR(INDEX(고객사!$J$5:$J$104,MATCH($B1095,고객사!$A$5:$A$104,0)),0))</f>
        <v/>
      </c>
      <c r="O1095" s="22" t="str">
        <f aca="false">IF($B1095="","",G1095*N1095)</f>
        <v/>
      </c>
      <c r="P1095" s="22" t="str">
        <f aca="false">IF($B1095="","",IFERROR(INDEX(고객사!$K$5:$K$104,MATCH($B1095,고객사!$A$5:$A$104,0)),0))</f>
        <v/>
      </c>
      <c r="Q1095" s="22" t="str">
        <f aca="false">IF($B1095="","",G1095*P1095)</f>
        <v/>
      </c>
      <c r="R1095" s="22" t="str">
        <f aca="false">IF($B1095="","",O1095-Q1095-L1095)</f>
        <v/>
      </c>
      <c r="S1095" s="21" t="str">
        <f aca="false">IF(OR($B1095="",N(O1095)=0),"",R1095/O1095)</f>
        <v/>
      </c>
      <c r="T1095" s="14"/>
      <c r="U1095" s="19" t="n">
        <f aca="false">IF(OR($B1095="",$A1095=""),0,IF(COUNTIFS($A$5:$A1095,$A1095,$B$5:$B1095,$B1095)=1,1,0))</f>
        <v>0</v>
      </c>
    </row>
    <row r="1096" customFormat="false" ht="15" hidden="false" customHeight="false" outlineLevel="0" collapsed="false">
      <c r="A1096" s="17"/>
      <c r="B1096" s="13"/>
      <c r="C1096" s="20" t="str">
        <f aca="false">IF($B1096="","",IFERROR(INDEX(고객사!$B$5:$B$104,MATCH($B1096,고객사!$A$5:$A$104,0)),"코드 확인"))</f>
        <v/>
      </c>
      <c r="D1096" s="15"/>
      <c r="E1096" s="15"/>
      <c r="F1096" s="16"/>
      <c r="G1096" s="16"/>
      <c r="H1096" s="21" t="str">
        <f aca="false">IF(OR($B1096="",F1096=0),"",G1096/F1096)</f>
        <v/>
      </c>
      <c r="I1096" s="22" t="str">
        <f aca="false">IF($B1096="","",MAX(F1096-G1096,0))</f>
        <v/>
      </c>
      <c r="J1096" s="23" t="str">
        <f aca="false">IF($B1096="","",IFERROR(INDEX(고객사!$G$5:$G$104,MATCH($B1096,고객사!$A$5:$A$104,0)),""))</f>
        <v/>
      </c>
      <c r="K1096" s="16"/>
      <c r="L1096" s="22" t="str">
        <f aca="false">IF($B1096="","",K1096*IFERROR(INDEX(고객사!$L$5:$L$104,MATCH($B1096,고객사!$A$5:$A$104,0)),0))</f>
        <v/>
      </c>
      <c r="M1096" s="23" t="str">
        <f aca="false">IF($B1096="","",IF(AND(J1096="N",G1096&gt;0,K1096=0,IFERROR(INDEX(고객사!$H$5:$H$104,MATCH($B1096,고객사!$A$5:$A$104,0)),"")="자사 차량 운행"),"차량 미배정",""))</f>
        <v/>
      </c>
      <c r="N1096" s="22" t="str">
        <f aca="false">IF($B1096="","",IFERROR(INDEX(고객사!$J$5:$J$104,MATCH($B1096,고객사!$A$5:$A$104,0)),0))</f>
        <v/>
      </c>
      <c r="O1096" s="22" t="str">
        <f aca="false">IF($B1096="","",G1096*N1096)</f>
        <v/>
      </c>
      <c r="P1096" s="22" t="str">
        <f aca="false">IF($B1096="","",IFERROR(INDEX(고객사!$K$5:$K$104,MATCH($B1096,고객사!$A$5:$A$104,0)),0))</f>
        <v/>
      </c>
      <c r="Q1096" s="22" t="str">
        <f aca="false">IF($B1096="","",G1096*P1096)</f>
        <v/>
      </c>
      <c r="R1096" s="22" t="str">
        <f aca="false">IF($B1096="","",O1096-Q1096-L1096)</f>
        <v/>
      </c>
      <c r="S1096" s="21" t="str">
        <f aca="false">IF(OR($B1096="",N(O1096)=0),"",R1096/O1096)</f>
        <v/>
      </c>
      <c r="T1096" s="14"/>
      <c r="U1096" s="19" t="n">
        <f aca="false">IF(OR($B1096="",$A1096=""),0,IF(COUNTIFS($A$5:$A1096,$A1096,$B$5:$B1096,$B1096)=1,1,0))</f>
        <v>0</v>
      </c>
    </row>
    <row r="1097" customFormat="false" ht="15" hidden="false" customHeight="false" outlineLevel="0" collapsed="false">
      <c r="A1097" s="17"/>
      <c r="B1097" s="13"/>
      <c r="C1097" s="20" t="str">
        <f aca="false">IF($B1097="","",IFERROR(INDEX(고객사!$B$5:$B$104,MATCH($B1097,고객사!$A$5:$A$104,0)),"코드 확인"))</f>
        <v/>
      </c>
      <c r="D1097" s="15"/>
      <c r="E1097" s="15"/>
      <c r="F1097" s="16"/>
      <c r="G1097" s="16"/>
      <c r="H1097" s="21" t="str">
        <f aca="false">IF(OR($B1097="",F1097=0),"",G1097/F1097)</f>
        <v/>
      </c>
      <c r="I1097" s="22" t="str">
        <f aca="false">IF($B1097="","",MAX(F1097-G1097,0))</f>
        <v/>
      </c>
      <c r="J1097" s="23" t="str">
        <f aca="false">IF($B1097="","",IFERROR(INDEX(고객사!$G$5:$G$104,MATCH($B1097,고객사!$A$5:$A$104,0)),""))</f>
        <v/>
      </c>
      <c r="K1097" s="16"/>
      <c r="L1097" s="22" t="str">
        <f aca="false">IF($B1097="","",K1097*IFERROR(INDEX(고객사!$L$5:$L$104,MATCH($B1097,고객사!$A$5:$A$104,0)),0))</f>
        <v/>
      </c>
      <c r="M1097" s="23" t="str">
        <f aca="false">IF($B1097="","",IF(AND(J1097="N",G1097&gt;0,K1097=0,IFERROR(INDEX(고객사!$H$5:$H$104,MATCH($B1097,고객사!$A$5:$A$104,0)),"")="자사 차량 운행"),"차량 미배정",""))</f>
        <v/>
      </c>
      <c r="N1097" s="22" t="str">
        <f aca="false">IF($B1097="","",IFERROR(INDEX(고객사!$J$5:$J$104,MATCH($B1097,고객사!$A$5:$A$104,0)),0))</f>
        <v/>
      </c>
      <c r="O1097" s="22" t="str">
        <f aca="false">IF($B1097="","",G1097*N1097)</f>
        <v/>
      </c>
      <c r="P1097" s="22" t="str">
        <f aca="false">IF($B1097="","",IFERROR(INDEX(고객사!$K$5:$K$104,MATCH($B1097,고객사!$A$5:$A$104,0)),0))</f>
        <v/>
      </c>
      <c r="Q1097" s="22" t="str">
        <f aca="false">IF($B1097="","",G1097*P1097)</f>
        <v/>
      </c>
      <c r="R1097" s="22" t="str">
        <f aca="false">IF($B1097="","",O1097-Q1097-L1097)</f>
        <v/>
      </c>
      <c r="S1097" s="21" t="str">
        <f aca="false">IF(OR($B1097="",N(O1097)=0),"",R1097/O1097)</f>
        <v/>
      </c>
      <c r="T1097" s="14"/>
      <c r="U1097" s="19" t="n">
        <f aca="false">IF(OR($B1097="",$A1097=""),0,IF(COUNTIFS($A$5:$A1097,$A1097,$B$5:$B1097,$B1097)=1,1,0))</f>
        <v>0</v>
      </c>
    </row>
    <row r="1098" customFormat="false" ht="15" hidden="false" customHeight="false" outlineLevel="0" collapsed="false">
      <c r="A1098" s="17"/>
      <c r="B1098" s="13"/>
      <c r="C1098" s="20" t="str">
        <f aca="false">IF($B1098="","",IFERROR(INDEX(고객사!$B$5:$B$104,MATCH($B1098,고객사!$A$5:$A$104,0)),"코드 확인"))</f>
        <v/>
      </c>
      <c r="D1098" s="15"/>
      <c r="E1098" s="15"/>
      <c r="F1098" s="16"/>
      <c r="G1098" s="16"/>
      <c r="H1098" s="21" t="str">
        <f aca="false">IF(OR($B1098="",F1098=0),"",G1098/F1098)</f>
        <v/>
      </c>
      <c r="I1098" s="22" t="str">
        <f aca="false">IF($B1098="","",MAX(F1098-G1098,0))</f>
        <v/>
      </c>
      <c r="J1098" s="23" t="str">
        <f aca="false">IF($B1098="","",IFERROR(INDEX(고객사!$G$5:$G$104,MATCH($B1098,고객사!$A$5:$A$104,0)),""))</f>
        <v/>
      </c>
      <c r="K1098" s="16"/>
      <c r="L1098" s="22" t="str">
        <f aca="false">IF($B1098="","",K1098*IFERROR(INDEX(고객사!$L$5:$L$104,MATCH($B1098,고객사!$A$5:$A$104,0)),0))</f>
        <v/>
      </c>
      <c r="M1098" s="23" t="str">
        <f aca="false">IF($B1098="","",IF(AND(J1098="N",G1098&gt;0,K1098=0,IFERROR(INDEX(고객사!$H$5:$H$104,MATCH($B1098,고객사!$A$5:$A$104,0)),"")="자사 차량 운행"),"차량 미배정",""))</f>
        <v/>
      </c>
      <c r="N1098" s="22" t="str">
        <f aca="false">IF($B1098="","",IFERROR(INDEX(고객사!$J$5:$J$104,MATCH($B1098,고객사!$A$5:$A$104,0)),0))</f>
        <v/>
      </c>
      <c r="O1098" s="22" t="str">
        <f aca="false">IF($B1098="","",G1098*N1098)</f>
        <v/>
      </c>
      <c r="P1098" s="22" t="str">
        <f aca="false">IF($B1098="","",IFERROR(INDEX(고객사!$K$5:$K$104,MATCH($B1098,고객사!$A$5:$A$104,0)),0))</f>
        <v/>
      </c>
      <c r="Q1098" s="22" t="str">
        <f aca="false">IF($B1098="","",G1098*P1098)</f>
        <v/>
      </c>
      <c r="R1098" s="22" t="str">
        <f aca="false">IF($B1098="","",O1098-Q1098-L1098)</f>
        <v/>
      </c>
      <c r="S1098" s="21" t="str">
        <f aca="false">IF(OR($B1098="",N(O1098)=0),"",R1098/O1098)</f>
        <v/>
      </c>
      <c r="T1098" s="14"/>
      <c r="U1098" s="19" t="n">
        <f aca="false">IF(OR($B1098="",$A1098=""),0,IF(COUNTIFS($A$5:$A1098,$A1098,$B$5:$B1098,$B1098)=1,1,0))</f>
        <v>0</v>
      </c>
    </row>
    <row r="1099" customFormat="false" ht="15" hidden="false" customHeight="false" outlineLevel="0" collapsed="false">
      <c r="A1099" s="17"/>
      <c r="B1099" s="13"/>
      <c r="C1099" s="20" t="str">
        <f aca="false">IF($B1099="","",IFERROR(INDEX(고객사!$B$5:$B$104,MATCH($B1099,고객사!$A$5:$A$104,0)),"코드 확인"))</f>
        <v/>
      </c>
      <c r="D1099" s="15"/>
      <c r="E1099" s="15"/>
      <c r="F1099" s="16"/>
      <c r="G1099" s="16"/>
      <c r="H1099" s="21" t="str">
        <f aca="false">IF(OR($B1099="",F1099=0),"",G1099/F1099)</f>
        <v/>
      </c>
      <c r="I1099" s="22" t="str">
        <f aca="false">IF($B1099="","",MAX(F1099-G1099,0))</f>
        <v/>
      </c>
      <c r="J1099" s="23" t="str">
        <f aca="false">IF($B1099="","",IFERROR(INDEX(고객사!$G$5:$G$104,MATCH($B1099,고객사!$A$5:$A$104,0)),""))</f>
        <v/>
      </c>
      <c r="K1099" s="16"/>
      <c r="L1099" s="22" t="str">
        <f aca="false">IF($B1099="","",K1099*IFERROR(INDEX(고객사!$L$5:$L$104,MATCH($B1099,고객사!$A$5:$A$104,0)),0))</f>
        <v/>
      </c>
      <c r="M1099" s="23" t="str">
        <f aca="false">IF($B1099="","",IF(AND(J1099="N",G1099&gt;0,K1099=0,IFERROR(INDEX(고객사!$H$5:$H$104,MATCH($B1099,고객사!$A$5:$A$104,0)),"")="자사 차량 운행"),"차량 미배정",""))</f>
        <v/>
      </c>
      <c r="N1099" s="22" t="str">
        <f aca="false">IF($B1099="","",IFERROR(INDEX(고객사!$J$5:$J$104,MATCH($B1099,고객사!$A$5:$A$104,0)),0))</f>
        <v/>
      </c>
      <c r="O1099" s="22" t="str">
        <f aca="false">IF($B1099="","",G1099*N1099)</f>
        <v/>
      </c>
      <c r="P1099" s="22" t="str">
        <f aca="false">IF($B1099="","",IFERROR(INDEX(고객사!$K$5:$K$104,MATCH($B1099,고객사!$A$5:$A$104,0)),0))</f>
        <v/>
      </c>
      <c r="Q1099" s="22" t="str">
        <f aca="false">IF($B1099="","",G1099*P1099)</f>
        <v/>
      </c>
      <c r="R1099" s="22" t="str">
        <f aca="false">IF($B1099="","",O1099-Q1099-L1099)</f>
        <v/>
      </c>
      <c r="S1099" s="21" t="str">
        <f aca="false">IF(OR($B1099="",N(O1099)=0),"",R1099/O1099)</f>
        <v/>
      </c>
      <c r="T1099" s="14"/>
      <c r="U1099" s="19" t="n">
        <f aca="false">IF(OR($B1099="",$A1099=""),0,IF(COUNTIFS($A$5:$A1099,$A1099,$B$5:$B1099,$B1099)=1,1,0))</f>
        <v>0</v>
      </c>
    </row>
    <row r="1100" customFormat="false" ht="15" hidden="false" customHeight="false" outlineLevel="0" collapsed="false">
      <c r="A1100" s="17"/>
      <c r="B1100" s="13"/>
      <c r="C1100" s="20" t="str">
        <f aca="false">IF($B1100="","",IFERROR(INDEX(고객사!$B$5:$B$104,MATCH($B1100,고객사!$A$5:$A$104,0)),"코드 확인"))</f>
        <v/>
      </c>
      <c r="D1100" s="15"/>
      <c r="E1100" s="15"/>
      <c r="F1100" s="16"/>
      <c r="G1100" s="16"/>
      <c r="H1100" s="21" t="str">
        <f aca="false">IF(OR($B1100="",F1100=0),"",G1100/F1100)</f>
        <v/>
      </c>
      <c r="I1100" s="22" t="str">
        <f aca="false">IF($B1100="","",MAX(F1100-G1100,0))</f>
        <v/>
      </c>
      <c r="J1100" s="23" t="str">
        <f aca="false">IF($B1100="","",IFERROR(INDEX(고객사!$G$5:$G$104,MATCH($B1100,고객사!$A$5:$A$104,0)),""))</f>
        <v/>
      </c>
      <c r="K1100" s="16"/>
      <c r="L1100" s="22" t="str">
        <f aca="false">IF($B1100="","",K1100*IFERROR(INDEX(고객사!$L$5:$L$104,MATCH($B1100,고객사!$A$5:$A$104,0)),0))</f>
        <v/>
      </c>
      <c r="M1100" s="23" t="str">
        <f aca="false">IF($B1100="","",IF(AND(J1100="N",G1100&gt;0,K1100=0,IFERROR(INDEX(고객사!$H$5:$H$104,MATCH($B1100,고객사!$A$5:$A$104,0)),"")="자사 차량 운행"),"차량 미배정",""))</f>
        <v/>
      </c>
      <c r="N1100" s="22" t="str">
        <f aca="false">IF($B1100="","",IFERROR(INDEX(고객사!$J$5:$J$104,MATCH($B1100,고객사!$A$5:$A$104,0)),0))</f>
        <v/>
      </c>
      <c r="O1100" s="22" t="str">
        <f aca="false">IF($B1100="","",G1100*N1100)</f>
        <v/>
      </c>
      <c r="P1100" s="22" t="str">
        <f aca="false">IF($B1100="","",IFERROR(INDEX(고객사!$K$5:$K$104,MATCH($B1100,고객사!$A$5:$A$104,0)),0))</f>
        <v/>
      </c>
      <c r="Q1100" s="22" t="str">
        <f aca="false">IF($B1100="","",G1100*P1100)</f>
        <v/>
      </c>
      <c r="R1100" s="22" t="str">
        <f aca="false">IF($B1100="","",O1100-Q1100-L1100)</f>
        <v/>
      </c>
      <c r="S1100" s="21" t="str">
        <f aca="false">IF(OR($B1100="",N(O1100)=0),"",R1100/O1100)</f>
        <v/>
      </c>
      <c r="T1100" s="14"/>
      <c r="U1100" s="19" t="n">
        <f aca="false">IF(OR($B1100="",$A1100=""),0,IF(COUNTIFS($A$5:$A1100,$A1100,$B$5:$B1100,$B1100)=1,1,0))</f>
        <v>0</v>
      </c>
    </row>
    <row r="1101" customFormat="false" ht="15" hidden="false" customHeight="false" outlineLevel="0" collapsed="false">
      <c r="A1101" s="17"/>
      <c r="B1101" s="13"/>
      <c r="C1101" s="20" t="str">
        <f aca="false">IF($B1101="","",IFERROR(INDEX(고객사!$B$5:$B$104,MATCH($B1101,고객사!$A$5:$A$104,0)),"코드 확인"))</f>
        <v/>
      </c>
      <c r="D1101" s="15"/>
      <c r="E1101" s="15"/>
      <c r="F1101" s="16"/>
      <c r="G1101" s="16"/>
      <c r="H1101" s="21" t="str">
        <f aca="false">IF(OR($B1101="",F1101=0),"",G1101/F1101)</f>
        <v/>
      </c>
      <c r="I1101" s="22" t="str">
        <f aca="false">IF($B1101="","",MAX(F1101-G1101,0))</f>
        <v/>
      </c>
      <c r="J1101" s="23" t="str">
        <f aca="false">IF($B1101="","",IFERROR(INDEX(고객사!$G$5:$G$104,MATCH($B1101,고객사!$A$5:$A$104,0)),""))</f>
        <v/>
      </c>
      <c r="K1101" s="16"/>
      <c r="L1101" s="22" t="str">
        <f aca="false">IF($B1101="","",K1101*IFERROR(INDEX(고객사!$L$5:$L$104,MATCH($B1101,고객사!$A$5:$A$104,0)),0))</f>
        <v/>
      </c>
      <c r="M1101" s="23" t="str">
        <f aca="false">IF($B1101="","",IF(AND(J1101="N",G1101&gt;0,K1101=0,IFERROR(INDEX(고객사!$H$5:$H$104,MATCH($B1101,고객사!$A$5:$A$104,0)),"")="자사 차량 운행"),"차량 미배정",""))</f>
        <v/>
      </c>
      <c r="N1101" s="22" t="str">
        <f aca="false">IF($B1101="","",IFERROR(INDEX(고객사!$J$5:$J$104,MATCH($B1101,고객사!$A$5:$A$104,0)),0))</f>
        <v/>
      </c>
      <c r="O1101" s="22" t="str">
        <f aca="false">IF($B1101="","",G1101*N1101)</f>
        <v/>
      </c>
      <c r="P1101" s="22" t="str">
        <f aca="false">IF($B1101="","",IFERROR(INDEX(고객사!$K$5:$K$104,MATCH($B1101,고객사!$A$5:$A$104,0)),0))</f>
        <v/>
      </c>
      <c r="Q1101" s="22" t="str">
        <f aca="false">IF($B1101="","",G1101*P1101)</f>
        <v/>
      </c>
      <c r="R1101" s="22" t="str">
        <f aca="false">IF($B1101="","",O1101-Q1101-L1101)</f>
        <v/>
      </c>
      <c r="S1101" s="21" t="str">
        <f aca="false">IF(OR($B1101="",N(O1101)=0),"",R1101/O1101)</f>
        <v/>
      </c>
      <c r="T1101" s="14"/>
      <c r="U1101" s="19" t="n">
        <f aca="false">IF(OR($B1101="",$A1101=""),0,IF(COUNTIFS($A$5:$A1101,$A1101,$B$5:$B1101,$B1101)=1,1,0))</f>
        <v>0</v>
      </c>
    </row>
    <row r="1102" customFormat="false" ht="15" hidden="false" customHeight="false" outlineLevel="0" collapsed="false">
      <c r="A1102" s="17"/>
      <c r="B1102" s="13"/>
      <c r="C1102" s="20" t="str">
        <f aca="false">IF($B1102="","",IFERROR(INDEX(고객사!$B$5:$B$104,MATCH($B1102,고객사!$A$5:$A$104,0)),"코드 확인"))</f>
        <v/>
      </c>
      <c r="D1102" s="15"/>
      <c r="E1102" s="15"/>
      <c r="F1102" s="16"/>
      <c r="G1102" s="16"/>
      <c r="H1102" s="21" t="str">
        <f aca="false">IF(OR($B1102="",F1102=0),"",G1102/F1102)</f>
        <v/>
      </c>
      <c r="I1102" s="22" t="str">
        <f aca="false">IF($B1102="","",MAX(F1102-G1102,0))</f>
        <v/>
      </c>
      <c r="J1102" s="23" t="str">
        <f aca="false">IF($B1102="","",IFERROR(INDEX(고객사!$G$5:$G$104,MATCH($B1102,고객사!$A$5:$A$104,0)),""))</f>
        <v/>
      </c>
      <c r="K1102" s="16"/>
      <c r="L1102" s="22" t="str">
        <f aca="false">IF($B1102="","",K1102*IFERROR(INDEX(고객사!$L$5:$L$104,MATCH($B1102,고객사!$A$5:$A$104,0)),0))</f>
        <v/>
      </c>
      <c r="M1102" s="23" t="str">
        <f aca="false">IF($B1102="","",IF(AND(J1102="N",G1102&gt;0,K1102=0,IFERROR(INDEX(고객사!$H$5:$H$104,MATCH($B1102,고객사!$A$5:$A$104,0)),"")="자사 차량 운행"),"차량 미배정",""))</f>
        <v/>
      </c>
      <c r="N1102" s="22" t="str">
        <f aca="false">IF($B1102="","",IFERROR(INDEX(고객사!$J$5:$J$104,MATCH($B1102,고객사!$A$5:$A$104,0)),0))</f>
        <v/>
      </c>
      <c r="O1102" s="22" t="str">
        <f aca="false">IF($B1102="","",G1102*N1102)</f>
        <v/>
      </c>
      <c r="P1102" s="22" t="str">
        <f aca="false">IF($B1102="","",IFERROR(INDEX(고객사!$K$5:$K$104,MATCH($B1102,고객사!$A$5:$A$104,0)),0))</f>
        <v/>
      </c>
      <c r="Q1102" s="22" t="str">
        <f aca="false">IF($B1102="","",G1102*P1102)</f>
        <v/>
      </c>
      <c r="R1102" s="22" t="str">
        <f aca="false">IF($B1102="","",O1102-Q1102-L1102)</f>
        <v/>
      </c>
      <c r="S1102" s="21" t="str">
        <f aca="false">IF(OR($B1102="",N(O1102)=0),"",R1102/O1102)</f>
        <v/>
      </c>
      <c r="T1102" s="14"/>
      <c r="U1102" s="19" t="n">
        <f aca="false">IF(OR($B1102="",$A1102=""),0,IF(COUNTIFS($A$5:$A1102,$A1102,$B$5:$B1102,$B1102)=1,1,0))</f>
        <v>0</v>
      </c>
    </row>
    <row r="1103" customFormat="false" ht="15" hidden="false" customHeight="false" outlineLevel="0" collapsed="false">
      <c r="A1103" s="17"/>
      <c r="B1103" s="13"/>
      <c r="C1103" s="20" t="str">
        <f aca="false">IF($B1103="","",IFERROR(INDEX(고객사!$B$5:$B$104,MATCH($B1103,고객사!$A$5:$A$104,0)),"코드 확인"))</f>
        <v/>
      </c>
      <c r="D1103" s="15"/>
      <c r="E1103" s="15"/>
      <c r="F1103" s="16"/>
      <c r="G1103" s="16"/>
      <c r="H1103" s="21" t="str">
        <f aca="false">IF(OR($B1103="",F1103=0),"",G1103/F1103)</f>
        <v/>
      </c>
      <c r="I1103" s="22" t="str">
        <f aca="false">IF($B1103="","",MAX(F1103-G1103,0))</f>
        <v/>
      </c>
      <c r="J1103" s="23" t="str">
        <f aca="false">IF($B1103="","",IFERROR(INDEX(고객사!$G$5:$G$104,MATCH($B1103,고객사!$A$5:$A$104,0)),""))</f>
        <v/>
      </c>
      <c r="K1103" s="16"/>
      <c r="L1103" s="22" t="str">
        <f aca="false">IF($B1103="","",K1103*IFERROR(INDEX(고객사!$L$5:$L$104,MATCH($B1103,고객사!$A$5:$A$104,0)),0))</f>
        <v/>
      </c>
      <c r="M1103" s="23" t="str">
        <f aca="false">IF($B1103="","",IF(AND(J1103="N",G1103&gt;0,K1103=0,IFERROR(INDEX(고객사!$H$5:$H$104,MATCH($B1103,고객사!$A$5:$A$104,0)),"")="자사 차량 운행"),"차량 미배정",""))</f>
        <v/>
      </c>
      <c r="N1103" s="22" t="str">
        <f aca="false">IF($B1103="","",IFERROR(INDEX(고객사!$J$5:$J$104,MATCH($B1103,고객사!$A$5:$A$104,0)),0))</f>
        <v/>
      </c>
      <c r="O1103" s="22" t="str">
        <f aca="false">IF($B1103="","",G1103*N1103)</f>
        <v/>
      </c>
      <c r="P1103" s="22" t="str">
        <f aca="false">IF($B1103="","",IFERROR(INDEX(고객사!$K$5:$K$104,MATCH($B1103,고객사!$A$5:$A$104,0)),0))</f>
        <v/>
      </c>
      <c r="Q1103" s="22" t="str">
        <f aca="false">IF($B1103="","",G1103*P1103)</f>
        <v/>
      </c>
      <c r="R1103" s="22" t="str">
        <f aca="false">IF($B1103="","",O1103-Q1103-L1103)</f>
        <v/>
      </c>
      <c r="S1103" s="21" t="str">
        <f aca="false">IF(OR($B1103="",N(O1103)=0),"",R1103/O1103)</f>
        <v/>
      </c>
      <c r="T1103" s="14"/>
      <c r="U1103" s="19" t="n">
        <f aca="false">IF(OR($B1103="",$A1103=""),0,IF(COUNTIFS($A$5:$A1103,$A1103,$B$5:$B1103,$B1103)=1,1,0))</f>
        <v>0</v>
      </c>
    </row>
    <row r="1104" customFormat="false" ht="15" hidden="false" customHeight="false" outlineLevel="0" collapsed="false">
      <c r="A1104" s="17"/>
      <c r="B1104" s="13"/>
      <c r="C1104" s="20" t="str">
        <f aca="false">IF($B1104="","",IFERROR(INDEX(고객사!$B$5:$B$104,MATCH($B1104,고객사!$A$5:$A$104,0)),"코드 확인"))</f>
        <v/>
      </c>
      <c r="D1104" s="15"/>
      <c r="E1104" s="15"/>
      <c r="F1104" s="16"/>
      <c r="G1104" s="16"/>
      <c r="H1104" s="21" t="str">
        <f aca="false">IF(OR($B1104="",F1104=0),"",G1104/F1104)</f>
        <v/>
      </c>
      <c r="I1104" s="22" t="str">
        <f aca="false">IF($B1104="","",MAX(F1104-G1104,0))</f>
        <v/>
      </c>
      <c r="J1104" s="23" t="str">
        <f aca="false">IF($B1104="","",IFERROR(INDEX(고객사!$G$5:$G$104,MATCH($B1104,고객사!$A$5:$A$104,0)),""))</f>
        <v/>
      </c>
      <c r="K1104" s="16"/>
      <c r="L1104" s="22" t="str">
        <f aca="false">IF($B1104="","",K1104*IFERROR(INDEX(고객사!$L$5:$L$104,MATCH($B1104,고객사!$A$5:$A$104,0)),0))</f>
        <v/>
      </c>
      <c r="M1104" s="23" t="str">
        <f aca="false">IF($B1104="","",IF(AND(J1104="N",G1104&gt;0,K1104=0,IFERROR(INDEX(고객사!$H$5:$H$104,MATCH($B1104,고객사!$A$5:$A$104,0)),"")="자사 차량 운행"),"차량 미배정",""))</f>
        <v/>
      </c>
      <c r="N1104" s="22" t="str">
        <f aca="false">IF($B1104="","",IFERROR(INDEX(고객사!$J$5:$J$104,MATCH($B1104,고객사!$A$5:$A$104,0)),0))</f>
        <v/>
      </c>
      <c r="O1104" s="22" t="str">
        <f aca="false">IF($B1104="","",G1104*N1104)</f>
        <v/>
      </c>
      <c r="P1104" s="22" t="str">
        <f aca="false">IF($B1104="","",IFERROR(INDEX(고객사!$K$5:$K$104,MATCH($B1104,고객사!$A$5:$A$104,0)),0))</f>
        <v/>
      </c>
      <c r="Q1104" s="22" t="str">
        <f aca="false">IF($B1104="","",G1104*P1104)</f>
        <v/>
      </c>
      <c r="R1104" s="22" t="str">
        <f aca="false">IF($B1104="","",O1104-Q1104-L1104)</f>
        <v/>
      </c>
      <c r="S1104" s="21" t="str">
        <f aca="false">IF(OR($B1104="",N(O1104)=0),"",R1104/O1104)</f>
        <v/>
      </c>
      <c r="T1104" s="14"/>
      <c r="U1104" s="19" t="n">
        <f aca="false">IF(OR($B1104="",$A1104=""),0,IF(COUNTIFS($A$5:$A1104,$A1104,$B$5:$B1104,$B1104)=1,1,0))</f>
        <v>0</v>
      </c>
    </row>
    <row r="1105" customFormat="false" ht="15" hidden="false" customHeight="false" outlineLevel="0" collapsed="false">
      <c r="A1105" s="17"/>
      <c r="B1105" s="13"/>
      <c r="C1105" s="20" t="str">
        <f aca="false">IF($B1105="","",IFERROR(INDEX(고객사!$B$5:$B$104,MATCH($B1105,고객사!$A$5:$A$104,0)),"코드 확인"))</f>
        <v/>
      </c>
      <c r="D1105" s="15"/>
      <c r="E1105" s="15"/>
      <c r="F1105" s="16"/>
      <c r="G1105" s="16"/>
      <c r="H1105" s="21" t="str">
        <f aca="false">IF(OR($B1105="",F1105=0),"",G1105/F1105)</f>
        <v/>
      </c>
      <c r="I1105" s="22" t="str">
        <f aca="false">IF($B1105="","",MAX(F1105-G1105,0))</f>
        <v/>
      </c>
      <c r="J1105" s="23" t="str">
        <f aca="false">IF($B1105="","",IFERROR(INDEX(고객사!$G$5:$G$104,MATCH($B1105,고객사!$A$5:$A$104,0)),""))</f>
        <v/>
      </c>
      <c r="K1105" s="16"/>
      <c r="L1105" s="22" t="str">
        <f aca="false">IF($B1105="","",K1105*IFERROR(INDEX(고객사!$L$5:$L$104,MATCH($B1105,고객사!$A$5:$A$104,0)),0))</f>
        <v/>
      </c>
      <c r="M1105" s="23" t="str">
        <f aca="false">IF($B1105="","",IF(AND(J1105="N",G1105&gt;0,K1105=0,IFERROR(INDEX(고객사!$H$5:$H$104,MATCH($B1105,고객사!$A$5:$A$104,0)),"")="자사 차량 운행"),"차량 미배정",""))</f>
        <v/>
      </c>
      <c r="N1105" s="22" t="str">
        <f aca="false">IF($B1105="","",IFERROR(INDEX(고객사!$J$5:$J$104,MATCH($B1105,고객사!$A$5:$A$104,0)),0))</f>
        <v/>
      </c>
      <c r="O1105" s="22" t="str">
        <f aca="false">IF($B1105="","",G1105*N1105)</f>
        <v/>
      </c>
      <c r="P1105" s="22" t="str">
        <f aca="false">IF($B1105="","",IFERROR(INDEX(고객사!$K$5:$K$104,MATCH($B1105,고객사!$A$5:$A$104,0)),0))</f>
        <v/>
      </c>
      <c r="Q1105" s="22" t="str">
        <f aca="false">IF($B1105="","",G1105*P1105)</f>
        <v/>
      </c>
      <c r="R1105" s="22" t="str">
        <f aca="false">IF($B1105="","",O1105-Q1105-L1105)</f>
        <v/>
      </c>
      <c r="S1105" s="21" t="str">
        <f aca="false">IF(OR($B1105="",N(O1105)=0),"",R1105/O1105)</f>
        <v/>
      </c>
      <c r="T1105" s="14"/>
      <c r="U1105" s="19" t="n">
        <f aca="false">IF(OR($B1105="",$A1105=""),0,IF(COUNTIFS($A$5:$A1105,$A1105,$B$5:$B1105,$B1105)=1,1,0))</f>
        <v>0</v>
      </c>
    </row>
    <row r="1106" customFormat="false" ht="15" hidden="false" customHeight="false" outlineLevel="0" collapsed="false">
      <c r="A1106" s="17"/>
      <c r="B1106" s="13"/>
      <c r="C1106" s="20" t="str">
        <f aca="false">IF($B1106="","",IFERROR(INDEX(고객사!$B$5:$B$104,MATCH($B1106,고객사!$A$5:$A$104,0)),"코드 확인"))</f>
        <v/>
      </c>
      <c r="D1106" s="15"/>
      <c r="E1106" s="15"/>
      <c r="F1106" s="16"/>
      <c r="G1106" s="16"/>
      <c r="H1106" s="21" t="str">
        <f aca="false">IF(OR($B1106="",F1106=0),"",G1106/F1106)</f>
        <v/>
      </c>
      <c r="I1106" s="22" t="str">
        <f aca="false">IF($B1106="","",MAX(F1106-G1106,0))</f>
        <v/>
      </c>
      <c r="J1106" s="23" t="str">
        <f aca="false">IF($B1106="","",IFERROR(INDEX(고객사!$G$5:$G$104,MATCH($B1106,고객사!$A$5:$A$104,0)),""))</f>
        <v/>
      </c>
      <c r="K1106" s="16"/>
      <c r="L1106" s="22" t="str">
        <f aca="false">IF($B1106="","",K1106*IFERROR(INDEX(고객사!$L$5:$L$104,MATCH($B1106,고객사!$A$5:$A$104,0)),0))</f>
        <v/>
      </c>
      <c r="M1106" s="23" t="str">
        <f aca="false">IF($B1106="","",IF(AND(J1106="N",G1106&gt;0,K1106=0,IFERROR(INDEX(고객사!$H$5:$H$104,MATCH($B1106,고객사!$A$5:$A$104,0)),"")="자사 차량 운행"),"차량 미배정",""))</f>
        <v/>
      </c>
      <c r="N1106" s="22" t="str">
        <f aca="false">IF($B1106="","",IFERROR(INDEX(고객사!$J$5:$J$104,MATCH($B1106,고객사!$A$5:$A$104,0)),0))</f>
        <v/>
      </c>
      <c r="O1106" s="22" t="str">
        <f aca="false">IF($B1106="","",G1106*N1106)</f>
        <v/>
      </c>
      <c r="P1106" s="22" t="str">
        <f aca="false">IF($B1106="","",IFERROR(INDEX(고객사!$K$5:$K$104,MATCH($B1106,고객사!$A$5:$A$104,0)),0))</f>
        <v/>
      </c>
      <c r="Q1106" s="22" t="str">
        <f aca="false">IF($B1106="","",G1106*P1106)</f>
        <v/>
      </c>
      <c r="R1106" s="22" t="str">
        <f aca="false">IF($B1106="","",O1106-Q1106-L1106)</f>
        <v/>
      </c>
      <c r="S1106" s="21" t="str">
        <f aca="false">IF(OR($B1106="",N(O1106)=0),"",R1106/O1106)</f>
        <v/>
      </c>
      <c r="T1106" s="14"/>
      <c r="U1106" s="19" t="n">
        <f aca="false">IF(OR($B1106="",$A1106=""),0,IF(COUNTIFS($A$5:$A1106,$A1106,$B$5:$B1106,$B1106)=1,1,0))</f>
        <v>0</v>
      </c>
    </row>
    <row r="1107" customFormat="false" ht="15" hidden="false" customHeight="false" outlineLevel="0" collapsed="false">
      <c r="A1107" s="17"/>
      <c r="B1107" s="13"/>
      <c r="C1107" s="20" t="str">
        <f aca="false">IF($B1107="","",IFERROR(INDEX(고객사!$B$5:$B$104,MATCH($B1107,고객사!$A$5:$A$104,0)),"코드 확인"))</f>
        <v/>
      </c>
      <c r="D1107" s="15"/>
      <c r="E1107" s="15"/>
      <c r="F1107" s="16"/>
      <c r="G1107" s="16"/>
      <c r="H1107" s="21" t="str">
        <f aca="false">IF(OR($B1107="",F1107=0),"",G1107/F1107)</f>
        <v/>
      </c>
      <c r="I1107" s="22" t="str">
        <f aca="false">IF($B1107="","",MAX(F1107-G1107,0))</f>
        <v/>
      </c>
      <c r="J1107" s="23" t="str">
        <f aca="false">IF($B1107="","",IFERROR(INDEX(고객사!$G$5:$G$104,MATCH($B1107,고객사!$A$5:$A$104,0)),""))</f>
        <v/>
      </c>
      <c r="K1107" s="16"/>
      <c r="L1107" s="22" t="str">
        <f aca="false">IF($B1107="","",K1107*IFERROR(INDEX(고객사!$L$5:$L$104,MATCH($B1107,고객사!$A$5:$A$104,0)),0))</f>
        <v/>
      </c>
      <c r="M1107" s="23" t="str">
        <f aca="false">IF($B1107="","",IF(AND(J1107="N",G1107&gt;0,K1107=0,IFERROR(INDEX(고객사!$H$5:$H$104,MATCH($B1107,고객사!$A$5:$A$104,0)),"")="자사 차량 운행"),"차량 미배정",""))</f>
        <v/>
      </c>
      <c r="N1107" s="22" t="str">
        <f aca="false">IF($B1107="","",IFERROR(INDEX(고객사!$J$5:$J$104,MATCH($B1107,고객사!$A$5:$A$104,0)),0))</f>
        <v/>
      </c>
      <c r="O1107" s="22" t="str">
        <f aca="false">IF($B1107="","",G1107*N1107)</f>
        <v/>
      </c>
      <c r="P1107" s="22" t="str">
        <f aca="false">IF($B1107="","",IFERROR(INDEX(고객사!$K$5:$K$104,MATCH($B1107,고객사!$A$5:$A$104,0)),0))</f>
        <v/>
      </c>
      <c r="Q1107" s="22" t="str">
        <f aca="false">IF($B1107="","",G1107*P1107)</f>
        <v/>
      </c>
      <c r="R1107" s="22" t="str">
        <f aca="false">IF($B1107="","",O1107-Q1107-L1107)</f>
        <v/>
      </c>
      <c r="S1107" s="21" t="str">
        <f aca="false">IF(OR($B1107="",N(O1107)=0),"",R1107/O1107)</f>
        <v/>
      </c>
      <c r="T1107" s="14"/>
      <c r="U1107" s="19" t="n">
        <f aca="false">IF(OR($B1107="",$A1107=""),0,IF(COUNTIFS($A$5:$A1107,$A1107,$B$5:$B1107,$B1107)=1,1,0))</f>
        <v>0</v>
      </c>
    </row>
    <row r="1108" customFormat="false" ht="15" hidden="false" customHeight="false" outlineLevel="0" collapsed="false">
      <c r="A1108" s="17"/>
      <c r="B1108" s="13"/>
      <c r="C1108" s="20" t="str">
        <f aca="false">IF($B1108="","",IFERROR(INDEX(고객사!$B$5:$B$104,MATCH($B1108,고객사!$A$5:$A$104,0)),"코드 확인"))</f>
        <v/>
      </c>
      <c r="D1108" s="15"/>
      <c r="E1108" s="15"/>
      <c r="F1108" s="16"/>
      <c r="G1108" s="16"/>
      <c r="H1108" s="21" t="str">
        <f aca="false">IF(OR($B1108="",F1108=0),"",G1108/F1108)</f>
        <v/>
      </c>
      <c r="I1108" s="22" t="str">
        <f aca="false">IF($B1108="","",MAX(F1108-G1108,0))</f>
        <v/>
      </c>
      <c r="J1108" s="23" t="str">
        <f aca="false">IF($B1108="","",IFERROR(INDEX(고객사!$G$5:$G$104,MATCH($B1108,고객사!$A$5:$A$104,0)),""))</f>
        <v/>
      </c>
      <c r="K1108" s="16"/>
      <c r="L1108" s="22" t="str">
        <f aca="false">IF($B1108="","",K1108*IFERROR(INDEX(고객사!$L$5:$L$104,MATCH($B1108,고객사!$A$5:$A$104,0)),0))</f>
        <v/>
      </c>
      <c r="M1108" s="23" t="str">
        <f aca="false">IF($B1108="","",IF(AND(J1108="N",G1108&gt;0,K1108=0,IFERROR(INDEX(고객사!$H$5:$H$104,MATCH($B1108,고객사!$A$5:$A$104,0)),"")="자사 차량 운행"),"차량 미배정",""))</f>
        <v/>
      </c>
      <c r="N1108" s="22" t="str">
        <f aca="false">IF($B1108="","",IFERROR(INDEX(고객사!$J$5:$J$104,MATCH($B1108,고객사!$A$5:$A$104,0)),0))</f>
        <v/>
      </c>
      <c r="O1108" s="22" t="str">
        <f aca="false">IF($B1108="","",G1108*N1108)</f>
        <v/>
      </c>
      <c r="P1108" s="22" t="str">
        <f aca="false">IF($B1108="","",IFERROR(INDEX(고객사!$K$5:$K$104,MATCH($B1108,고객사!$A$5:$A$104,0)),0))</f>
        <v/>
      </c>
      <c r="Q1108" s="22" t="str">
        <f aca="false">IF($B1108="","",G1108*P1108)</f>
        <v/>
      </c>
      <c r="R1108" s="22" t="str">
        <f aca="false">IF($B1108="","",O1108-Q1108-L1108)</f>
        <v/>
      </c>
      <c r="S1108" s="21" t="str">
        <f aca="false">IF(OR($B1108="",N(O1108)=0),"",R1108/O1108)</f>
        <v/>
      </c>
      <c r="T1108" s="14"/>
      <c r="U1108" s="19" t="n">
        <f aca="false">IF(OR($B1108="",$A1108=""),0,IF(COUNTIFS($A$5:$A1108,$A1108,$B$5:$B1108,$B1108)=1,1,0))</f>
        <v>0</v>
      </c>
    </row>
    <row r="1109" customFormat="false" ht="15" hidden="false" customHeight="false" outlineLevel="0" collapsed="false">
      <c r="A1109" s="17"/>
      <c r="B1109" s="13"/>
      <c r="C1109" s="20" t="str">
        <f aca="false">IF($B1109="","",IFERROR(INDEX(고객사!$B$5:$B$104,MATCH($B1109,고객사!$A$5:$A$104,0)),"코드 확인"))</f>
        <v/>
      </c>
      <c r="D1109" s="15"/>
      <c r="E1109" s="15"/>
      <c r="F1109" s="16"/>
      <c r="G1109" s="16"/>
      <c r="H1109" s="21" t="str">
        <f aca="false">IF(OR($B1109="",F1109=0),"",G1109/F1109)</f>
        <v/>
      </c>
      <c r="I1109" s="22" t="str">
        <f aca="false">IF($B1109="","",MAX(F1109-G1109,0))</f>
        <v/>
      </c>
      <c r="J1109" s="23" t="str">
        <f aca="false">IF($B1109="","",IFERROR(INDEX(고객사!$G$5:$G$104,MATCH($B1109,고객사!$A$5:$A$104,0)),""))</f>
        <v/>
      </c>
      <c r="K1109" s="16"/>
      <c r="L1109" s="22" t="str">
        <f aca="false">IF($B1109="","",K1109*IFERROR(INDEX(고객사!$L$5:$L$104,MATCH($B1109,고객사!$A$5:$A$104,0)),0))</f>
        <v/>
      </c>
      <c r="M1109" s="23" t="str">
        <f aca="false">IF($B1109="","",IF(AND(J1109="N",G1109&gt;0,K1109=0,IFERROR(INDEX(고객사!$H$5:$H$104,MATCH($B1109,고객사!$A$5:$A$104,0)),"")="자사 차량 운행"),"차량 미배정",""))</f>
        <v/>
      </c>
      <c r="N1109" s="22" t="str">
        <f aca="false">IF($B1109="","",IFERROR(INDEX(고객사!$J$5:$J$104,MATCH($B1109,고객사!$A$5:$A$104,0)),0))</f>
        <v/>
      </c>
      <c r="O1109" s="22" t="str">
        <f aca="false">IF($B1109="","",G1109*N1109)</f>
        <v/>
      </c>
      <c r="P1109" s="22" t="str">
        <f aca="false">IF($B1109="","",IFERROR(INDEX(고객사!$K$5:$K$104,MATCH($B1109,고객사!$A$5:$A$104,0)),0))</f>
        <v/>
      </c>
      <c r="Q1109" s="22" t="str">
        <f aca="false">IF($B1109="","",G1109*P1109)</f>
        <v/>
      </c>
      <c r="R1109" s="22" t="str">
        <f aca="false">IF($B1109="","",O1109-Q1109-L1109)</f>
        <v/>
      </c>
      <c r="S1109" s="21" t="str">
        <f aca="false">IF(OR($B1109="",N(O1109)=0),"",R1109/O1109)</f>
        <v/>
      </c>
      <c r="T1109" s="14"/>
      <c r="U1109" s="19" t="n">
        <f aca="false">IF(OR($B1109="",$A1109=""),0,IF(COUNTIFS($A$5:$A1109,$A1109,$B$5:$B1109,$B1109)=1,1,0))</f>
        <v>0</v>
      </c>
    </row>
    <row r="1110" customFormat="false" ht="15" hidden="false" customHeight="false" outlineLevel="0" collapsed="false">
      <c r="A1110" s="17"/>
      <c r="B1110" s="13"/>
      <c r="C1110" s="20" t="str">
        <f aca="false">IF($B1110="","",IFERROR(INDEX(고객사!$B$5:$B$104,MATCH($B1110,고객사!$A$5:$A$104,0)),"코드 확인"))</f>
        <v/>
      </c>
      <c r="D1110" s="15"/>
      <c r="E1110" s="15"/>
      <c r="F1110" s="16"/>
      <c r="G1110" s="16"/>
      <c r="H1110" s="21" t="str">
        <f aca="false">IF(OR($B1110="",F1110=0),"",G1110/F1110)</f>
        <v/>
      </c>
      <c r="I1110" s="22" t="str">
        <f aca="false">IF($B1110="","",MAX(F1110-G1110,0))</f>
        <v/>
      </c>
      <c r="J1110" s="23" t="str">
        <f aca="false">IF($B1110="","",IFERROR(INDEX(고객사!$G$5:$G$104,MATCH($B1110,고객사!$A$5:$A$104,0)),""))</f>
        <v/>
      </c>
      <c r="K1110" s="16"/>
      <c r="L1110" s="22" t="str">
        <f aca="false">IF($B1110="","",K1110*IFERROR(INDEX(고객사!$L$5:$L$104,MATCH($B1110,고객사!$A$5:$A$104,0)),0))</f>
        <v/>
      </c>
      <c r="M1110" s="23" t="str">
        <f aca="false">IF($B1110="","",IF(AND(J1110="N",G1110&gt;0,K1110=0,IFERROR(INDEX(고객사!$H$5:$H$104,MATCH($B1110,고객사!$A$5:$A$104,0)),"")="자사 차량 운행"),"차량 미배정",""))</f>
        <v/>
      </c>
      <c r="N1110" s="22" t="str">
        <f aca="false">IF($B1110="","",IFERROR(INDEX(고객사!$J$5:$J$104,MATCH($B1110,고객사!$A$5:$A$104,0)),0))</f>
        <v/>
      </c>
      <c r="O1110" s="22" t="str">
        <f aca="false">IF($B1110="","",G1110*N1110)</f>
        <v/>
      </c>
      <c r="P1110" s="22" t="str">
        <f aca="false">IF($B1110="","",IFERROR(INDEX(고객사!$K$5:$K$104,MATCH($B1110,고객사!$A$5:$A$104,0)),0))</f>
        <v/>
      </c>
      <c r="Q1110" s="22" t="str">
        <f aca="false">IF($B1110="","",G1110*P1110)</f>
        <v/>
      </c>
      <c r="R1110" s="22" t="str">
        <f aca="false">IF($B1110="","",O1110-Q1110-L1110)</f>
        <v/>
      </c>
      <c r="S1110" s="21" t="str">
        <f aca="false">IF(OR($B1110="",N(O1110)=0),"",R1110/O1110)</f>
        <v/>
      </c>
      <c r="T1110" s="14"/>
      <c r="U1110" s="19" t="n">
        <f aca="false">IF(OR($B1110="",$A1110=""),0,IF(COUNTIFS($A$5:$A1110,$A1110,$B$5:$B1110,$B1110)=1,1,0))</f>
        <v>0</v>
      </c>
    </row>
    <row r="1111" customFormat="false" ht="15" hidden="false" customHeight="false" outlineLevel="0" collapsed="false">
      <c r="A1111" s="17"/>
      <c r="B1111" s="13"/>
      <c r="C1111" s="20" t="str">
        <f aca="false">IF($B1111="","",IFERROR(INDEX(고객사!$B$5:$B$104,MATCH($B1111,고객사!$A$5:$A$104,0)),"코드 확인"))</f>
        <v/>
      </c>
      <c r="D1111" s="15"/>
      <c r="E1111" s="15"/>
      <c r="F1111" s="16"/>
      <c r="G1111" s="16"/>
      <c r="H1111" s="21" t="str">
        <f aca="false">IF(OR($B1111="",F1111=0),"",G1111/F1111)</f>
        <v/>
      </c>
      <c r="I1111" s="22" t="str">
        <f aca="false">IF($B1111="","",MAX(F1111-G1111,0))</f>
        <v/>
      </c>
      <c r="J1111" s="23" t="str">
        <f aca="false">IF($B1111="","",IFERROR(INDEX(고객사!$G$5:$G$104,MATCH($B1111,고객사!$A$5:$A$104,0)),""))</f>
        <v/>
      </c>
      <c r="K1111" s="16"/>
      <c r="L1111" s="22" t="str">
        <f aca="false">IF($B1111="","",K1111*IFERROR(INDEX(고객사!$L$5:$L$104,MATCH($B1111,고객사!$A$5:$A$104,0)),0))</f>
        <v/>
      </c>
      <c r="M1111" s="23" t="str">
        <f aca="false">IF($B1111="","",IF(AND(J1111="N",G1111&gt;0,K1111=0,IFERROR(INDEX(고객사!$H$5:$H$104,MATCH($B1111,고객사!$A$5:$A$104,0)),"")="자사 차량 운행"),"차량 미배정",""))</f>
        <v/>
      </c>
      <c r="N1111" s="22" t="str">
        <f aca="false">IF($B1111="","",IFERROR(INDEX(고객사!$J$5:$J$104,MATCH($B1111,고객사!$A$5:$A$104,0)),0))</f>
        <v/>
      </c>
      <c r="O1111" s="22" t="str">
        <f aca="false">IF($B1111="","",G1111*N1111)</f>
        <v/>
      </c>
      <c r="P1111" s="22" t="str">
        <f aca="false">IF($B1111="","",IFERROR(INDEX(고객사!$K$5:$K$104,MATCH($B1111,고객사!$A$5:$A$104,0)),0))</f>
        <v/>
      </c>
      <c r="Q1111" s="22" t="str">
        <f aca="false">IF($B1111="","",G1111*P1111)</f>
        <v/>
      </c>
      <c r="R1111" s="22" t="str">
        <f aca="false">IF($B1111="","",O1111-Q1111-L1111)</f>
        <v/>
      </c>
      <c r="S1111" s="21" t="str">
        <f aca="false">IF(OR($B1111="",N(O1111)=0),"",R1111/O1111)</f>
        <v/>
      </c>
      <c r="T1111" s="14"/>
      <c r="U1111" s="19" t="n">
        <f aca="false">IF(OR($B1111="",$A1111=""),0,IF(COUNTIFS($A$5:$A1111,$A1111,$B$5:$B1111,$B1111)=1,1,0))</f>
        <v>0</v>
      </c>
    </row>
    <row r="1112" customFormat="false" ht="15" hidden="false" customHeight="false" outlineLevel="0" collapsed="false">
      <c r="A1112" s="17"/>
      <c r="B1112" s="13"/>
      <c r="C1112" s="20" t="str">
        <f aca="false">IF($B1112="","",IFERROR(INDEX(고객사!$B$5:$B$104,MATCH($B1112,고객사!$A$5:$A$104,0)),"코드 확인"))</f>
        <v/>
      </c>
      <c r="D1112" s="15"/>
      <c r="E1112" s="15"/>
      <c r="F1112" s="16"/>
      <c r="G1112" s="16"/>
      <c r="H1112" s="21" t="str">
        <f aca="false">IF(OR($B1112="",F1112=0),"",G1112/F1112)</f>
        <v/>
      </c>
      <c r="I1112" s="22" t="str">
        <f aca="false">IF($B1112="","",MAX(F1112-G1112,0))</f>
        <v/>
      </c>
      <c r="J1112" s="23" t="str">
        <f aca="false">IF($B1112="","",IFERROR(INDEX(고객사!$G$5:$G$104,MATCH($B1112,고객사!$A$5:$A$104,0)),""))</f>
        <v/>
      </c>
      <c r="K1112" s="16"/>
      <c r="L1112" s="22" t="str">
        <f aca="false">IF($B1112="","",K1112*IFERROR(INDEX(고객사!$L$5:$L$104,MATCH($B1112,고객사!$A$5:$A$104,0)),0))</f>
        <v/>
      </c>
      <c r="M1112" s="23" t="str">
        <f aca="false">IF($B1112="","",IF(AND(J1112="N",G1112&gt;0,K1112=0,IFERROR(INDEX(고객사!$H$5:$H$104,MATCH($B1112,고객사!$A$5:$A$104,0)),"")="자사 차량 운행"),"차량 미배정",""))</f>
        <v/>
      </c>
      <c r="N1112" s="22" t="str">
        <f aca="false">IF($B1112="","",IFERROR(INDEX(고객사!$J$5:$J$104,MATCH($B1112,고객사!$A$5:$A$104,0)),0))</f>
        <v/>
      </c>
      <c r="O1112" s="22" t="str">
        <f aca="false">IF($B1112="","",G1112*N1112)</f>
        <v/>
      </c>
      <c r="P1112" s="22" t="str">
        <f aca="false">IF($B1112="","",IFERROR(INDEX(고객사!$K$5:$K$104,MATCH($B1112,고객사!$A$5:$A$104,0)),0))</f>
        <v/>
      </c>
      <c r="Q1112" s="22" t="str">
        <f aca="false">IF($B1112="","",G1112*P1112)</f>
        <v/>
      </c>
      <c r="R1112" s="22" t="str">
        <f aca="false">IF($B1112="","",O1112-Q1112-L1112)</f>
        <v/>
      </c>
      <c r="S1112" s="21" t="str">
        <f aca="false">IF(OR($B1112="",N(O1112)=0),"",R1112/O1112)</f>
        <v/>
      </c>
      <c r="T1112" s="14"/>
      <c r="U1112" s="19" t="n">
        <f aca="false">IF(OR($B1112="",$A1112=""),0,IF(COUNTIFS($A$5:$A1112,$A1112,$B$5:$B1112,$B1112)=1,1,0))</f>
        <v>0</v>
      </c>
    </row>
    <row r="1113" customFormat="false" ht="15" hidden="false" customHeight="false" outlineLevel="0" collapsed="false">
      <c r="A1113" s="17"/>
      <c r="B1113" s="13"/>
      <c r="C1113" s="20" t="str">
        <f aca="false">IF($B1113="","",IFERROR(INDEX(고객사!$B$5:$B$104,MATCH($B1113,고객사!$A$5:$A$104,0)),"코드 확인"))</f>
        <v/>
      </c>
      <c r="D1113" s="15"/>
      <c r="E1113" s="15"/>
      <c r="F1113" s="16"/>
      <c r="G1113" s="16"/>
      <c r="H1113" s="21" t="str">
        <f aca="false">IF(OR($B1113="",F1113=0),"",G1113/F1113)</f>
        <v/>
      </c>
      <c r="I1113" s="22" t="str">
        <f aca="false">IF($B1113="","",MAX(F1113-G1113,0))</f>
        <v/>
      </c>
      <c r="J1113" s="23" t="str">
        <f aca="false">IF($B1113="","",IFERROR(INDEX(고객사!$G$5:$G$104,MATCH($B1113,고객사!$A$5:$A$104,0)),""))</f>
        <v/>
      </c>
      <c r="K1113" s="16"/>
      <c r="L1113" s="22" t="str">
        <f aca="false">IF($B1113="","",K1113*IFERROR(INDEX(고객사!$L$5:$L$104,MATCH($B1113,고객사!$A$5:$A$104,0)),0))</f>
        <v/>
      </c>
      <c r="M1113" s="23" t="str">
        <f aca="false">IF($B1113="","",IF(AND(J1113="N",G1113&gt;0,K1113=0,IFERROR(INDEX(고객사!$H$5:$H$104,MATCH($B1113,고객사!$A$5:$A$104,0)),"")="자사 차량 운행"),"차량 미배정",""))</f>
        <v/>
      </c>
      <c r="N1113" s="22" t="str">
        <f aca="false">IF($B1113="","",IFERROR(INDEX(고객사!$J$5:$J$104,MATCH($B1113,고객사!$A$5:$A$104,0)),0))</f>
        <v/>
      </c>
      <c r="O1113" s="22" t="str">
        <f aca="false">IF($B1113="","",G1113*N1113)</f>
        <v/>
      </c>
      <c r="P1113" s="22" t="str">
        <f aca="false">IF($B1113="","",IFERROR(INDEX(고객사!$K$5:$K$104,MATCH($B1113,고객사!$A$5:$A$104,0)),0))</f>
        <v/>
      </c>
      <c r="Q1113" s="22" t="str">
        <f aca="false">IF($B1113="","",G1113*P1113)</f>
        <v/>
      </c>
      <c r="R1113" s="22" t="str">
        <f aca="false">IF($B1113="","",O1113-Q1113-L1113)</f>
        <v/>
      </c>
      <c r="S1113" s="21" t="str">
        <f aca="false">IF(OR($B1113="",N(O1113)=0),"",R1113/O1113)</f>
        <v/>
      </c>
      <c r="T1113" s="14"/>
      <c r="U1113" s="19" t="n">
        <f aca="false">IF(OR($B1113="",$A1113=""),0,IF(COUNTIFS($A$5:$A1113,$A1113,$B$5:$B1113,$B1113)=1,1,0))</f>
        <v>0</v>
      </c>
    </row>
    <row r="1114" customFormat="false" ht="15" hidden="false" customHeight="false" outlineLevel="0" collapsed="false">
      <c r="A1114" s="17"/>
      <c r="B1114" s="13"/>
      <c r="C1114" s="20" t="str">
        <f aca="false">IF($B1114="","",IFERROR(INDEX(고객사!$B$5:$B$104,MATCH($B1114,고객사!$A$5:$A$104,0)),"코드 확인"))</f>
        <v/>
      </c>
      <c r="D1114" s="15"/>
      <c r="E1114" s="15"/>
      <c r="F1114" s="16"/>
      <c r="G1114" s="16"/>
      <c r="H1114" s="21" t="str">
        <f aca="false">IF(OR($B1114="",F1114=0),"",G1114/F1114)</f>
        <v/>
      </c>
      <c r="I1114" s="22" t="str">
        <f aca="false">IF($B1114="","",MAX(F1114-G1114,0))</f>
        <v/>
      </c>
      <c r="J1114" s="23" t="str">
        <f aca="false">IF($B1114="","",IFERROR(INDEX(고객사!$G$5:$G$104,MATCH($B1114,고객사!$A$5:$A$104,0)),""))</f>
        <v/>
      </c>
      <c r="K1114" s="16"/>
      <c r="L1114" s="22" t="str">
        <f aca="false">IF($B1114="","",K1114*IFERROR(INDEX(고객사!$L$5:$L$104,MATCH($B1114,고객사!$A$5:$A$104,0)),0))</f>
        <v/>
      </c>
      <c r="M1114" s="23" t="str">
        <f aca="false">IF($B1114="","",IF(AND(J1114="N",G1114&gt;0,K1114=0,IFERROR(INDEX(고객사!$H$5:$H$104,MATCH($B1114,고객사!$A$5:$A$104,0)),"")="자사 차량 운행"),"차량 미배정",""))</f>
        <v/>
      </c>
      <c r="N1114" s="22" t="str">
        <f aca="false">IF($B1114="","",IFERROR(INDEX(고객사!$J$5:$J$104,MATCH($B1114,고객사!$A$5:$A$104,0)),0))</f>
        <v/>
      </c>
      <c r="O1114" s="22" t="str">
        <f aca="false">IF($B1114="","",G1114*N1114)</f>
        <v/>
      </c>
      <c r="P1114" s="22" t="str">
        <f aca="false">IF($B1114="","",IFERROR(INDEX(고객사!$K$5:$K$104,MATCH($B1114,고객사!$A$5:$A$104,0)),0))</f>
        <v/>
      </c>
      <c r="Q1114" s="22" t="str">
        <f aca="false">IF($B1114="","",G1114*P1114)</f>
        <v/>
      </c>
      <c r="R1114" s="22" t="str">
        <f aca="false">IF($B1114="","",O1114-Q1114-L1114)</f>
        <v/>
      </c>
      <c r="S1114" s="21" t="str">
        <f aca="false">IF(OR($B1114="",N(O1114)=0),"",R1114/O1114)</f>
        <v/>
      </c>
      <c r="T1114" s="14"/>
      <c r="U1114" s="19" t="n">
        <f aca="false">IF(OR($B1114="",$A1114=""),0,IF(COUNTIFS($A$5:$A1114,$A1114,$B$5:$B1114,$B1114)=1,1,0))</f>
        <v>0</v>
      </c>
    </row>
    <row r="1115" customFormat="false" ht="15" hidden="false" customHeight="false" outlineLevel="0" collapsed="false">
      <c r="A1115" s="17"/>
      <c r="B1115" s="13"/>
      <c r="C1115" s="20" t="str">
        <f aca="false">IF($B1115="","",IFERROR(INDEX(고객사!$B$5:$B$104,MATCH($B1115,고객사!$A$5:$A$104,0)),"코드 확인"))</f>
        <v/>
      </c>
      <c r="D1115" s="15"/>
      <c r="E1115" s="15"/>
      <c r="F1115" s="16"/>
      <c r="G1115" s="16"/>
      <c r="H1115" s="21" t="str">
        <f aca="false">IF(OR($B1115="",F1115=0),"",G1115/F1115)</f>
        <v/>
      </c>
      <c r="I1115" s="22" t="str">
        <f aca="false">IF($B1115="","",MAX(F1115-G1115,0))</f>
        <v/>
      </c>
      <c r="J1115" s="23" t="str">
        <f aca="false">IF($B1115="","",IFERROR(INDEX(고객사!$G$5:$G$104,MATCH($B1115,고객사!$A$5:$A$104,0)),""))</f>
        <v/>
      </c>
      <c r="K1115" s="16"/>
      <c r="L1115" s="22" t="str">
        <f aca="false">IF($B1115="","",K1115*IFERROR(INDEX(고객사!$L$5:$L$104,MATCH($B1115,고객사!$A$5:$A$104,0)),0))</f>
        <v/>
      </c>
      <c r="M1115" s="23" t="str">
        <f aca="false">IF($B1115="","",IF(AND(J1115="N",G1115&gt;0,K1115=0,IFERROR(INDEX(고객사!$H$5:$H$104,MATCH($B1115,고객사!$A$5:$A$104,0)),"")="자사 차량 운행"),"차량 미배정",""))</f>
        <v/>
      </c>
      <c r="N1115" s="22" t="str">
        <f aca="false">IF($B1115="","",IFERROR(INDEX(고객사!$J$5:$J$104,MATCH($B1115,고객사!$A$5:$A$104,0)),0))</f>
        <v/>
      </c>
      <c r="O1115" s="22" t="str">
        <f aca="false">IF($B1115="","",G1115*N1115)</f>
        <v/>
      </c>
      <c r="P1115" s="22" t="str">
        <f aca="false">IF($B1115="","",IFERROR(INDEX(고객사!$K$5:$K$104,MATCH($B1115,고객사!$A$5:$A$104,0)),0))</f>
        <v/>
      </c>
      <c r="Q1115" s="22" t="str">
        <f aca="false">IF($B1115="","",G1115*P1115)</f>
        <v/>
      </c>
      <c r="R1115" s="22" t="str">
        <f aca="false">IF($B1115="","",O1115-Q1115-L1115)</f>
        <v/>
      </c>
      <c r="S1115" s="21" t="str">
        <f aca="false">IF(OR($B1115="",N(O1115)=0),"",R1115/O1115)</f>
        <v/>
      </c>
      <c r="T1115" s="14"/>
      <c r="U1115" s="19" t="n">
        <f aca="false">IF(OR($B1115="",$A1115=""),0,IF(COUNTIFS($A$5:$A1115,$A1115,$B$5:$B1115,$B1115)=1,1,0))</f>
        <v>0</v>
      </c>
    </row>
    <row r="1116" customFormat="false" ht="15" hidden="false" customHeight="false" outlineLevel="0" collapsed="false">
      <c r="A1116" s="17"/>
      <c r="B1116" s="13"/>
      <c r="C1116" s="20" t="str">
        <f aca="false">IF($B1116="","",IFERROR(INDEX(고객사!$B$5:$B$104,MATCH($B1116,고객사!$A$5:$A$104,0)),"코드 확인"))</f>
        <v/>
      </c>
      <c r="D1116" s="15"/>
      <c r="E1116" s="15"/>
      <c r="F1116" s="16"/>
      <c r="G1116" s="16"/>
      <c r="H1116" s="21" t="str">
        <f aca="false">IF(OR($B1116="",F1116=0),"",G1116/F1116)</f>
        <v/>
      </c>
      <c r="I1116" s="22" t="str">
        <f aca="false">IF($B1116="","",MAX(F1116-G1116,0))</f>
        <v/>
      </c>
      <c r="J1116" s="23" t="str">
        <f aca="false">IF($B1116="","",IFERROR(INDEX(고객사!$G$5:$G$104,MATCH($B1116,고객사!$A$5:$A$104,0)),""))</f>
        <v/>
      </c>
      <c r="K1116" s="16"/>
      <c r="L1116" s="22" t="str">
        <f aca="false">IF($B1116="","",K1116*IFERROR(INDEX(고객사!$L$5:$L$104,MATCH($B1116,고객사!$A$5:$A$104,0)),0))</f>
        <v/>
      </c>
      <c r="M1116" s="23" t="str">
        <f aca="false">IF($B1116="","",IF(AND(J1116="N",G1116&gt;0,K1116=0,IFERROR(INDEX(고객사!$H$5:$H$104,MATCH($B1116,고객사!$A$5:$A$104,0)),"")="자사 차량 운행"),"차량 미배정",""))</f>
        <v/>
      </c>
      <c r="N1116" s="22" t="str">
        <f aca="false">IF($B1116="","",IFERROR(INDEX(고객사!$J$5:$J$104,MATCH($B1116,고객사!$A$5:$A$104,0)),0))</f>
        <v/>
      </c>
      <c r="O1116" s="22" t="str">
        <f aca="false">IF($B1116="","",G1116*N1116)</f>
        <v/>
      </c>
      <c r="P1116" s="22" t="str">
        <f aca="false">IF($B1116="","",IFERROR(INDEX(고객사!$K$5:$K$104,MATCH($B1116,고객사!$A$5:$A$104,0)),0))</f>
        <v/>
      </c>
      <c r="Q1116" s="22" t="str">
        <f aca="false">IF($B1116="","",G1116*P1116)</f>
        <v/>
      </c>
      <c r="R1116" s="22" t="str">
        <f aca="false">IF($B1116="","",O1116-Q1116-L1116)</f>
        <v/>
      </c>
      <c r="S1116" s="21" t="str">
        <f aca="false">IF(OR($B1116="",N(O1116)=0),"",R1116/O1116)</f>
        <v/>
      </c>
      <c r="T1116" s="14"/>
      <c r="U1116" s="19" t="n">
        <f aca="false">IF(OR($B1116="",$A1116=""),0,IF(COUNTIFS($A$5:$A1116,$A1116,$B$5:$B1116,$B1116)=1,1,0))</f>
        <v>0</v>
      </c>
    </row>
    <row r="1117" customFormat="false" ht="15" hidden="false" customHeight="false" outlineLevel="0" collapsed="false">
      <c r="A1117" s="17"/>
      <c r="B1117" s="13"/>
      <c r="C1117" s="20" t="str">
        <f aca="false">IF($B1117="","",IFERROR(INDEX(고객사!$B$5:$B$104,MATCH($B1117,고객사!$A$5:$A$104,0)),"코드 확인"))</f>
        <v/>
      </c>
      <c r="D1117" s="15"/>
      <c r="E1117" s="15"/>
      <c r="F1117" s="16"/>
      <c r="G1117" s="16"/>
      <c r="H1117" s="21" t="str">
        <f aca="false">IF(OR($B1117="",F1117=0),"",G1117/F1117)</f>
        <v/>
      </c>
      <c r="I1117" s="22" t="str">
        <f aca="false">IF($B1117="","",MAX(F1117-G1117,0))</f>
        <v/>
      </c>
      <c r="J1117" s="23" t="str">
        <f aca="false">IF($B1117="","",IFERROR(INDEX(고객사!$G$5:$G$104,MATCH($B1117,고객사!$A$5:$A$104,0)),""))</f>
        <v/>
      </c>
      <c r="K1117" s="16"/>
      <c r="L1117" s="22" t="str">
        <f aca="false">IF($B1117="","",K1117*IFERROR(INDEX(고객사!$L$5:$L$104,MATCH($B1117,고객사!$A$5:$A$104,0)),0))</f>
        <v/>
      </c>
      <c r="M1117" s="23" t="str">
        <f aca="false">IF($B1117="","",IF(AND(J1117="N",G1117&gt;0,K1117=0,IFERROR(INDEX(고객사!$H$5:$H$104,MATCH($B1117,고객사!$A$5:$A$104,0)),"")="자사 차량 운행"),"차량 미배정",""))</f>
        <v/>
      </c>
      <c r="N1117" s="22" t="str">
        <f aca="false">IF($B1117="","",IFERROR(INDEX(고객사!$J$5:$J$104,MATCH($B1117,고객사!$A$5:$A$104,0)),0))</f>
        <v/>
      </c>
      <c r="O1117" s="22" t="str">
        <f aca="false">IF($B1117="","",G1117*N1117)</f>
        <v/>
      </c>
      <c r="P1117" s="22" t="str">
        <f aca="false">IF($B1117="","",IFERROR(INDEX(고객사!$K$5:$K$104,MATCH($B1117,고객사!$A$5:$A$104,0)),0))</f>
        <v/>
      </c>
      <c r="Q1117" s="22" t="str">
        <f aca="false">IF($B1117="","",G1117*P1117)</f>
        <v/>
      </c>
      <c r="R1117" s="22" t="str">
        <f aca="false">IF($B1117="","",O1117-Q1117-L1117)</f>
        <v/>
      </c>
      <c r="S1117" s="21" t="str">
        <f aca="false">IF(OR($B1117="",N(O1117)=0),"",R1117/O1117)</f>
        <v/>
      </c>
      <c r="T1117" s="14"/>
      <c r="U1117" s="19" t="n">
        <f aca="false">IF(OR($B1117="",$A1117=""),0,IF(COUNTIFS($A$5:$A1117,$A1117,$B$5:$B1117,$B1117)=1,1,0))</f>
        <v>0</v>
      </c>
    </row>
    <row r="1118" customFormat="false" ht="15" hidden="false" customHeight="false" outlineLevel="0" collapsed="false">
      <c r="A1118" s="17"/>
      <c r="B1118" s="13"/>
      <c r="C1118" s="20" t="str">
        <f aca="false">IF($B1118="","",IFERROR(INDEX(고객사!$B$5:$B$104,MATCH($B1118,고객사!$A$5:$A$104,0)),"코드 확인"))</f>
        <v/>
      </c>
      <c r="D1118" s="15"/>
      <c r="E1118" s="15"/>
      <c r="F1118" s="16"/>
      <c r="G1118" s="16"/>
      <c r="H1118" s="21" t="str">
        <f aca="false">IF(OR($B1118="",F1118=0),"",G1118/F1118)</f>
        <v/>
      </c>
      <c r="I1118" s="22" t="str">
        <f aca="false">IF($B1118="","",MAX(F1118-G1118,0))</f>
        <v/>
      </c>
      <c r="J1118" s="23" t="str">
        <f aca="false">IF($B1118="","",IFERROR(INDEX(고객사!$G$5:$G$104,MATCH($B1118,고객사!$A$5:$A$104,0)),""))</f>
        <v/>
      </c>
      <c r="K1118" s="16"/>
      <c r="L1118" s="22" t="str">
        <f aca="false">IF($B1118="","",K1118*IFERROR(INDEX(고객사!$L$5:$L$104,MATCH($B1118,고객사!$A$5:$A$104,0)),0))</f>
        <v/>
      </c>
      <c r="M1118" s="23" t="str">
        <f aca="false">IF($B1118="","",IF(AND(J1118="N",G1118&gt;0,K1118=0,IFERROR(INDEX(고객사!$H$5:$H$104,MATCH($B1118,고객사!$A$5:$A$104,0)),"")="자사 차량 운행"),"차량 미배정",""))</f>
        <v/>
      </c>
      <c r="N1118" s="22" t="str">
        <f aca="false">IF($B1118="","",IFERROR(INDEX(고객사!$J$5:$J$104,MATCH($B1118,고객사!$A$5:$A$104,0)),0))</f>
        <v/>
      </c>
      <c r="O1118" s="22" t="str">
        <f aca="false">IF($B1118="","",G1118*N1118)</f>
        <v/>
      </c>
      <c r="P1118" s="22" t="str">
        <f aca="false">IF($B1118="","",IFERROR(INDEX(고객사!$K$5:$K$104,MATCH($B1118,고객사!$A$5:$A$104,0)),0))</f>
        <v/>
      </c>
      <c r="Q1118" s="22" t="str">
        <f aca="false">IF($B1118="","",G1118*P1118)</f>
        <v/>
      </c>
      <c r="R1118" s="22" t="str">
        <f aca="false">IF($B1118="","",O1118-Q1118-L1118)</f>
        <v/>
      </c>
      <c r="S1118" s="21" t="str">
        <f aca="false">IF(OR($B1118="",N(O1118)=0),"",R1118/O1118)</f>
        <v/>
      </c>
      <c r="T1118" s="14"/>
      <c r="U1118" s="19" t="n">
        <f aca="false">IF(OR($B1118="",$A1118=""),0,IF(COUNTIFS($A$5:$A1118,$A1118,$B$5:$B1118,$B1118)=1,1,0))</f>
        <v>0</v>
      </c>
    </row>
    <row r="1119" customFormat="false" ht="15" hidden="false" customHeight="false" outlineLevel="0" collapsed="false">
      <c r="A1119" s="17"/>
      <c r="B1119" s="13"/>
      <c r="C1119" s="20" t="str">
        <f aca="false">IF($B1119="","",IFERROR(INDEX(고객사!$B$5:$B$104,MATCH($B1119,고객사!$A$5:$A$104,0)),"코드 확인"))</f>
        <v/>
      </c>
      <c r="D1119" s="15"/>
      <c r="E1119" s="15"/>
      <c r="F1119" s="16"/>
      <c r="G1119" s="16"/>
      <c r="H1119" s="21" t="str">
        <f aca="false">IF(OR($B1119="",F1119=0),"",G1119/F1119)</f>
        <v/>
      </c>
      <c r="I1119" s="22" t="str">
        <f aca="false">IF($B1119="","",MAX(F1119-G1119,0))</f>
        <v/>
      </c>
      <c r="J1119" s="23" t="str">
        <f aca="false">IF($B1119="","",IFERROR(INDEX(고객사!$G$5:$G$104,MATCH($B1119,고객사!$A$5:$A$104,0)),""))</f>
        <v/>
      </c>
      <c r="K1119" s="16"/>
      <c r="L1119" s="22" t="str">
        <f aca="false">IF($B1119="","",K1119*IFERROR(INDEX(고객사!$L$5:$L$104,MATCH($B1119,고객사!$A$5:$A$104,0)),0))</f>
        <v/>
      </c>
      <c r="M1119" s="23" t="str">
        <f aca="false">IF($B1119="","",IF(AND(J1119="N",G1119&gt;0,K1119=0,IFERROR(INDEX(고객사!$H$5:$H$104,MATCH($B1119,고객사!$A$5:$A$104,0)),"")="자사 차량 운행"),"차량 미배정",""))</f>
        <v/>
      </c>
      <c r="N1119" s="22" t="str">
        <f aca="false">IF($B1119="","",IFERROR(INDEX(고객사!$J$5:$J$104,MATCH($B1119,고객사!$A$5:$A$104,0)),0))</f>
        <v/>
      </c>
      <c r="O1119" s="22" t="str">
        <f aca="false">IF($B1119="","",G1119*N1119)</f>
        <v/>
      </c>
      <c r="P1119" s="22" t="str">
        <f aca="false">IF($B1119="","",IFERROR(INDEX(고객사!$K$5:$K$104,MATCH($B1119,고객사!$A$5:$A$104,0)),0))</f>
        <v/>
      </c>
      <c r="Q1119" s="22" t="str">
        <f aca="false">IF($B1119="","",G1119*P1119)</f>
        <v/>
      </c>
      <c r="R1119" s="22" t="str">
        <f aca="false">IF($B1119="","",O1119-Q1119-L1119)</f>
        <v/>
      </c>
      <c r="S1119" s="21" t="str">
        <f aca="false">IF(OR($B1119="",N(O1119)=0),"",R1119/O1119)</f>
        <v/>
      </c>
      <c r="T1119" s="14"/>
      <c r="U1119" s="19" t="n">
        <f aca="false">IF(OR($B1119="",$A1119=""),0,IF(COUNTIFS($A$5:$A1119,$A1119,$B$5:$B1119,$B1119)=1,1,0))</f>
        <v>0</v>
      </c>
    </row>
    <row r="1120" customFormat="false" ht="15" hidden="false" customHeight="false" outlineLevel="0" collapsed="false">
      <c r="A1120" s="17"/>
      <c r="B1120" s="13"/>
      <c r="C1120" s="20" t="str">
        <f aca="false">IF($B1120="","",IFERROR(INDEX(고객사!$B$5:$B$104,MATCH($B1120,고객사!$A$5:$A$104,0)),"코드 확인"))</f>
        <v/>
      </c>
      <c r="D1120" s="15"/>
      <c r="E1120" s="15"/>
      <c r="F1120" s="16"/>
      <c r="G1120" s="16"/>
      <c r="H1120" s="21" t="str">
        <f aca="false">IF(OR($B1120="",F1120=0),"",G1120/F1120)</f>
        <v/>
      </c>
      <c r="I1120" s="22" t="str">
        <f aca="false">IF($B1120="","",MAX(F1120-G1120,0))</f>
        <v/>
      </c>
      <c r="J1120" s="23" t="str">
        <f aca="false">IF($B1120="","",IFERROR(INDEX(고객사!$G$5:$G$104,MATCH($B1120,고객사!$A$5:$A$104,0)),""))</f>
        <v/>
      </c>
      <c r="K1120" s="16"/>
      <c r="L1120" s="22" t="str">
        <f aca="false">IF($B1120="","",K1120*IFERROR(INDEX(고객사!$L$5:$L$104,MATCH($B1120,고객사!$A$5:$A$104,0)),0))</f>
        <v/>
      </c>
      <c r="M1120" s="23" t="str">
        <f aca="false">IF($B1120="","",IF(AND(J1120="N",G1120&gt;0,K1120=0,IFERROR(INDEX(고객사!$H$5:$H$104,MATCH($B1120,고객사!$A$5:$A$104,0)),"")="자사 차량 운행"),"차량 미배정",""))</f>
        <v/>
      </c>
      <c r="N1120" s="22" t="str">
        <f aca="false">IF($B1120="","",IFERROR(INDEX(고객사!$J$5:$J$104,MATCH($B1120,고객사!$A$5:$A$104,0)),0))</f>
        <v/>
      </c>
      <c r="O1120" s="22" t="str">
        <f aca="false">IF($B1120="","",G1120*N1120)</f>
        <v/>
      </c>
      <c r="P1120" s="22" t="str">
        <f aca="false">IF($B1120="","",IFERROR(INDEX(고객사!$K$5:$K$104,MATCH($B1120,고객사!$A$5:$A$104,0)),0))</f>
        <v/>
      </c>
      <c r="Q1120" s="22" t="str">
        <f aca="false">IF($B1120="","",G1120*P1120)</f>
        <v/>
      </c>
      <c r="R1120" s="22" t="str">
        <f aca="false">IF($B1120="","",O1120-Q1120-L1120)</f>
        <v/>
      </c>
      <c r="S1120" s="21" t="str">
        <f aca="false">IF(OR($B1120="",N(O1120)=0),"",R1120/O1120)</f>
        <v/>
      </c>
      <c r="T1120" s="14"/>
      <c r="U1120" s="19" t="n">
        <f aca="false">IF(OR($B1120="",$A1120=""),0,IF(COUNTIFS($A$5:$A1120,$A1120,$B$5:$B1120,$B1120)=1,1,0))</f>
        <v>0</v>
      </c>
    </row>
    <row r="1121" customFormat="false" ht="15" hidden="false" customHeight="false" outlineLevel="0" collapsed="false">
      <c r="A1121" s="17"/>
      <c r="B1121" s="13"/>
      <c r="C1121" s="20" t="str">
        <f aca="false">IF($B1121="","",IFERROR(INDEX(고객사!$B$5:$B$104,MATCH($B1121,고객사!$A$5:$A$104,0)),"코드 확인"))</f>
        <v/>
      </c>
      <c r="D1121" s="15"/>
      <c r="E1121" s="15"/>
      <c r="F1121" s="16"/>
      <c r="G1121" s="16"/>
      <c r="H1121" s="21" t="str">
        <f aca="false">IF(OR($B1121="",F1121=0),"",G1121/F1121)</f>
        <v/>
      </c>
      <c r="I1121" s="22" t="str">
        <f aca="false">IF($B1121="","",MAX(F1121-G1121,0))</f>
        <v/>
      </c>
      <c r="J1121" s="23" t="str">
        <f aca="false">IF($B1121="","",IFERROR(INDEX(고객사!$G$5:$G$104,MATCH($B1121,고객사!$A$5:$A$104,0)),""))</f>
        <v/>
      </c>
      <c r="K1121" s="16"/>
      <c r="L1121" s="22" t="str">
        <f aca="false">IF($B1121="","",K1121*IFERROR(INDEX(고객사!$L$5:$L$104,MATCH($B1121,고객사!$A$5:$A$104,0)),0))</f>
        <v/>
      </c>
      <c r="M1121" s="23" t="str">
        <f aca="false">IF($B1121="","",IF(AND(J1121="N",G1121&gt;0,K1121=0,IFERROR(INDEX(고객사!$H$5:$H$104,MATCH($B1121,고객사!$A$5:$A$104,0)),"")="자사 차량 운행"),"차량 미배정",""))</f>
        <v/>
      </c>
      <c r="N1121" s="22" t="str">
        <f aca="false">IF($B1121="","",IFERROR(INDEX(고객사!$J$5:$J$104,MATCH($B1121,고객사!$A$5:$A$104,0)),0))</f>
        <v/>
      </c>
      <c r="O1121" s="22" t="str">
        <f aca="false">IF($B1121="","",G1121*N1121)</f>
        <v/>
      </c>
      <c r="P1121" s="22" t="str">
        <f aca="false">IF($B1121="","",IFERROR(INDEX(고객사!$K$5:$K$104,MATCH($B1121,고객사!$A$5:$A$104,0)),0))</f>
        <v/>
      </c>
      <c r="Q1121" s="22" t="str">
        <f aca="false">IF($B1121="","",G1121*P1121)</f>
        <v/>
      </c>
      <c r="R1121" s="22" t="str">
        <f aca="false">IF($B1121="","",O1121-Q1121-L1121)</f>
        <v/>
      </c>
      <c r="S1121" s="21" t="str">
        <f aca="false">IF(OR($B1121="",N(O1121)=0),"",R1121/O1121)</f>
        <v/>
      </c>
      <c r="T1121" s="14"/>
      <c r="U1121" s="19" t="n">
        <f aca="false">IF(OR($B1121="",$A1121=""),0,IF(COUNTIFS($A$5:$A1121,$A1121,$B$5:$B1121,$B1121)=1,1,0))</f>
        <v>0</v>
      </c>
    </row>
    <row r="1122" customFormat="false" ht="15" hidden="false" customHeight="false" outlineLevel="0" collapsed="false">
      <c r="A1122" s="17"/>
      <c r="B1122" s="13"/>
      <c r="C1122" s="20" t="str">
        <f aca="false">IF($B1122="","",IFERROR(INDEX(고객사!$B$5:$B$104,MATCH($B1122,고객사!$A$5:$A$104,0)),"코드 확인"))</f>
        <v/>
      </c>
      <c r="D1122" s="15"/>
      <c r="E1122" s="15"/>
      <c r="F1122" s="16"/>
      <c r="G1122" s="16"/>
      <c r="H1122" s="21" t="str">
        <f aca="false">IF(OR($B1122="",F1122=0),"",G1122/F1122)</f>
        <v/>
      </c>
      <c r="I1122" s="22" t="str">
        <f aca="false">IF($B1122="","",MAX(F1122-G1122,0))</f>
        <v/>
      </c>
      <c r="J1122" s="23" t="str">
        <f aca="false">IF($B1122="","",IFERROR(INDEX(고객사!$G$5:$G$104,MATCH($B1122,고객사!$A$5:$A$104,0)),""))</f>
        <v/>
      </c>
      <c r="K1122" s="16"/>
      <c r="L1122" s="22" t="str">
        <f aca="false">IF($B1122="","",K1122*IFERROR(INDEX(고객사!$L$5:$L$104,MATCH($B1122,고객사!$A$5:$A$104,0)),0))</f>
        <v/>
      </c>
      <c r="M1122" s="23" t="str">
        <f aca="false">IF($B1122="","",IF(AND(J1122="N",G1122&gt;0,K1122=0,IFERROR(INDEX(고객사!$H$5:$H$104,MATCH($B1122,고객사!$A$5:$A$104,0)),"")="자사 차량 운행"),"차량 미배정",""))</f>
        <v/>
      </c>
      <c r="N1122" s="22" t="str">
        <f aca="false">IF($B1122="","",IFERROR(INDEX(고객사!$J$5:$J$104,MATCH($B1122,고객사!$A$5:$A$104,0)),0))</f>
        <v/>
      </c>
      <c r="O1122" s="22" t="str">
        <f aca="false">IF($B1122="","",G1122*N1122)</f>
        <v/>
      </c>
      <c r="P1122" s="22" t="str">
        <f aca="false">IF($B1122="","",IFERROR(INDEX(고객사!$K$5:$K$104,MATCH($B1122,고객사!$A$5:$A$104,0)),0))</f>
        <v/>
      </c>
      <c r="Q1122" s="22" t="str">
        <f aca="false">IF($B1122="","",G1122*P1122)</f>
        <v/>
      </c>
      <c r="R1122" s="22" t="str">
        <f aca="false">IF($B1122="","",O1122-Q1122-L1122)</f>
        <v/>
      </c>
      <c r="S1122" s="21" t="str">
        <f aca="false">IF(OR($B1122="",N(O1122)=0),"",R1122/O1122)</f>
        <v/>
      </c>
      <c r="T1122" s="14"/>
      <c r="U1122" s="19" t="n">
        <f aca="false">IF(OR($B1122="",$A1122=""),0,IF(COUNTIFS($A$5:$A1122,$A1122,$B$5:$B1122,$B1122)=1,1,0))</f>
        <v>0</v>
      </c>
    </row>
    <row r="1123" customFormat="false" ht="15" hidden="false" customHeight="false" outlineLevel="0" collapsed="false">
      <c r="A1123" s="17"/>
      <c r="B1123" s="13"/>
      <c r="C1123" s="20" t="str">
        <f aca="false">IF($B1123="","",IFERROR(INDEX(고객사!$B$5:$B$104,MATCH($B1123,고객사!$A$5:$A$104,0)),"코드 확인"))</f>
        <v/>
      </c>
      <c r="D1123" s="15"/>
      <c r="E1123" s="15"/>
      <c r="F1123" s="16"/>
      <c r="G1123" s="16"/>
      <c r="H1123" s="21" t="str">
        <f aca="false">IF(OR($B1123="",F1123=0),"",G1123/F1123)</f>
        <v/>
      </c>
      <c r="I1123" s="22" t="str">
        <f aca="false">IF($B1123="","",MAX(F1123-G1123,0))</f>
        <v/>
      </c>
      <c r="J1123" s="23" t="str">
        <f aca="false">IF($B1123="","",IFERROR(INDEX(고객사!$G$5:$G$104,MATCH($B1123,고객사!$A$5:$A$104,0)),""))</f>
        <v/>
      </c>
      <c r="K1123" s="16"/>
      <c r="L1123" s="22" t="str">
        <f aca="false">IF($B1123="","",K1123*IFERROR(INDEX(고객사!$L$5:$L$104,MATCH($B1123,고객사!$A$5:$A$104,0)),0))</f>
        <v/>
      </c>
      <c r="M1123" s="23" t="str">
        <f aca="false">IF($B1123="","",IF(AND(J1123="N",G1123&gt;0,K1123=0,IFERROR(INDEX(고객사!$H$5:$H$104,MATCH($B1123,고객사!$A$5:$A$104,0)),"")="자사 차량 운행"),"차량 미배정",""))</f>
        <v/>
      </c>
      <c r="N1123" s="22" t="str">
        <f aca="false">IF($B1123="","",IFERROR(INDEX(고객사!$J$5:$J$104,MATCH($B1123,고객사!$A$5:$A$104,0)),0))</f>
        <v/>
      </c>
      <c r="O1123" s="22" t="str">
        <f aca="false">IF($B1123="","",G1123*N1123)</f>
        <v/>
      </c>
      <c r="P1123" s="22" t="str">
        <f aca="false">IF($B1123="","",IFERROR(INDEX(고객사!$K$5:$K$104,MATCH($B1123,고객사!$A$5:$A$104,0)),0))</f>
        <v/>
      </c>
      <c r="Q1123" s="22" t="str">
        <f aca="false">IF($B1123="","",G1123*P1123)</f>
        <v/>
      </c>
      <c r="R1123" s="22" t="str">
        <f aca="false">IF($B1123="","",O1123-Q1123-L1123)</f>
        <v/>
      </c>
      <c r="S1123" s="21" t="str">
        <f aca="false">IF(OR($B1123="",N(O1123)=0),"",R1123/O1123)</f>
        <v/>
      </c>
      <c r="T1123" s="14"/>
      <c r="U1123" s="19" t="n">
        <f aca="false">IF(OR($B1123="",$A1123=""),0,IF(COUNTIFS($A$5:$A1123,$A1123,$B$5:$B1123,$B1123)=1,1,0))</f>
        <v>0</v>
      </c>
    </row>
    <row r="1124" customFormat="false" ht="15" hidden="false" customHeight="false" outlineLevel="0" collapsed="false">
      <c r="A1124" s="17"/>
      <c r="B1124" s="13"/>
      <c r="C1124" s="20" t="str">
        <f aca="false">IF($B1124="","",IFERROR(INDEX(고객사!$B$5:$B$104,MATCH($B1124,고객사!$A$5:$A$104,0)),"코드 확인"))</f>
        <v/>
      </c>
      <c r="D1124" s="15"/>
      <c r="E1124" s="15"/>
      <c r="F1124" s="16"/>
      <c r="G1124" s="16"/>
      <c r="H1124" s="21" t="str">
        <f aca="false">IF(OR($B1124="",F1124=0),"",G1124/F1124)</f>
        <v/>
      </c>
      <c r="I1124" s="22" t="str">
        <f aca="false">IF($B1124="","",MAX(F1124-G1124,0))</f>
        <v/>
      </c>
      <c r="J1124" s="23" t="str">
        <f aca="false">IF($B1124="","",IFERROR(INDEX(고객사!$G$5:$G$104,MATCH($B1124,고객사!$A$5:$A$104,0)),""))</f>
        <v/>
      </c>
      <c r="K1124" s="16"/>
      <c r="L1124" s="22" t="str">
        <f aca="false">IF($B1124="","",K1124*IFERROR(INDEX(고객사!$L$5:$L$104,MATCH($B1124,고객사!$A$5:$A$104,0)),0))</f>
        <v/>
      </c>
      <c r="M1124" s="23" t="str">
        <f aca="false">IF($B1124="","",IF(AND(J1124="N",G1124&gt;0,K1124=0,IFERROR(INDEX(고객사!$H$5:$H$104,MATCH($B1124,고객사!$A$5:$A$104,0)),"")="자사 차량 운행"),"차량 미배정",""))</f>
        <v/>
      </c>
      <c r="N1124" s="22" t="str">
        <f aca="false">IF($B1124="","",IFERROR(INDEX(고객사!$J$5:$J$104,MATCH($B1124,고객사!$A$5:$A$104,0)),0))</f>
        <v/>
      </c>
      <c r="O1124" s="22" t="str">
        <f aca="false">IF($B1124="","",G1124*N1124)</f>
        <v/>
      </c>
      <c r="P1124" s="22" t="str">
        <f aca="false">IF($B1124="","",IFERROR(INDEX(고객사!$K$5:$K$104,MATCH($B1124,고객사!$A$5:$A$104,0)),0))</f>
        <v/>
      </c>
      <c r="Q1124" s="22" t="str">
        <f aca="false">IF($B1124="","",G1124*P1124)</f>
        <v/>
      </c>
      <c r="R1124" s="22" t="str">
        <f aca="false">IF($B1124="","",O1124-Q1124-L1124)</f>
        <v/>
      </c>
      <c r="S1124" s="21" t="str">
        <f aca="false">IF(OR($B1124="",N(O1124)=0),"",R1124/O1124)</f>
        <v/>
      </c>
      <c r="T1124" s="14"/>
      <c r="U1124" s="19" t="n">
        <f aca="false">IF(OR($B1124="",$A1124=""),0,IF(COUNTIFS($A$5:$A1124,$A1124,$B$5:$B1124,$B1124)=1,1,0))</f>
        <v>0</v>
      </c>
    </row>
    <row r="1125" customFormat="false" ht="15" hidden="false" customHeight="false" outlineLevel="0" collapsed="false">
      <c r="A1125" s="17"/>
      <c r="B1125" s="13"/>
      <c r="C1125" s="20" t="str">
        <f aca="false">IF($B1125="","",IFERROR(INDEX(고객사!$B$5:$B$104,MATCH($B1125,고객사!$A$5:$A$104,0)),"코드 확인"))</f>
        <v/>
      </c>
      <c r="D1125" s="15"/>
      <c r="E1125" s="15"/>
      <c r="F1125" s="16"/>
      <c r="G1125" s="16"/>
      <c r="H1125" s="21" t="str">
        <f aca="false">IF(OR($B1125="",F1125=0),"",G1125/F1125)</f>
        <v/>
      </c>
      <c r="I1125" s="22" t="str">
        <f aca="false">IF($B1125="","",MAX(F1125-G1125,0))</f>
        <v/>
      </c>
      <c r="J1125" s="23" t="str">
        <f aca="false">IF($B1125="","",IFERROR(INDEX(고객사!$G$5:$G$104,MATCH($B1125,고객사!$A$5:$A$104,0)),""))</f>
        <v/>
      </c>
      <c r="K1125" s="16"/>
      <c r="L1125" s="22" t="str">
        <f aca="false">IF($B1125="","",K1125*IFERROR(INDEX(고객사!$L$5:$L$104,MATCH($B1125,고객사!$A$5:$A$104,0)),0))</f>
        <v/>
      </c>
      <c r="M1125" s="23" t="str">
        <f aca="false">IF($B1125="","",IF(AND(J1125="N",G1125&gt;0,K1125=0,IFERROR(INDEX(고객사!$H$5:$H$104,MATCH($B1125,고객사!$A$5:$A$104,0)),"")="자사 차량 운행"),"차량 미배정",""))</f>
        <v/>
      </c>
      <c r="N1125" s="22" t="str">
        <f aca="false">IF($B1125="","",IFERROR(INDEX(고객사!$J$5:$J$104,MATCH($B1125,고객사!$A$5:$A$104,0)),0))</f>
        <v/>
      </c>
      <c r="O1125" s="22" t="str">
        <f aca="false">IF($B1125="","",G1125*N1125)</f>
        <v/>
      </c>
      <c r="P1125" s="22" t="str">
        <f aca="false">IF($B1125="","",IFERROR(INDEX(고객사!$K$5:$K$104,MATCH($B1125,고객사!$A$5:$A$104,0)),0))</f>
        <v/>
      </c>
      <c r="Q1125" s="22" t="str">
        <f aca="false">IF($B1125="","",G1125*P1125)</f>
        <v/>
      </c>
      <c r="R1125" s="22" t="str">
        <f aca="false">IF($B1125="","",O1125-Q1125-L1125)</f>
        <v/>
      </c>
      <c r="S1125" s="21" t="str">
        <f aca="false">IF(OR($B1125="",N(O1125)=0),"",R1125/O1125)</f>
        <v/>
      </c>
      <c r="T1125" s="14"/>
      <c r="U1125" s="19" t="n">
        <f aca="false">IF(OR($B1125="",$A1125=""),0,IF(COUNTIFS($A$5:$A1125,$A1125,$B$5:$B1125,$B1125)=1,1,0))</f>
        <v>0</v>
      </c>
    </row>
    <row r="1126" customFormat="false" ht="15" hidden="false" customHeight="false" outlineLevel="0" collapsed="false">
      <c r="A1126" s="17"/>
      <c r="B1126" s="13"/>
      <c r="C1126" s="20" t="str">
        <f aca="false">IF($B1126="","",IFERROR(INDEX(고객사!$B$5:$B$104,MATCH($B1126,고객사!$A$5:$A$104,0)),"코드 확인"))</f>
        <v/>
      </c>
      <c r="D1126" s="15"/>
      <c r="E1126" s="15"/>
      <c r="F1126" s="16"/>
      <c r="G1126" s="16"/>
      <c r="H1126" s="21" t="str">
        <f aca="false">IF(OR($B1126="",F1126=0),"",G1126/F1126)</f>
        <v/>
      </c>
      <c r="I1126" s="22" t="str">
        <f aca="false">IF($B1126="","",MAX(F1126-G1126,0))</f>
        <v/>
      </c>
      <c r="J1126" s="23" t="str">
        <f aca="false">IF($B1126="","",IFERROR(INDEX(고객사!$G$5:$G$104,MATCH($B1126,고객사!$A$5:$A$104,0)),""))</f>
        <v/>
      </c>
      <c r="K1126" s="16"/>
      <c r="L1126" s="22" t="str">
        <f aca="false">IF($B1126="","",K1126*IFERROR(INDEX(고객사!$L$5:$L$104,MATCH($B1126,고객사!$A$5:$A$104,0)),0))</f>
        <v/>
      </c>
      <c r="M1126" s="23" t="str">
        <f aca="false">IF($B1126="","",IF(AND(J1126="N",G1126&gt;0,K1126=0,IFERROR(INDEX(고객사!$H$5:$H$104,MATCH($B1126,고객사!$A$5:$A$104,0)),"")="자사 차량 운행"),"차량 미배정",""))</f>
        <v/>
      </c>
      <c r="N1126" s="22" t="str">
        <f aca="false">IF($B1126="","",IFERROR(INDEX(고객사!$J$5:$J$104,MATCH($B1126,고객사!$A$5:$A$104,0)),0))</f>
        <v/>
      </c>
      <c r="O1126" s="22" t="str">
        <f aca="false">IF($B1126="","",G1126*N1126)</f>
        <v/>
      </c>
      <c r="P1126" s="22" t="str">
        <f aca="false">IF($B1126="","",IFERROR(INDEX(고객사!$K$5:$K$104,MATCH($B1126,고객사!$A$5:$A$104,0)),0))</f>
        <v/>
      </c>
      <c r="Q1126" s="22" t="str">
        <f aca="false">IF($B1126="","",G1126*P1126)</f>
        <v/>
      </c>
      <c r="R1126" s="22" t="str">
        <f aca="false">IF($B1126="","",O1126-Q1126-L1126)</f>
        <v/>
      </c>
      <c r="S1126" s="21" t="str">
        <f aca="false">IF(OR($B1126="",N(O1126)=0),"",R1126/O1126)</f>
        <v/>
      </c>
      <c r="T1126" s="14"/>
      <c r="U1126" s="19" t="n">
        <f aca="false">IF(OR($B1126="",$A1126=""),0,IF(COUNTIFS($A$5:$A1126,$A1126,$B$5:$B1126,$B1126)=1,1,0))</f>
        <v>0</v>
      </c>
    </row>
    <row r="1127" customFormat="false" ht="15" hidden="false" customHeight="false" outlineLevel="0" collapsed="false">
      <c r="A1127" s="17"/>
      <c r="B1127" s="13"/>
      <c r="C1127" s="20" t="str">
        <f aca="false">IF($B1127="","",IFERROR(INDEX(고객사!$B$5:$B$104,MATCH($B1127,고객사!$A$5:$A$104,0)),"코드 확인"))</f>
        <v/>
      </c>
      <c r="D1127" s="15"/>
      <c r="E1127" s="15"/>
      <c r="F1127" s="16"/>
      <c r="G1127" s="16"/>
      <c r="H1127" s="21" t="str">
        <f aca="false">IF(OR($B1127="",F1127=0),"",G1127/F1127)</f>
        <v/>
      </c>
      <c r="I1127" s="22" t="str">
        <f aca="false">IF($B1127="","",MAX(F1127-G1127,0))</f>
        <v/>
      </c>
      <c r="J1127" s="23" t="str">
        <f aca="false">IF($B1127="","",IFERROR(INDEX(고객사!$G$5:$G$104,MATCH($B1127,고객사!$A$5:$A$104,0)),""))</f>
        <v/>
      </c>
      <c r="K1127" s="16"/>
      <c r="L1127" s="22" t="str">
        <f aca="false">IF($B1127="","",K1127*IFERROR(INDEX(고객사!$L$5:$L$104,MATCH($B1127,고객사!$A$5:$A$104,0)),0))</f>
        <v/>
      </c>
      <c r="M1127" s="23" t="str">
        <f aca="false">IF($B1127="","",IF(AND(J1127="N",G1127&gt;0,K1127=0,IFERROR(INDEX(고객사!$H$5:$H$104,MATCH($B1127,고객사!$A$5:$A$104,0)),"")="자사 차량 운행"),"차량 미배정",""))</f>
        <v/>
      </c>
      <c r="N1127" s="22" t="str">
        <f aca="false">IF($B1127="","",IFERROR(INDEX(고객사!$J$5:$J$104,MATCH($B1127,고객사!$A$5:$A$104,0)),0))</f>
        <v/>
      </c>
      <c r="O1127" s="22" t="str">
        <f aca="false">IF($B1127="","",G1127*N1127)</f>
        <v/>
      </c>
      <c r="P1127" s="22" t="str">
        <f aca="false">IF($B1127="","",IFERROR(INDEX(고객사!$K$5:$K$104,MATCH($B1127,고객사!$A$5:$A$104,0)),0))</f>
        <v/>
      </c>
      <c r="Q1127" s="22" t="str">
        <f aca="false">IF($B1127="","",G1127*P1127)</f>
        <v/>
      </c>
      <c r="R1127" s="22" t="str">
        <f aca="false">IF($B1127="","",O1127-Q1127-L1127)</f>
        <v/>
      </c>
      <c r="S1127" s="21" t="str">
        <f aca="false">IF(OR($B1127="",N(O1127)=0),"",R1127/O1127)</f>
        <v/>
      </c>
      <c r="T1127" s="14"/>
      <c r="U1127" s="19" t="n">
        <f aca="false">IF(OR($B1127="",$A1127=""),0,IF(COUNTIFS($A$5:$A1127,$A1127,$B$5:$B1127,$B1127)=1,1,0))</f>
        <v>0</v>
      </c>
    </row>
    <row r="1128" customFormat="false" ht="15" hidden="false" customHeight="false" outlineLevel="0" collapsed="false">
      <c r="A1128" s="17"/>
      <c r="B1128" s="13"/>
      <c r="C1128" s="20" t="str">
        <f aca="false">IF($B1128="","",IFERROR(INDEX(고객사!$B$5:$B$104,MATCH($B1128,고객사!$A$5:$A$104,0)),"코드 확인"))</f>
        <v/>
      </c>
      <c r="D1128" s="15"/>
      <c r="E1128" s="15"/>
      <c r="F1128" s="16"/>
      <c r="G1128" s="16"/>
      <c r="H1128" s="21" t="str">
        <f aca="false">IF(OR($B1128="",F1128=0),"",G1128/F1128)</f>
        <v/>
      </c>
      <c r="I1128" s="22" t="str">
        <f aca="false">IF($B1128="","",MAX(F1128-G1128,0))</f>
        <v/>
      </c>
      <c r="J1128" s="23" t="str">
        <f aca="false">IF($B1128="","",IFERROR(INDEX(고객사!$G$5:$G$104,MATCH($B1128,고객사!$A$5:$A$104,0)),""))</f>
        <v/>
      </c>
      <c r="K1128" s="16"/>
      <c r="L1128" s="22" t="str">
        <f aca="false">IF($B1128="","",K1128*IFERROR(INDEX(고객사!$L$5:$L$104,MATCH($B1128,고객사!$A$5:$A$104,0)),0))</f>
        <v/>
      </c>
      <c r="M1128" s="23" t="str">
        <f aca="false">IF($B1128="","",IF(AND(J1128="N",G1128&gt;0,K1128=0,IFERROR(INDEX(고객사!$H$5:$H$104,MATCH($B1128,고객사!$A$5:$A$104,0)),"")="자사 차량 운행"),"차량 미배정",""))</f>
        <v/>
      </c>
      <c r="N1128" s="22" t="str">
        <f aca="false">IF($B1128="","",IFERROR(INDEX(고객사!$J$5:$J$104,MATCH($B1128,고객사!$A$5:$A$104,0)),0))</f>
        <v/>
      </c>
      <c r="O1128" s="22" t="str">
        <f aca="false">IF($B1128="","",G1128*N1128)</f>
        <v/>
      </c>
      <c r="P1128" s="22" t="str">
        <f aca="false">IF($B1128="","",IFERROR(INDEX(고객사!$K$5:$K$104,MATCH($B1128,고객사!$A$5:$A$104,0)),0))</f>
        <v/>
      </c>
      <c r="Q1128" s="22" t="str">
        <f aca="false">IF($B1128="","",G1128*P1128)</f>
        <v/>
      </c>
      <c r="R1128" s="22" t="str">
        <f aca="false">IF($B1128="","",O1128-Q1128-L1128)</f>
        <v/>
      </c>
      <c r="S1128" s="21" t="str">
        <f aca="false">IF(OR($B1128="",N(O1128)=0),"",R1128/O1128)</f>
        <v/>
      </c>
      <c r="T1128" s="14"/>
      <c r="U1128" s="19" t="n">
        <f aca="false">IF(OR($B1128="",$A1128=""),0,IF(COUNTIFS($A$5:$A1128,$A1128,$B$5:$B1128,$B1128)=1,1,0))</f>
        <v>0</v>
      </c>
    </row>
    <row r="1129" customFormat="false" ht="15" hidden="false" customHeight="false" outlineLevel="0" collapsed="false">
      <c r="A1129" s="17"/>
      <c r="B1129" s="13"/>
      <c r="C1129" s="20" t="str">
        <f aca="false">IF($B1129="","",IFERROR(INDEX(고객사!$B$5:$B$104,MATCH($B1129,고객사!$A$5:$A$104,0)),"코드 확인"))</f>
        <v/>
      </c>
      <c r="D1129" s="15"/>
      <c r="E1129" s="15"/>
      <c r="F1129" s="16"/>
      <c r="G1129" s="16"/>
      <c r="H1129" s="21" t="str">
        <f aca="false">IF(OR($B1129="",F1129=0),"",G1129/F1129)</f>
        <v/>
      </c>
      <c r="I1129" s="22" t="str">
        <f aca="false">IF($B1129="","",MAX(F1129-G1129,0))</f>
        <v/>
      </c>
      <c r="J1129" s="23" t="str">
        <f aca="false">IF($B1129="","",IFERROR(INDEX(고객사!$G$5:$G$104,MATCH($B1129,고객사!$A$5:$A$104,0)),""))</f>
        <v/>
      </c>
      <c r="K1129" s="16"/>
      <c r="L1129" s="22" t="str">
        <f aca="false">IF($B1129="","",K1129*IFERROR(INDEX(고객사!$L$5:$L$104,MATCH($B1129,고객사!$A$5:$A$104,0)),0))</f>
        <v/>
      </c>
      <c r="M1129" s="23" t="str">
        <f aca="false">IF($B1129="","",IF(AND(J1129="N",G1129&gt;0,K1129=0,IFERROR(INDEX(고객사!$H$5:$H$104,MATCH($B1129,고객사!$A$5:$A$104,0)),"")="자사 차량 운행"),"차량 미배정",""))</f>
        <v/>
      </c>
      <c r="N1129" s="22" t="str">
        <f aca="false">IF($B1129="","",IFERROR(INDEX(고객사!$J$5:$J$104,MATCH($B1129,고객사!$A$5:$A$104,0)),0))</f>
        <v/>
      </c>
      <c r="O1129" s="22" t="str">
        <f aca="false">IF($B1129="","",G1129*N1129)</f>
        <v/>
      </c>
      <c r="P1129" s="22" t="str">
        <f aca="false">IF($B1129="","",IFERROR(INDEX(고객사!$K$5:$K$104,MATCH($B1129,고객사!$A$5:$A$104,0)),0))</f>
        <v/>
      </c>
      <c r="Q1129" s="22" t="str">
        <f aca="false">IF($B1129="","",G1129*P1129)</f>
        <v/>
      </c>
      <c r="R1129" s="22" t="str">
        <f aca="false">IF($B1129="","",O1129-Q1129-L1129)</f>
        <v/>
      </c>
      <c r="S1129" s="21" t="str">
        <f aca="false">IF(OR($B1129="",N(O1129)=0),"",R1129/O1129)</f>
        <v/>
      </c>
      <c r="T1129" s="14"/>
      <c r="U1129" s="19" t="n">
        <f aca="false">IF(OR($B1129="",$A1129=""),0,IF(COUNTIFS($A$5:$A1129,$A1129,$B$5:$B1129,$B1129)=1,1,0))</f>
        <v>0</v>
      </c>
    </row>
    <row r="1130" customFormat="false" ht="15" hidden="false" customHeight="false" outlineLevel="0" collapsed="false">
      <c r="A1130" s="17"/>
      <c r="B1130" s="13"/>
      <c r="C1130" s="20" t="str">
        <f aca="false">IF($B1130="","",IFERROR(INDEX(고객사!$B$5:$B$104,MATCH($B1130,고객사!$A$5:$A$104,0)),"코드 확인"))</f>
        <v/>
      </c>
      <c r="D1130" s="15"/>
      <c r="E1130" s="15"/>
      <c r="F1130" s="16"/>
      <c r="G1130" s="16"/>
      <c r="H1130" s="21" t="str">
        <f aca="false">IF(OR($B1130="",F1130=0),"",G1130/F1130)</f>
        <v/>
      </c>
      <c r="I1130" s="22" t="str">
        <f aca="false">IF($B1130="","",MAX(F1130-G1130,0))</f>
        <v/>
      </c>
      <c r="J1130" s="23" t="str">
        <f aca="false">IF($B1130="","",IFERROR(INDEX(고객사!$G$5:$G$104,MATCH($B1130,고객사!$A$5:$A$104,0)),""))</f>
        <v/>
      </c>
      <c r="K1130" s="16"/>
      <c r="L1130" s="22" t="str">
        <f aca="false">IF($B1130="","",K1130*IFERROR(INDEX(고객사!$L$5:$L$104,MATCH($B1130,고객사!$A$5:$A$104,0)),0))</f>
        <v/>
      </c>
      <c r="M1130" s="23" t="str">
        <f aca="false">IF($B1130="","",IF(AND(J1130="N",G1130&gt;0,K1130=0,IFERROR(INDEX(고객사!$H$5:$H$104,MATCH($B1130,고객사!$A$5:$A$104,0)),"")="자사 차량 운행"),"차량 미배정",""))</f>
        <v/>
      </c>
      <c r="N1130" s="22" t="str">
        <f aca="false">IF($B1130="","",IFERROR(INDEX(고객사!$J$5:$J$104,MATCH($B1130,고객사!$A$5:$A$104,0)),0))</f>
        <v/>
      </c>
      <c r="O1130" s="22" t="str">
        <f aca="false">IF($B1130="","",G1130*N1130)</f>
        <v/>
      </c>
      <c r="P1130" s="22" t="str">
        <f aca="false">IF($B1130="","",IFERROR(INDEX(고객사!$K$5:$K$104,MATCH($B1130,고객사!$A$5:$A$104,0)),0))</f>
        <v/>
      </c>
      <c r="Q1130" s="22" t="str">
        <f aca="false">IF($B1130="","",G1130*P1130)</f>
        <v/>
      </c>
      <c r="R1130" s="22" t="str">
        <f aca="false">IF($B1130="","",O1130-Q1130-L1130)</f>
        <v/>
      </c>
      <c r="S1130" s="21" t="str">
        <f aca="false">IF(OR($B1130="",N(O1130)=0),"",R1130/O1130)</f>
        <v/>
      </c>
      <c r="T1130" s="14"/>
      <c r="U1130" s="19" t="n">
        <f aca="false">IF(OR($B1130="",$A1130=""),0,IF(COUNTIFS($A$5:$A1130,$A1130,$B$5:$B1130,$B1130)=1,1,0))</f>
        <v>0</v>
      </c>
    </row>
    <row r="1131" customFormat="false" ht="15" hidden="false" customHeight="false" outlineLevel="0" collapsed="false">
      <c r="A1131" s="17"/>
      <c r="B1131" s="13"/>
      <c r="C1131" s="20" t="str">
        <f aca="false">IF($B1131="","",IFERROR(INDEX(고객사!$B$5:$B$104,MATCH($B1131,고객사!$A$5:$A$104,0)),"코드 확인"))</f>
        <v/>
      </c>
      <c r="D1131" s="15"/>
      <c r="E1131" s="15"/>
      <c r="F1131" s="16"/>
      <c r="G1131" s="16"/>
      <c r="H1131" s="21" t="str">
        <f aca="false">IF(OR($B1131="",F1131=0),"",G1131/F1131)</f>
        <v/>
      </c>
      <c r="I1131" s="22" t="str">
        <f aca="false">IF($B1131="","",MAX(F1131-G1131,0))</f>
        <v/>
      </c>
      <c r="J1131" s="23" t="str">
        <f aca="false">IF($B1131="","",IFERROR(INDEX(고객사!$G$5:$G$104,MATCH($B1131,고객사!$A$5:$A$104,0)),""))</f>
        <v/>
      </c>
      <c r="K1131" s="16"/>
      <c r="L1131" s="22" t="str">
        <f aca="false">IF($B1131="","",K1131*IFERROR(INDEX(고객사!$L$5:$L$104,MATCH($B1131,고객사!$A$5:$A$104,0)),0))</f>
        <v/>
      </c>
      <c r="M1131" s="23" t="str">
        <f aca="false">IF($B1131="","",IF(AND(J1131="N",G1131&gt;0,K1131=0,IFERROR(INDEX(고객사!$H$5:$H$104,MATCH($B1131,고객사!$A$5:$A$104,0)),"")="자사 차량 운행"),"차량 미배정",""))</f>
        <v/>
      </c>
      <c r="N1131" s="22" t="str">
        <f aca="false">IF($B1131="","",IFERROR(INDEX(고객사!$J$5:$J$104,MATCH($B1131,고객사!$A$5:$A$104,0)),0))</f>
        <v/>
      </c>
      <c r="O1131" s="22" t="str">
        <f aca="false">IF($B1131="","",G1131*N1131)</f>
        <v/>
      </c>
      <c r="P1131" s="22" t="str">
        <f aca="false">IF($B1131="","",IFERROR(INDEX(고객사!$K$5:$K$104,MATCH($B1131,고객사!$A$5:$A$104,0)),0))</f>
        <v/>
      </c>
      <c r="Q1131" s="22" t="str">
        <f aca="false">IF($B1131="","",G1131*P1131)</f>
        <v/>
      </c>
      <c r="R1131" s="22" t="str">
        <f aca="false">IF($B1131="","",O1131-Q1131-L1131)</f>
        <v/>
      </c>
      <c r="S1131" s="21" t="str">
        <f aca="false">IF(OR($B1131="",N(O1131)=0),"",R1131/O1131)</f>
        <v/>
      </c>
      <c r="T1131" s="14"/>
      <c r="U1131" s="19" t="n">
        <f aca="false">IF(OR($B1131="",$A1131=""),0,IF(COUNTIFS($A$5:$A1131,$A1131,$B$5:$B1131,$B1131)=1,1,0))</f>
        <v>0</v>
      </c>
    </row>
    <row r="1132" customFormat="false" ht="15" hidden="false" customHeight="false" outlineLevel="0" collapsed="false">
      <c r="A1132" s="17"/>
      <c r="B1132" s="13"/>
      <c r="C1132" s="20" t="str">
        <f aca="false">IF($B1132="","",IFERROR(INDEX(고객사!$B$5:$B$104,MATCH($B1132,고객사!$A$5:$A$104,0)),"코드 확인"))</f>
        <v/>
      </c>
      <c r="D1132" s="15"/>
      <c r="E1132" s="15"/>
      <c r="F1132" s="16"/>
      <c r="G1132" s="16"/>
      <c r="H1132" s="21" t="str">
        <f aca="false">IF(OR($B1132="",F1132=0),"",G1132/F1132)</f>
        <v/>
      </c>
      <c r="I1132" s="22" t="str">
        <f aca="false">IF($B1132="","",MAX(F1132-G1132,0))</f>
        <v/>
      </c>
      <c r="J1132" s="23" t="str">
        <f aca="false">IF($B1132="","",IFERROR(INDEX(고객사!$G$5:$G$104,MATCH($B1132,고객사!$A$5:$A$104,0)),""))</f>
        <v/>
      </c>
      <c r="K1132" s="16"/>
      <c r="L1132" s="22" t="str">
        <f aca="false">IF($B1132="","",K1132*IFERROR(INDEX(고객사!$L$5:$L$104,MATCH($B1132,고객사!$A$5:$A$104,0)),0))</f>
        <v/>
      </c>
      <c r="M1132" s="23" t="str">
        <f aca="false">IF($B1132="","",IF(AND(J1132="N",G1132&gt;0,K1132=0,IFERROR(INDEX(고객사!$H$5:$H$104,MATCH($B1132,고객사!$A$5:$A$104,0)),"")="자사 차량 운행"),"차량 미배정",""))</f>
        <v/>
      </c>
      <c r="N1132" s="22" t="str">
        <f aca="false">IF($B1132="","",IFERROR(INDEX(고객사!$J$5:$J$104,MATCH($B1132,고객사!$A$5:$A$104,0)),0))</f>
        <v/>
      </c>
      <c r="O1132" s="22" t="str">
        <f aca="false">IF($B1132="","",G1132*N1132)</f>
        <v/>
      </c>
      <c r="P1132" s="22" t="str">
        <f aca="false">IF($B1132="","",IFERROR(INDEX(고객사!$K$5:$K$104,MATCH($B1132,고객사!$A$5:$A$104,0)),0))</f>
        <v/>
      </c>
      <c r="Q1132" s="22" t="str">
        <f aca="false">IF($B1132="","",G1132*P1132)</f>
        <v/>
      </c>
      <c r="R1132" s="22" t="str">
        <f aca="false">IF($B1132="","",O1132-Q1132-L1132)</f>
        <v/>
      </c>
      <c r="S1132" s="21" t="str">
        <f aca="false">IF(OR($B1132="",N(O1132)=0),"",R1132/O1132)</f>
        <v/>
      </c>
      <c r="T1132" s="14"/>
      <c r="U1132" s="19" t="n">
        <f aca="false">IF(OR($B1132="",$A1132=""),0,IF(COUNTIFS($A$5:$A1132,$A1132,$B$5:$B1132,$B1132)=1,1,0))</f>
        <v>0</v>
      </c>
    </row>
    <row r="1133" customFormat="false" ht="15" hidden="false" customHeight="false" outlineLevel="0" collapsed="false">
      <c r="A1133" s="17"/>
      <c r="B1133" s="13"/>
      <c r="C1133" s="20" t="str">
        <f aca="false">IF($B1133="","",IFERROR(INDEX(고객사!$B$5:$B$104,MATCH($B1133,고객사!$A$5:$A$104,0)),"코드 확인"))</f>
        <v/>
      </c>
      <c r="D1133" s="15"/>
      <c r="E1133" s="15"/>
      <c r="F1133" s="16"/>
      <c r="G1133" s="16"/>
      <c r="H1133" s="21" t="str">
        <f aca="false">IF(OR($B1133="",F1133=0),"",G1133/F1133)</f>
        <v/>
      </c>
      <c r="I1133" s="22" t="str">
        <f aca="false">IF($B1133="","",MAX(F1133-G1133,0))</f>
        <v/>
      </c>
      <c r="J1133" s="23" t="str">
        <f aca="false">IF($B1133="","",IFERROR(INDEX(고객사!$G$5:$G$104,MATCH($B1133,고객사!$A$5:$A$104,0)),""))</f>
        <v/>
      </c>
      <c r="K1133" s="16"/>
      <c r="L1133" s="22" t="str">
        <f aca="false">IF($B1133="","",K1133*IFERROR(INDEX(고객사!$L$5:$L$104,MATCH($B1133,고객사!$A$5:$A$104,0)),0))</f>
        <v/>
      </c>
      <c r="M1133" s="23" t="str">
        <f aca="false">IF($B1133="","",IF(AND(J1133="N",G1133&gt;0,K1133=0,IFERROR(INDEX(고객사!$H$5:$H$104,MATCH($B1133,고객사!$A$5:$A$104,0)),"")="자사 차량 운행"),"차량 미배정",""))</f>
        <v/>
      </c>
      <c r="N1133" s="22" t="str">
        <f aca="false">IF($B1133="","",IFERROR(INDEX(고객사!$J$5:$J$104,MATCH($B1133,고객사!$A$5:$A$104,0)),0))</f>
        <v/>
      </c>
      <c r="O1133" s="22" t="str">
        <f aca="false">IF($B1133="","",G1133*N1133)</f>
        <v/>
      </c>
      <c r="P1133" s="22" t="str">
        <f aca="false">IF($B1133="","",IFERROR(INDEX(고객사!$K$5:$K$104,MATCH($B1133,고객사!$A$5:$A$104,0)),0))</f>
        <v/>
      </c>
      <c r="Q1133" s="22" t="str">
        <f aca="false">IF($B1133="","",G1133*P1133)</f>
        <v/>
      </c>
      <c r="R1133" s="22" t="str">
        <f aca="false">IF($B1133="","",O1133-Q1133-L1133)</f>
        <v/>
      </c>
      <c r="S1133" s="21" t="str">
        <f aca="false">IF(OR($B1133="",N(O1133)=0),"",R1133/O1133)</f>
        <v/>
      </c>
      <c r="T1133" s="14"/>
      <c r="U1133" s="19" t="n">
        <f aca="false">IF(OR($B1133="",$A1133=""),0,IF(COUNTIFS($A$5:$A1133,$A1133,$B$5:$B1133,$B1133)=1,1,0))</f>
        <v>0</v>
      </c>
    </row>
    <row r="1134" customFormat="false" ht="15" hidden="false" customHeight="false" outlineLevel="0" collapsed="false">
      <c r="A1134" s="17"/>
      <c r="B1134" s="13"/>
      <c r="C1134" s="20" t="str">
        <f aca="false">IF($B1134="","",IFERROR(INDEX(고객사!$B$5:$B$104,MATCH($B1134,고객사!$A$5:$A$104,0)),"코드 확인"))</f>
        <v/>
      </c>
      <c r="D1134" s="15"/>
      <c r="E1134" s="15"/>
      <c r="F1134" s="16"/>
      <c r="G1134" s="16"/>
      <c r="H1134" s="21" t="str">
        <f aca="false">IF(OR($B1134="",F1134=0),"",G1134/F1134)</f>
        <v/>
      </c>
      <c r="I1134" s="22" t="str">
        <f aca="false">IF($B1134="","",MAX(F1134-G1134,0))</f>
        <v/>
      </c>
      <c r="J1134" s="23" t="str">
        <f aca="false">IF($B1134="","",IFERROR(INDEX(고객사!$G$5:$G$104,MATCH($B1134,고객사!$A$5:$A$104,0)),""))</f>
        <v/>
      </c>
      <c r="K1134" s="16"/>
      <c r="L1134" s="22" t="str">
        <f aca="false">IF($B1134="","",K1134*IFERROR(INDEX(고객사!$L$5:$L$104,MATCH($B1134,고객사!$A$5:$A$104,0)),0))</f>
        <v/>
      </c>
      <c r="M1134" s="23" t="str">
        <f aca="false">IF($B1134="","",IF(AND(J1134="N",G1134&gt;0,K1134=0,IFERROR(INDEX(고객사!$H$5:$H$104,MATCH($B1134,고객사!$A$5:$A$104,0)),"")="자사 차량 운행"),"차량 미배정",""))</f>
        <v/>
      </c>
      <c r="N1134" s="22" t="str">
        <f aca="false">IF($B1134="","",IFERROR(INDEX(고객사!$J$5:$J$104,MATCH($B1134,고객사!$A$5:$A$104,0)),0))</f>
        <v/>
      </c>
      <c r="O1134" s="22" t="str">
        <f aca="false">IF($B1134="","",G1134*N1134)</f>
        <v/>
      </c>
      <c r="P1134" s="22" t="str">
        <f aca="false">IF($B1134="","",IFERROR(INDEX(고객사!$K$5:$K$104,MATCH($B1134,고객사!$A$5:$A$104,0)),0))</f>
        <v/>
      </c>
      <c r="Q1134" s="22" t="str">
        <f aca="false">IF($B1134="","",G1134*P1134)</f>
        <v/>
      </c>
      <c r="R1134" s="22" t="str">
        <f aca="false">IF($B1134="","",O1134-Q1134-L1134)</f>
        <v/>
      </c>
      <c r="S1134" s="21" t="str">
        <f aca="false">IF(OR($B1134="",N(O1134)=0),"",R1134/O1134)</f>
        <v/>
      </c>
      <c r="T1134" s="14"/>
      <c r="U1134" s="19" t="n">
        <f aca="false">IF(OR($B1134="",$A1134=""),0,IF(COUNTIFS($A$5:$A1134,$A1134,$B$5:$B1134,$B1134)=1,1,0))</f>
        <v>0</v>
      </c>
    </row>
    <row r="1135" customFormat="false" ht="15" hidden="false" customHeight="false" outlineLevel="0" collapsed="false">
      <c r="A1135" s="17"/>
      <c r="B1135" s="13"/>
      <c r="C1135" s="20" t="str">
        <f aca="false">IF($B1135="","",IFERROR(INDEX(고객사!$B$5:$B$104,MATCH($B1135,고객사!$A$5:$A$104,0)),"코드 확인"))</f>
        <v/>
      </c>
      <c r="D1135" s="15"/>
      <c r="E1135" s="15"/>
      <c r="F1135" s="16"/>
      <c r="G1135" s="16"/>
      <c r="H1135" s="21" t="str">
        <f aca="false">IF(OR($B1135="",F1135=0),"",G1135/F1135)</f>
        <v/>
      </c>
      <c r="I1135" s="22" t="str">
        <f aca="false">IF($B1135="","",MAX(F1135-G1135,0))</f>
        <v/>
      </c>
      <c r="J1135" s="23" t="str">
        <f aca="false">IF($B1135="","",IFERROR(INDEX(고객사!$G$5:$G$104,MATCH($B1135,고객사!$A$5:$A$104,0)),""))</f>
        <v/>
      </c>
      <c r="K1135" s="16"/>
      <c r="L1135" s="22" t="str">
        <f aca="false">IF($B1135="","",K1135*IFERROR(INDEX(고객사!$L$5:$L$104,MATCH($B1135,고객사!$A$5:$A$104,0)),0))</f>
        <v/>
      </c>
      <c r="M1135" s="23" t="str">
        <f aca="false">IF($B1135="","",IF(AND(J1135="N",G1135&gt;0,K1135=0,IFERROR(INDEX(고객사!$H$5:$H$104,MATCH($B1135,고객사!$A$5:$A$104,0)),"")="자사 차량 운행"),"차량 미배정",""))</f>
        <v/>
      </c>
      <c r="N1135" s="22" t="str">
        <f aca="false">IF($B1135="","",IFERROR(INDEX(고객사!$J$5:$J$104,MATCH($B1135,고객사!$A$5:$A$104,0)),0))</f>
        <v/>
      </c>
      <c r="O1135" s="22" t="str">
        <f aca="false">IF($B1135="","",G1135*N1135)</f>
        <v/>
      </c>
      <c r="P1135" s="22" t="str">
        <f aca="false">IF($B1135="","",IFERROR(INDEX(고객사!$K$5:$K$104,MATCH($B1135,고객사!$A$5:$A$104,0)),0))</f>
        <v/>
      </c>
      <c r="Q1135" s="22" t="str">
        <f aca="false">IF($B1135="","",G1135*P1135)</f>
        <v/>
      </c>
      <c r="R1135" s="22" t="str">
        <f aca="false">IF($B1135="","",O1135-Q1135-L1135)</f>
        <v/>
      </c>
      <c r="S1135" s="21" t="str">
        <f aca="false">IF(OR($B1135="",N(O1135)=0),"",R1135/O1135)</f>
        <v/>
      </c>
      <c r="T1135" s="14"/>
      <c r="U1135" s="19" t="n">
        <f aca="false">IF(OR($B1135="",$A1135=""),0,IF(COUNTIFS($A$5:$A1135,$A1135,$B$5:$B1135,$B1135)=1,1,0))</f>
        <v>0</v>
      </c>
    </row>
    <row r="1136" customFormat="false" ht="15" hidden="false" customHeight="false" outlineLevel="0" collapsed="false">
      <c r="A1136" s="17"/>
      <c r="B1136" s="13"/>
      <c r="C1136" s="20" t="str">
        <f aca="false">IF($B1136="","",IFERROR(INDEX(고객사!$B$5:$B$104,MATCH($B1136,고객사!$A$5:$A$104,0)),"코드 확인"))</f>
        <v/>
      </c>
      <c r="D1136" s="15"/>
      <c r="E1136" s="15"/>
      <c r="F1136" s="16"/>
      <c r="G1136" s="16"/>
      <c r="H1136" s="21" t="str">
        <f aca="false">IF(OR($B1136="",F1136=0),"",G1136/F1136)</f>
        <v/>
      </c>
      <c r="I1136" s="22" t="str">
        <f aca="false">IF($B1136="","",MAX(F1136-G1136,0))</f>
        <v/>
      </c>
      <c r="J1136" s="23" t="str">
        <f aca="false">IF($B1136="","",IFERROR(INDEX(고객사!$G$5:$G$104,MATCH($B1136,고객사!$A$5:$A$104,0)),""))</f>
        <v/>
      </c>
      <c r="K1136" s="16"/>
      <c r="L1136" s="22" t="str">
        <f aca="false">IF($B1136="","",K1136*IFERROR(INDEX(고객사!$L$5:$L$104,MATCH($B1136,고객사!$A$5:$A$104,0)),0))</f>
        <v/>
      </c>
      <c r="M1136" s="23" t="str">
        <f aca="false">IF($B1136="","",IF(AND(J1136="N",G1136&gt;0,K1136=0,IFERROR(INDEX(고객사!$H$5:$H$104,MATCH($B1136,고객사!$A$5:$A$104,0)),"")="자사 차량 운행"),"차량 미배정",""))</f>
        <v/>
      </c>
      <c r="N1136" s="22" t="str">
        <f aca="false">IF($B1136="","",IFERROR(INDEX(고객사!$J$5:$J$104,MATCH($B1136,고객사!$A$5:$A$104,0)),0))</f>
        <v/>
      </c>
      <c r="O1136" s="22" t="str">
        <f aca="false">IF($B1136="","",G1136*N1136)</f>
        <v/>
      </c>
      <c r="P1136" s="22" t="str">
        <f aca="false">IF($B1136="","",IFERROR(INDEX(고객사!$K$5:$K$104,MATCH($B1136,고객사!$A$5:$A$104,0)),0))</f>
        <v/>
      </c>
      <c r="Q1136" s="22" t="str">
        <f aca="false">IF($B1136="","",G1136*P1136)</f>
        <v/>
      </c>
      <c r="R1136" s="22" t="str">
        <f aca="false">IF($B1136="","",O1136-Q1136-L1136)</f>
        <v/>
      </c>
      <c r="S1136" s="21" t="str">
        <f aca="false">IF(OR($B1136="",N(O1136)=0),"",R1136/O1136)</f>
        <v/>
      </c>
      <c r="T1136" s="14"/>
      <c r="U1136" s="19" t="n">
        <f aca="false">IF(OR($B1136="",$A1136=""),0,IF(COUNTIFS($A$5:$A1136,$A1136,$B$5:$B1136,$B1136)=1,1,0))</f>
        <v>0</v>
      </c>
    </row>
    <row r="1137" customFormat="false" ht="15" hidden="false" customHeight="false" outlineLevel="0" collapsed="false">
      <c r="A1137" s="17"/>
      <c r="B1137" s="13"/>
      <c r="C1137" s="20" t="str">
        <f aca="false">IF($B1137="","",IFERROR(INDEX(고객사!$B$5:$B$104,MATCH($B1137,고객사!$A$5:$A$104,0)),"코드 확인"))</f>
        <v/>
      </c>
      <c r="D1137" s="15"/>
      <c r="E1137" s="15"/>
      <c r="F1137" s="16"/>
      <c r="G1137" s="16"/>
      <c r="H1137" s="21" t="str">
        <f aca="false">IF(OR($B1137="",F1137=0),"",G1137/F1137)</f>
        <v/>
      </c>
      <c r="I1137" s="22" t="str">
        <f aca="false">IF($B1137="","",MAX(F1137-G1137,0))</f>
        <v/>
      </c>
      <c r="J1137" s="23" t="str">
        <f aca="false">IF($B1137="","",IFERROR(INDEX(고객사!$G$5:$G$104,MATCH($B1137,고객사!$A$5:$A$104,0)),""))</f>
        <v/>
      </c>
      <c r="K1137" s="16"/>
      <c r="L1137" s="22" t="str">
        <f aca="false">IF($B1137="","",K1137*IFERROR(INDEX(고객사!$L$5:$L$104,MATCH($B1137,고객사!$A$5:$A$104,0)),0))</f>
        <v/>
      </c>
      <c r="M1137" s="23" t="str">
        <f aca="false">IF($B1137="","",IF(AND(J1137="N",G1137&gt;0,K1137=0,IFERROR(INDEX(고객사!$H$5:$H$104,MATCH($B1137,고객사!$A$5:$A$104,0)),"")="자사 차량 운행"),"차량 미배정",""))</f>
        <v/>
      </c>
      <c r="N1137" s="22" t="str">
        <f aca="false">IF($B1137="","",IFERROR(INDEX(고객사!$J$5:$J$104,MATCH($B1137,고객사!$A$5:$A$104,0)),0))</f>
        <v/>
      </c>
      <c r="O1137" s="22" t="str">
        <f aca="false">IF($B1137="","",G1137*N1137)</f>
        <v/>
      </c>
      <c r="P1137" s="22" t="str">
        <f aca="false">IF($B1137="","",IFERROR(INDEX(고객사!$K$5:$K$104,MATCH($B1137,고객사!$A$5:$A$104,0)),0))</f>
        <v/>
      </c>
      <c r="Q1137" s="22" t="str">
        <f aca="false">IF($B1137="","",G1137*P1137)</f>
        <v/>
      </c>
      <c r="R1137" s="22" t="str">
        <f aca="false">IF($B1137="","",O1137-Q1137-L1137)</f>
        <v/>
      </c>
      <c r="S1137" s="21" t="str">
        <f aca="false">IF(OR($B1137="",N(O1137)=0),"",R1137/O1137)</f>
        <v/>
      </c>
      <c r="T1137" s="14"/>
      <c r="U1137" s="19" t="n">
        <f aca="false">IF(OR($B1137="",$A1137=""),0,IF(COUNTIFS($A$5:$A1137,$A1137,$B$5:$B1137,$B1137)=1,1,0))</f>
        <v>0</v>
      </c>
    </row>
    <row r="1138" customFormat="false" ht="15" hidden="false" customHeight="false" outlineLevel="0" collapsed="false">
      <c r="A1138" s="17"/>
      <c r="B1138" s="13"/>
      <c r="C1138" s="20" t="str">
        <f aca="false">IF($B1138="","",IFERROR(INDEX(고객사!$B$5:$B$104,MATCH($B1138,고객사!$A$5:$A$104,0)),"코드 확인"))</f>
        <v/>
      </c>
      <c r="D1138" s="15"/>
      <c r="E1138" s="15"/>
      <c r="F1138" s="16"/>
      <c r="G1138" s="16"/>
      <c r="H1138" s="21" t="str">
        <f aca="false">IF(OR($B1138="",F1138=0),"",G1138/F1138)</f>
        <v/>
      </c>
      <c r="I1138" s="22" t="str">
        <f aca="false">IF($B1138="","",MAX(F1138-G1138,0))</f>
        <v/>
      </c>
      <c r="J1138" s="23" t="str">
        <f aca="false">IF($B1138="","",IFERROR(INDEX(고객사!$G$5:$G$104,MATCH($B1138,고객사!$A$5:$A$104,0)),""))</f>
        <v/>
      </c>
      <c r="K1138" s="16"/>
      <c r="L1138" s="22" t="str">
        <f aca="false">IF($B1138="","",K1138*IFERROR(INDEX(고객사!$L$5:$L$104,MATCH($B1138,고객사!$A$5:$A$104,0)),0))</f>
        <v/>
      </c>
      <c r="M1138" s="23" t="str">
        <f aca="false">IF($B1138="","",IF(AND(J1138="N",G1138&gt;0,K1138=0,IFERROR(INDEX(고객사!$H$5:$H$104,MATCH($B1138,고객사!$A$5:$A$104,0)),"")="자사 차량 운행"),"차량 미배정",""))</f>
        <v/>
      </c>
      <c r="N1138" s="22" t="str">
        <f aca="false">IF($B1138="","",IFERROR(INDEX(고객사!$J$5:$J$104,MATCH($B1138,고객사!$A$5:$A$104,0)),0))</f>
        <v/>
      </c>
      <c r="O1138" s="22" t="str">
        <f aca="false">IF($B1138="","",G1138*N1138)</f>
        <v/>
      </c>
      <c r="P1138" s="22" t="str">
        <f aca="false">IF($B1138="","",IFERROR(INDEX(고객사!$K$5:$K$104,MATCH($B1138,고객사!$A$5:$A$104,0)),0))</f>
        <v/>
      </c>
      <c r="Q1138" s="22" t="str">
        <f aca="false">IF($B1138="","",G1138*P1138)</f>
        <v/>
      </c>
      <c r="R1138" s="22" t="str">
        <f aca="false">IF($B1138="","",O1138-Q1138-L1138)</f>
        <v/>
      </c>
      <c r="S1138" s="21" t="str">
        <f aca="false">IF(OR($B1138="",N(O1138)=0),"",R1138/O1138)</f>
        <v/>
      </c>
      <c r="T1138" s="14"/>
      <c r="U1138" s="19" t="n">
        <f aca="false">IF(OR($B1138="",$A1138=""),0,IF(COUNTIFS($A$5:$A1138,$A1138,$B$5:$B1138,$B1138)=1,1,0))</f>
        <v>0</v>
      </c>
    </row>
    <row r="1139" customFormat="false" ht="15" hidden="false" customHeight="false" outlineLevel="0" collapsed="false">
      <c r="A1139" s="17"/>
      <c r="B1139" s="13"/>
      <c r="C1139" s="20" t="str">
        <f aca="false">IF($B1139="","",IFERROR(INDEX(고객사!$B$5:$B$104,MATCH($B1139,고객사!$A$5:$A$104,0)),"코드 확인"))</f>
        <v/>
      </c>
      <c r="D1139" s="15"/>
      <c r="E1139" s="15"/>
      <c r="F1139" s="16"/>
      <c r="G1139" s="16"/>
      <c r="H1139" s="21" t="str">
        <f aca="false">IF(OR($B1139="",F1139=0),"",G1139/F1139)</f>
        <v/>
      </c>
      <c r="I1139" s="22" t="str">
        <f aca="false">IF($B1139="","",MAX(F1139-G1139,0))</f>
        <v/>
      </c>
      <c r="J1139" s="23" t="str">
        <f aca="false">IF($B1139="","",IFERROR(INDEX(고객사!$G$5:$G$104,MATCH($B1139,고객사!$A$5:$A$104,0)),""))</f>
        <v/>
      </c>
      <c r="K1139" s="16"/>
      <c r="L1139" s="22" t="str">
        <f aca="false">IF($B1139="","",K1139*IFERROR(INDEX(고객사!$L$5:$L$104,MATCH($B1139,고객사!$A$5:$A$104,0)),0))</f>
        <v/>
      </c>
      <c r="M1139" s="23" t="str">
        <f aca="false">IF($B1139="","",IF(AND(J1139="N",G1139&gt;0,K1139=0,IFERROR(INDEX(고객사!$H$5:$H$104,MATCH($B1139,고객사!$A$5:$A$104,0)),"")="자사 차량 운행"),"차량 미배정",""))</f>
        <v/>
      </c>
      <c r="N1139" s="22" t="str">
        <f aca="false">IF($B1139="","",IFERROR(INDEX(고객사!$J$5:$J$104,MATCH($B1139,고객사!$A$5:$A$104,0)),0))</f>
        <v/>
      </c>
      <c r="O1139" s="22" t="str">
        <f aca="false">IF($B1139="","",G1139*N1139)</f>
        <v/>
      </c>
      <c r="P1139" s="22" t="str">
        <f aca="false">IF($B1139="","",IFERROR(INDEX(고객사!$K$5:$K$104,MATCH($B1139,고객사!$A$5:$A$104,0)),0))</f>
        <v/>
      </c>
      <c r="Q1139" s="22" t="str">
        <f aca="false">IF($B1139="","",G1139*P1139)</f>
        <v/>
      </c>
      <c r="R1139" s="22" t="str">
        <f aca="false">IF($B1139="","",O1139-Q1139-L1139)</f>
        <v/>
      </c>
      <c r="S1139" s="21" t="str">
        <f aca="false">IF(OR($B1139="",N(O1139)=0),"",R1139/O1139)</f>
        <v/>
      </c>
      <c r="T1139" s="14"/>
      <c r="U1139" s="19" t="n">
        <f aca="false">IF(OR($B1139="",$A1139=""),0,IF(COUNTIFS($A$5:$A1139,$A1139,$B$5:$B1139,$B1139)=1,1,0))</f>
        <v>0</v>
      </c>
    </row>
    <row r="1140" customFormat="false" ht="15" hidden="false" customHeight="false" outlineLevel="0" collapsed="false">
      <c r="A1140" s="17"/>
      <c r="B1140" s="13"/>
      <c r="C1140" s="20" t="str">
        <f aca="false">IF($B1140="","",IFERROR(INDEX(고객사!$B$5:$B$104,MATCH($B1140,고객사!$A$5:$A$104,0)),"코드 확인"))</f>
        <v/>
      </c>
      <c r="D1140" s="15"/>
      <c r="E1140" s="15"/>
      <c r="F1140" s="16"/>
      <c r="G1140" s="16"/>
      <c r="H1140" s="21" t="str">
        <f aca="false">IF(OR($B1140="",F1140=0),"",G1140/F1140)</f>
        <v/>
      </c>
      <c r="I1140" s="22" t="str">
        <f aca="false">IF($B1140="","",MAX(F1140-G1140,0))</f>
        <v/>
      </c>
      <c r="J1140" s="23" t="str">
        <f aca="false">IF($B1140="","",IFERROR(INDEX(고객사!$G$5:$G$104,MATCH($B1140,고객사!$A$5:$A$104,0)),""))</f>
        <v/>
      </c>
      <c r="K1140" s="16"/>
      <c r="L1140" s="22" t="str">
        <f aca="false">IF($B1140="","",K1140*IFERROR(INDEX(고객사!$L$5:$L$104,MATCH($B1140,고객사!$A$5:$A$104,0)),0))</f>
        <v/>
      </c>
      <c r="M1140" s="23" t="str">
        <f aca="false">IF($B1140="","",IF(AND(J1140="N",G1140&gt;0,K1140=0,IFERROR(INDEX(고객사!$H$5:$H$104,MATCH($B1140,고객사!$A$5:$A$104,0)),"")="자사 차량 운행"),"차량 미배정",""))</f>
        <v/>
      </c>
      <c r="N1140" s="22" t="str">
        <f aca="false">IF($B1140="","",IFERROR(INDEX(고객사!$J$5:$J$104,MATCH($B1140,고객사!$A$5:$A$104,0)),0))</f>
        <v/>
      </c>
      <c r="O1140" s="22" t="str">
        <f aca="false">IF($B1140="","",G1140*N1140)</f>
        <v/>
      </c>
      <c r="P1140" s="22" t="str">
        <f aca="false">IF($B1140="","",IFERROR(INDEX(고객사!$K$5:$K$104,MATCH($B1140,고객사!$A$5:$A$104,0)),0))</f>
        <v/>
      </c>
      <c r="Q1140" s="22" t="str">
        <f aca="false">IF($B1140="","",G1140*P1140)</f>
        <v/>
      </c>
      <c r="R1140" s="22" t="str">
        <f aca="false">IF($B1140="","",O1140-Q1140-L1140)</f>
        <v/>
      </c>
      <c r="S1140" s="21" t="str">
        <f aca="false">IF(OR($B1140="",N(O1140)=0),"",R1140/O1140)</f>
        <v/>
      </c>
      <c r="T1140" s="14"/>
      <c r="U1140" s="19" t="n">
        <f aca="false">IF(OR($B1140="",$A1140=""),0,IF(COUNTIFS($A$5:$A1140,$A1140,$B$5:$B1140,$B1140)=1,1,0))</f>
        <v>0</v>
      </c>
    </row>
    <row r="1141" customFormat="false" ht="15" hidden="false" customHeight="false" outlineLevel="0" collapsed="false">
      <c r="A1141" s="17"/>
      <c r="B1141" s="13"/>
      <c r="C1141" s="20" t="str">
        <f aca="false">IF($B1141="","",IFERROR(INDEX(고객사!$B$5:$B$104,MATCH($B1141,고객사!$A$5:$A$104,0)),"코드 확인"))</f>
        <v/>
      </c>
      <c r="D1141" s="15"/>
      <c r="E1141" s="15"/>
      <c r="F1141" s="16"/>
      <c r="G1141" s="16"/>
      <c r="H1141" s="21" t="str">
        <f aca="false">IF(OR($B1141="",F1141=0),"",G1141/F1141)</f>
        <v/>
      </c>
      <c r="I1141" s="22" t="str">
        <f aca="false">IF($B1141="","",MAX(F1141-G1141,0))</f>
        <v/>
      </c>
      <c r="J1141" s="23" t="str">
        <f aca="false">IF($B1141="","",IFERROR(INDEX(고객사!$G$5:$G$104,MATCH($B1141,고객사!$A$5:$A$104,0)),""))</f>
        <v/>
      </c>
      <c r="K1141" s="16"/>
      <c r="L1141" s="22" t="str">
        <f aca="false">IF($B1141="","",K1141*IFERROR(INDEX(고객사!$L$5:$L$104,MATCH($B1141,고객사!$A$5:$A$104,0)),0))</f>
        <v/>
      </c>
      <c r="M1141" s="23" t="str">
        <f aca="false">IF($B1141="","",IF(AND(J1141="N",G1141&gt;0,K1141=0,IFERROR(INDEX(고객사!$H$5:$H$104,MATCH($B1141,고객사!$A$5:$A$104,0)),"")="자사 차량 운행"),"차량 미배정",""))</f>
        <v/>
      </c>
      <c r="N1141" s="22" t="str">
        <f aca="false">IF($B1141="","",IFERROR(INDEX(고객사!$J$5:$J$104,MATCH($B1141,고객사!$A$5:$A$104,0)),0))</f>
        <v/>
      </c>
      <c r="O1141" s="22" t="str">
        <f aca="false">IF($B1141="","",G1141*N1141)</f>
        <v/>
      </c>
      <c r="P1141" s="22" t="str">
        <f aca="false">IF($B1141="","",IFERROR(INDEX(고객사!$K$5:$K$104,MATCH($B1141,고객사!$A$5:$A$104,0)),0))</f>
        <v/>
      </c>
      <c r="Q1141" s="22" t="str">
        <f aca="false">IF($B1141="","",G1141*P1141)</f>
        <v/>
      </c>
      <c r="R1141" s="22" t="str">
        <f aca="false">IF($B1141="","",O1141-Q1141-L1141)</f>
        <v/>
      </c>
      <c r="S1141" s="21" t="str">
        <f aca="false">IF(OR($B1141="",N(O1141)=0),"",R1141/O1141)</f>
        <v/>
      </c>
      <c r="T1141" s="14"/>
      <c r="U1141" s="19" t="n">
        <f aca="false">IF(OR($B1141="",$A1141=""),0,IF(COUNTIFS($A$5:$A1141,$A1141,$B$5:$B1141,$B1141)=1,1,0))</f>
        <v>0</v>
      </c>
    </row>
    <row r="1142" customFormat="false" ht="15" hidden="false" customHeight="false" outlineLevel="0" collapsed="false">
      <c r="A1142" s="17"/>
      <c r="B1142" s="13"/>
      <c r="C1142" s="20" t="str">
        <f aca="false">IF($B1142="","",IFERROR(INDEX(고객사!$B$5:$B$104,MATCH($B1142,고객사!$A$5:$A$104,0)),"코드 확인"))</f>
        <v/>
      </c>
      <c r="D1142" s="15"/>
      <c r="E1142" s="15"/>
      <c r="F1142" s="16"/>
      <c r="G1142" s="16"/>
      <c r="H1142" s="21" t="str">
        <f aca="false">IF(OR($B1142="",F1142=0),"",G1142/F1142)</f>
        <v/>
      </c>
      <c r="I1142" s="22" t="str">
        <f aca="false">IF($B1142="","",MAX(F1142-G1142,0))</f>
        <v/>
      </c>
      <c r="J1142" s="23" t="str">
        <f aca="false">IF($B1142="","",IFERROR(INDEX(고객사!$G$5:$G$104,MATCH($B1142,고객사!$A$5:$A$104,0)),""))</f>
        <v/>
      </c>
      <c r="K1142" s="16"/>
      <c r="L1142" s="22" t="str">
        <f aca="false">IF($B1142="","",K1142*IFERROR(INDEX(고객사!$L$5:$L$104,MATCH($B1142,고객사!$A$5:$A$104,0)),0))</f>
        <v/>
      </c>
      <c r="M1142" s="23" t="str">
        <f aca="false">IF($B1142="","",IF(AND(J1142="N",G1142&gt;0,K1142=0,IFERROR(INDEX(고객사!$H$5:$H$104,MATCH($B1142,고객사!$A$5:$A$104,0)),"")="자사 차량 운행"),"차량 미배정",""))</f>
        <v/>
      </c>
      <c r="N1142" s="22" t="str">
        <f aca="false">IF($B1142="","",IFERROR(INDEX(고객사!$J$5:$J$104,MATCH($B1142,고객사!$A$5:$A$104,0)),0))</f>
        <v/>
      </c>
      <c r="O1142" s="22" t="str">
        <f aca="false">IF($B1142="","",G1142*N1142)</f>
        <v/>
      </c>
      <c r="P1142" s="22" t="str">
        <f aca="false">IF($B1142="","",IFERROR(INDEX(고객사!$K$5:$K$104,MATCH($B1142,고객사!$A$5:$A$104,0)),0))</f>
        <v/>
      </c>
      <c r="Q1142" s="22" t="str">
        <f aca="false">IF($B1142="","",G1142*P1142)</f>
        <v/>
      </c>
      <c r="R1142" s="22" t="str">
        <f aca="false">IF($B1142="","",O1142-Q1142-L1142)</f>
        <v/>
      </c>
      <c r="S1142" s="21" t="str">
        <f aca="false">IF(OR($B1142="",N(O1142)=0),"",R1142/O1142)</f>
        <v/>
      </c>
      <c r="T1142" s="14"/>
      <c r="U1142" s="19" t="n">
        <f aca="false">IF(OR($B1142="",$A1142=""),0,IF(COUNTIFS($A$5:$A1142,$A1142,$B$5:$B1142,$B1142)=1,1,0))</f>
        <v>0</v>
      </c>
    </row>
    <row r="1143" customFormat="false" ht="15" hidden="false" customHeight="false" outlineLevel="0" collapsed="false">
      <c r="A1143" s="17"/>
      <c r="B1143" s="13"/>
      <c r="C1143" s="20" t="str">
        <f aca="false">IF($B1143="","",IFERROR(INDEX(고객사!$B$5:$B$104,MATCH($B1143,고객사!$A$5:$A$104,0)),"코드 확인"))</f>
        <v/>
      </c>
      <c r="D1143" s="15"/>
      <c r="E1143" s="15"/>
      <c r="F1143" s="16"/>
      <c r="G1143" s="16"/>
      <c r="H1143" s="21" t="str">
        <f aca="false">IF(OR($B1143="",F1143=0),"",G1143/F1143)</f>
        <v/>
      </c>
      <c r="I1143" s="22" t="str">
        <f aca="false">IF($B1143="","",MAX(F1143-G1143,0))</f>
        <v/>
      </c>
      <c r="J1143" s="23" t="str">
        <f aca="false">IF($B1143="","",IFERROR(INDEX(고객사!$G$5:$G$104,MATCH($B1143,고객사!$A$5:$A$104,0)),""))</f>
        <v/>
      </c>
      <c r="K1143" s="16"/>
      <c r="L1143" s="22" t="str">
        <f aca="false">IF($B1143="","",K1143*IFERROR(INDEX(고객사!$L$5:$L$104,MATCH($B1143,고객사!$A$5:$A$104,0)),0))</f>
        <v/>
      </c>
      <c r="M1143" s="23" t="str">
        <f aca="false">IF($B1143="","",IF(AND(J1143="N",G1143&gt;0,K1143=0,IFERROR(INDEX(고객사!$H$5:$H$104,MATCH($B1143,고객사!$A$5:$A$104,0)),"")="자사 차량 운행"),"차량 미배정",""))</f>
        <v/>
      </c>
      <c r="N1143" s="22" t="str">
        <f aca="false">IF($B1143="","",IFERROR(INDEX(고객사!$J$5:$J$104,MATCH($B1143,고객사!$A$5:$A$104,0)),0))</f>
        <v/>
      </c>
      <c r="O1143" s="22" t="str">
        <f aca="false">IF($B1143="","",G1143*N1143)</f>
        <v/>
      </c>
      <c r="P1143" s="22" t="str">
        <f aca="false">IF($B1143="","",IFERROR(INDEX(고객사!$K$5:$K$104,MATCH($B1143,고객사!$A$5:$A$104,0)),0))</f>
        <v/>
      </c>
      <c r="Q1143" s="22" t="str">
        <f aca="false">IF($B1143="","",G1143*P1143)</f>
        <v/>
      </c>
      <c r="R1143" s="22" t="str">
        <f aca="false">IF($B1143="","",O1143-Q1143-L1143)</f>
        <v/>
      </c>
      <c r="S1143" s="21" t="str">
        <f aca="false">IF(OR($B1143="",N(O1143)=0),"",R1143/O1143)</f>
        <v/>
      </c>
      <c r="T1143" s="14"/>
      <c r="U1143" s="19" t="n">
        <f aca="false">IF(OR($B1143="",$A1143=""),0,IF(COUNTIFS($A$5:$A1143,$A1143,$B$5:$B1143,$B1143)=1,1,0))</f>
        <v>0</v>
      </c>
    </row>
    <row r="1144" customFormat="false" ht="15" hidden="false" customHeight="false" outlineLevel="0" collapsed="false">
      <c r="A1144" s="17"/>
      <c r="B1144" s="13"/>
      <c r="C1144" s="20" t="str">
        <f aca="false">IF($B1144="","",IFERROR(INDEX(고객사!$B$5:$B$104,MATCH($B1144,고객사!$A$5:$A$104,0)),"코드 확인"))</f>
        <v/>
      </c>
      <c r="D1144" s="15"/>
      <c r="E1144" s="15"/>
      <c r="F1144" s="16"/>
      <c r="G1144" s="16"/>
      <c r="H1144" s="21" t="str">
        <f aca="false">IF(OR($B1144="",F1144=0),"",G1144/F1144)</f>
        <v/>
      </c>
      <c r="I1144" s="22" t="str">
        <f aca="false">IF($B1144="","",MAX(F1144-G1144,0))</f>
        <v/>
      </c>
      <c r="J1144" s="23" t="str">
        <f aca="false">IF($B1144="","",IFERROR(INDEX(고객사!$G$5:$G$104,MATCH($B1144,고객사!$A$5:$A$104,0)),""))</f>
        <v/>
      </c>
      <c r="K1144" s="16"/>
      <c r="L1144" s="22" t="str">
        <f aca="false">IF($B1144="","",K1144*IFERROR(INDEX(고객사!$L$5:$L$104,MATCH($B1144,고객사!$A$5:$A$104,0)),0))</f>
        <v/>
      </c>
      <c r="M1144" s="23" t="str">
        <f aca="false">IF($B1144="","",IF(AND(J1144="N",G1144&gt;0,K1144=0,IFERROR(INDEX(고객사!$H$5:$H$104,MATCH($B1144,고객사!$A$5:$A$104,0)),"")="자사 차량 운행"),"차량 미배정",""))</f>
        <v/>
      </c>
      <c r="N1144" s="22" t="str">
        <f aca="false">IF($B1144="","",IFERROR(INDEX(고객사!$J$5:$J$104,MATCH($B1144,고객사!$A$5:$A$104,0)),0))</f>
        <v/>
      </c>
      <c r="O1144" s="22" t="str">
        <f aca="false">IF($B1144="","",G1144*N1144)</f>
        <v/>
      </c>
      <c r="P1144" s="22" t="str">
        <f aca="false">IF($B1144="","",IFERROR(INDEX(고객사!$K$5:$K$104,MATCH($B1144,고객사!$A$5:$A$104,0)),0))</f>
        <v/>
      </c>
      <c r="Q1144" s="22" t="str">
        <f aca="false">IF($B1144="","",G1144*P1144)</f>
        <v/>
      </c>
      <c r="R1144" s="22" t="str">
        <f aca="false">IF($B1144="","",O1144-Q1144-L1144)</f>
        <v/>
      </c>
      <c r="S1144" s="21" t="str">
        <f aca="false">IF(OR($B1144="",N(O1144)=0),"",R1144/O1144)</f>
        <v/>
      </c>
      <c r="T1144" s="14"/>
      <c r="U1144" s="19" t="n">
        <f aca="false">IF(OR($B1144="",$A1144=""),0,IF(COUNTIFS($A$5:$A1144,$A1144,$B$5:$B1144,$B1144)=1,1,0))</f>
        <v>0</v>
      </c>
    </row>
    <row r="1145" customFormat="false" ht="15" hidden="false" customHeight="false" outlineLevel="0" collapsed="false">
      <c r="A1145" s="17"/>
      <c r="B1145" s="13"/>
      <c r="C1145" s="20" t="str">
        <f aca="false">IF($B1145="","",IFERROR(INDEX(고객사!$B$5:$B$104,MATCH($B1145,고객사!$A$5:$A$104,0)),"코드 확인"))</f>
        <v/>
      </c>
      <c r="D1145" s="15"/>
      <c r="E1145" s="15"/>
      <c r="F1145" s="16"/>
      <c r="G1145" s="16"/>
      <c r="H1145" s="21" t="str">
        <f aca="false">IF(OR($B1145="",F1145=0),"",G1145/F1145)</f>
        <v/>
      </c>
      <c r="I1145" s="22" t="str">
        <f aca="false">IF($B1145="","",MAX(F1145-G1145,0))</f>
        <v/>
      </c>
      <c r="J1145" s="23" t="str">
        <f aca="false">IF($B1145="","",IFERROR(INDEX(고객사!$G$5:$G$104,MATCH($B1145,고객사!$A$5:$A$104,0)),""))</f>
        <v/>
      </c>
      <c r="K1145" s="16"/>
      <c r="L1145" s="22" t="str">
        <f aca="false">IF($B1145="","",K1145*IFERROR(INDEX(고객사!$L$5:$L$104,MATCH($B1145,고객사!$A$5:$A$104,0)),0))</f>
        <v/>
      </c>
      <c r="M1145" s="23" t="str">
        <f aca="false">IF($B1145="","",IF(AND(J1145="N",G1145&gt;0,K1145=0,IFERROR(INDEX(고객사!$H$5:$H$104,MATCH($B1145,고객사!$A$5:$A$104,0)),"")="자사 차량 운행"),"차량 미배정",""))</f>
        <v/>
      </c>
      <c r="N1145" s="22" t="str">
        <f aca="false">IF($B1145="","",IFERROR(INDEX(고객사!$J$5:$J$104,MATCH($B1145,고객사!$A$5:$A$104,0)),0))</f>
        <v/>
      </c>
      <c r="O1145" s="22" t="str">
        <f aca="false">IF($B1145="","",G1145*N1145)</f>
        <v/>
      </c>
      <c r="P1145" s="22" t="str">
        <f aca="false">IF($B1145="","",IFERROR(INDEX(고객사!$K$5:$K$104,MATCH($B1145,고객사!$A$5:$A$104,0)),0))</f>
        <v/>
      </c>
      <c r="Q1145" s="22" t="str">
        <f aca="false">IF($B1145="","",G1145*P1145)</f>
        <v/>
      </c>
      <c r="R1145" s="22" t="str">
        <f aca="false">IF($B1145="","",O1145-Q1145-L1145)</f>
        <v/>
      </c>
      <c r="S1145" s="21" t="str">
        <f aca="false">IF(OR($B1145="",N(O1145)=0),"",R1145/O1145)</f>
        <v/>
      </c>
      <c r="T1145" s="14"/>
      <c r="U1145" s="19" t="n">
        <f aca="false">IF(OR($B1145="",$A1145=""),0,IF(COUNTIFS($A$5:$A1145,$A1145,$B$5:$B1145,$B1145)=1,1,0))</f>
        <v>0</v>
      </c>
    </row>
    <row r="1146" customFormat="false" ht="15" hidden="false" customHeight="false" outlineLevel="0" collapsed="false">
      <c r="A1146" s="17"/>
      <c r="B1146" s="13"/>
      <c r="C1146" s="20" t="str">
        <f aca="false">IF($B1146="","",IFERROR(INDEX(고객사!$B$5:$B$104,MATCH($B1146,고객사!$A$5:$A$104,0)),"코드 확인"))</f>
        <v/>
      </c>
      <c r="D1146" s="15"/>
      <c r="E1146" s="15"/>
      <c r="F1146" s="16"/>
      <c r="G1146" s="16"/>
      <c r="H1146" s="21" t="str">
        <f aca="false">IF(OR($B1146="",F1146=0),"",G1146/F1146)</f>
        <v/>
      </c>
      <c r="I1146" s="22" t="str">
        <f aca="false">IF($B1146="","",MAX(F1146-G1146,0))</f>
        <v/>
      </c>
      <c r="J1146" s="23" t="str">
        <f aca="false">IF($B1146="","",IFERROR(INDEX(고객사!$G$5:$G$104,MATCH($B1146,고객사!$A$5:$A$104,0)),""))</f>
        <v/>
      </c>
      <c r="K1146" s="16"/>
      <c r="L1146" s="22" t="str">
        <f aca="false">IF($B1146="","",K1146*IFERROR(INDEX(고객사!$L$5:$L$104,MATCH($B1146,고객사!$A$5:$A$104,0)),0))</f>
        <v/>
      </c>
      <c r="M1146" s="23" t="str">
        <f aca="false">IF($B1146="","",IF(AND(J1146="N",G1146&gt;0,K1146=0,IFERROR(INDEX(고객사!$H$5:$H$104,MATCH($B1146,고객사!$A$5:$A$104,0)),"")="자사 차량 운행"),"차량 미배정",""))</f>
        <v/>
      </c>
      <c r="N1146" s="22" t="str">
        <f aca="false">IF($B1146="","",IFERROR(INDEX(고객사!$J$5:$J$104,MATCH($B1146,고객사!$A$5:$A$104,0)),0))</f>
        <v/>
      </c>
      <c r="O1146" s="22" t="str">
        <f aca="false">IF($B1146="","",G1146*N1146)</f>
        <v/>
      </c>
      <c r="P1146" s="22" t="str">
        <f aca="false">IF($B1146="","",IFERROR(INDEX(고객사!$K$5:$K$104,MATCH($B1146,고객사!$A$5:$A$104,0)),0))</f>
        <v/>
      </c>
      <c r="Q1146" s="22" t="str">
        <f aca="false">IF($B1146="","",G1146*P1146)</f>
        <v/>
      </c>
      <c r="R1146" s="22" t="str">
        <f aca="false">IF($B1146="","",O1146-Q1146-L1146)</f>
        <v/>
      </c>
      <c r="S1146" s="21" t="str">
        <f aca="false">IF(OR($B1146="",N(O1146)=0),"",R1146/O1146)</f>
        <v/>
      </c>
      <c r="T1146" s="14"/>
      <c r="U1146" s="19" t="n">
        <f aca="false">IF(OR($B1146="",$A1146=""),0,IF(COUNTIFS($A$5:$A1146,$A1146,$B$5:$B1146,$B1146)=1,1,0))</f>
        <v>0</v>
      </c>
    </row>
    <row r="1147" customFormat="false" ht="15" hidden="false" customHeight="false" outlineLevel="0" collapsed="false">
      <c r="A1147" s="17"/>
      <c r="B1147" s="13"/>
      <c r="C1147" s="20" t="str">
        <f aca="false">IF($B1147="","",IFERROR(INDEX(고객사!$B$5:$B$104,MATCH($B1147,고객사!$A$5:$A$104,0)),"코드 확인"))</f>
        <v/>
      </c>
      <c r="D1147" s="15"/>
      <c r="E1147" s="15"/>
      <c r="F1147" s="16"/>
      <c r="G1147" s="16"/>
      <c r="H1147" s="21" t="str">
        <f aca="false">IF(OR($B1147="",F1147=0),"",G1147/F1147)</f>
        <v/>
      </c>
      <c r="I1147" s="22" t="str">
        <f aca="false">IF($B1147="","",MAX(F1147-G1147,0))</f>
        <v/>
      </c>
      <c r="J1147" s="23" t="str">
        <f aca="false">IF($B1147="","",IFERROR(INDEX(고객사!$G$5:$G$104,MATCH($B1147,고객사!$A$5:$A$104,0)),""))</f>
        <v/>
      </c>
      <c r="K1147" s="16"/>
      <c r="L1147" s="22" t="str">
        <f aca="false">IF($B1147="","",K1147*IFERROR(INDEX(고객사!$L$5:$L$104,MATCH($B1147,고객사!$A$5:$A$104,0)),0))</f>
        <v/>
      </c>
      <c r="M1147" s="23" t="str">
        <f aca="false">IF($B1147="","",IF(AND(J1147="N",G1147&gt;0,K1147=0,IFERROR(INDEX(고객사!$H$5:$H$104,MATCH($B1147,고객사!$A$5:$A$104,0)),"")="자사 차량 운행"),"차량 미배정",""))</f>
        <v/>
      </c>
      <c r="N1147" s="22" t="str">
        <f aca="false">IF($B1147="","",IFERROR(INDEX(고객사!$J$5:$J$104,MATCH($B1147,고객사!$A$5:$A$104,0)),0))</f>
        <v/>
      </c>
      <c r="O1147" s="22" t="str">
        <f aca="false">IF($B1147="","",G1147*N1147)</f>
        <v/>
      </c>
      <c r="P1147" s="22" t="str">
        <f aca="false">IF($B1147="","",IFERROR(INDEX(고객사!$K$5:$K$104,MATCH($B1147,고객사!$A$5:$A$104,0)),0))</f>
        <v/>
      </c>
      <c r="Q1147" s="22" t="str">
        <f aca="false">IF($B1147="","",G1147*P1147)</f>
        <v/>
      </c>
      <c r="R1147" s="22" t="str">
        <f aca="false">IF($B1147="","",O1147-Q1147-L1147)</f>
        <v/>
      </c>
      <c r="S1147" s="21" t="str">
        <f aca="false">IF(OR($B1147="",N(O1147)=0),"",R1147/O1147)</f>
        <v/>
      </c>
      <c r="T1147" s="14"/>
      <c r="U1147" s="19" t="n">
        <f aca="false">IF(OR($B1147="",$A1147=""),0,IF(COUNTIFS($A$5:$A1147,$A1147,$B$5:$B1147,$B1147)=1,1,0))</f>
        <v>0</v>
      </c>
    </row>
    <row r="1148" customFormat="false" ht="15" hidden="false" customHeight="false" outlineLevel="0" collapsed="false">
      <c r="A1148" s="17"/>
      <c r="B1148" s="13"/>
      <c r="C1148" s="20" t="str">
        <f aca="false">IF($B1148="","",IFERROR(INDEX(고객사!$B$5:$B$104,MATCH($B1148,고객사!$A$5:$A$104,0)),"코드 확인"))</f>
        <v/>
      </c>
      <c r="D1148" s="15"/>
      <c r="E1148" s="15"/>
      <c r="F1148" s="16"/>
      <c r="G1148" s="16"/>
      <c r="H1148" s="21" t="str">
        <f aca="false">IF(OR($B1148="",F1148=0),"",G1148/F1148)</f>
        <v/>
      </c>
      <c r="I1148" s="22" t="str">
        <f aca="false">IF($B1148="","",MAX(F1148-G1148,0))</f>
        <v/>
      </c>
      <c r="J1148" s="23" t="str">
        <f aca="false">IF($B1148="","",IFERROR(INDEX(고객사!$G$5:$G$104,MATCH($B1148,고객사!$A$5:$A$104,0)),""))</f>
        <v/>
      </c>
      <c r="K1148" s="16"/>
      <c r="L1148" s="22" t="str">
        <f aca="false">IF($B1148="","",K1148*IFERROR(INDEX(고객사!$L$5:$L$104,MATCH($B1148,고객사!$A$5:$A$104,0)),0))</f>
        <v/>
      </c>
      <c r="M1148" s="23" t="str">
        <f aca="false">IF($B1148="","",IF(AND(J1148="N",G1148&gt;0,K1148=0,IFERROR(INDEX(고객사!$H$5:$H$104,MATCH($B1148,고객사!$A$5:$A$104,0)),"")="자사 차량 운행"),"차량 미배정",""))</f>
        <v/>
      </c>
      <c r="N1148" s="22" t="str">
        <f aca="false">IF($B1148="","",IFERROR(INDEX(고객사!$J$5:$J$104,MATCH($B1148,고객사!$A$5:$A$104,0)),0))</f>
        <v/>
      </c>
      <c r="O1148" s="22" t="str">
        <f aca="false">IF($B1148="","",G1148*N1148)</f>
        <v/>
      </c>
      <c r="P1148" s="22" t="str">
        <f aca="false">IF($B1148="","",IFERROR(INDEX(고객사!$K$5:$K$104,MATCH($B1148,고객사!$A$5:$A$104,0)),0))</f>
        <v/>
      </c>
      <c r="Q1148" s="22" t="str">
        <f aca="false">IF($B1148="","",G1148*P1148)</f>
        <v/>
      </c>
      <c r="R1148" s="22" t="str">
        <f aca="false">IF($B1148="","",O1148-Q1148-L1148)</f>
        <v/>
      </c>
      <c r="S1148" s="21" t="str">
        <f aca="false">IF(OR($B1148="",N(O1148)=0),"",R1148/O1148)</f>
        <v/>
      </c>
      <c r="T1148" s="14"/>
      <c r="U1148" s="19" t="n">
        <f aca="false">IF(OR($B1148="",$A1148=""),0,IF(COUNTIFS($A$5:$A1148,$A1148,$B$5:$B1148,$B1148)=1,1,0))</f>
        <v>0</v>
      </c>
    </row>
    <row r="1149" customFormat="false" ht="15" hidden="false" customHeight="false" outlineLevel="0" collapsed="false">
      <c r="A1149" s="17"/>
      <c r="B1149" s="13"/>
      <c r="C1149" s="20" t="str">
        <f aca="false">IF($B1149="","",IFERROR(INDEX(고객사!$B$5:$B$104,MATCH($B1149,고객사!$A$5:$A$104,0)),"코드 확인"))</f>
        <v/>
      </c>
      <c r="D1149" s="15"/>
      <c r="E1149" s="15"/>
      <c r="F1149" s="16"/>
      <c r="G1149" s="16"/>
      <c r="H1149" s="21" t="str">
        <f aca="false">IF(OR($B1149="",F1149=0),"",G1149/F1149)</f>
        <v/>
      </c>
      <c r="I1149" s="22" t="str">
        <f aca="false">IF($B1149="","",MAX(F1149-G1149,0))</f>
        <v/>
      </c>
      <c r="J1149" s="23" t="str">
        <f aca="false">IF($B1149="","",IFERROR(INDEX(고객사!$G$5:$G$104,MATCH($B1149,고객사!$A$5:$A$104,0)),""))</f>
        <v/>
      </c>
      <c r="K1149" s="16"/>
      <c r="L1149" s="22" t="str">
        <f aca="false">IF($B1149="","",K1149*IFERROR(INDEX(고객사!$L$5:$L$104,MATCH($B1149,고객사!$A$5:$A$104,0)),0))</f>
        <v/>
      </c>
      <c r="M1149" s="23" t="str">
        <f aca="false">IF($B1149="","",IF(AND(J1149="N",G1149&gt;0,K1149=0,IFERROR(INDEX(고객사!$H$5:$H$104,MATCH($B1149,고객사!$A$5:$A$104,0)),"")="자사 차량 운행"),"차량 미배정",""))</f>
        <v/>
      </c>
      <c r="N1149" s="22" t="str">
        <f aca="false">IF($B1149="","",IFERROR(INDEX(고객사!$J$5:$J$104,MATCH($B1149,고객사!$A$5:$A$104,0)),0))</f>
        <v/>
      </c>
      <c r="O1149" s="22" t="str">
        <f aca="false">IF($B1149="","",G1149*N1149)</f>
        <v/>
      </c>
      <c r="P1149" s="22" t="str">
        <f aca="false">IF($B1149="","",IFERROR(INDEX(고객사!$K$5:$K$104,MATCH($B1149,고객사!$A$5:$A$104,0)),0))</f>
        <v/>
      </c>
      <c r="Q1149" s="22" t="str">
        <f aca="false">IF($B1149="","",G1149*P1149)</f>
        <v/>
      </c>
      <c r="R1149" s="22" t="str">
        <f aca="false">IF($B1149="","",O1149-Q1149-L1149)</f>
        <v/>
      </c>
      <c r="S1149" s="21" t="str">
        <f aca="false">IF(OR($B1149="",N(O1149)=0),"",R1149/O1149)</f>
        <v/>
      </c>
      <c r="T1149" s="14"/>
      <c r="U1149" s="19" t="n">
        <f aca="false">IF(OR($B1149="",$A1149=""),0,IF(COUNTIFS($A$5:$A1149,$A1149,$B$5:$B1149,$B1149)=1,1,0))</f>
        <v>0</v>
      </c>
    </row>
    <row r="1150" customFormat="false" ht="15" hidden="false" customHeight="false" outlineLevel="0" collapsed="false">
      <c r="A1150" s="17"/>
      <c r="B1150" s="13"/>
      <c r="C1150" s="20" t="str">
        <f aca="false">IF($B1150="","",IFERROR(INDEX(고객사!$B$5:$B$104,MATCH($B1150,고객사!$A$5:$A$104,0)),"코드 확인"))</f>
        <v/>
      </c>
      <c r="D1150" s="15"/>
      <c r="E1150" s="15"/>
      <c r="F1150" s="16"/>
      <c r="G1150" s="16"/>
      <c r="H1150" s="21" t="str">
        <f aca="false">IF(OR($B1150="",F1150=0),"",G1150/F1150)</f>
        <v/>
      </c>
      <c r="I1150" s="22" t="str">
        <f aca="false">IF($B1150="","",MAX(F1150-G1150,0))</f>
        <v/>
      </c>
      <c r="J1150" s="23" t="str">
        <f aca="false">IF($B1150="","",IFERROR(INDEX(고객사!$G$5:$G$104,MATCH($B1150,고객사!$A$5:$A$104,0)),""))</f>
        <v/>
      </c>
      <c r="K1150" s="16"/>
      <c r="L1150" s="22" t="str">
        <f aca="false">IF($B1150="","",K1150*IFERROR(INDEX(고객사!$L$5:$L$104,MATCH($B1150,고객사!$A$5:$A$104,0)),0))</f>
        <v/>
      </c>
      <c r="M1150" s="23" t="str">
        <f aca="false">IF($B1150="","",IF(AND(J1150="N",G1150&gt;0,K1150=0,IFERROR(INDEX(고객사!$H$5:$H$104,MATCH($B1150,고객사!$A$5:$A$104,0)),"")="자사 차량 운행"),"차량 미배정",""))</f>
        <v/>
      </c>
      <c r="N1150" s="22" t="str">
        <f aca="false">IF($B1150="","",IFERROR(INDEX(고객사!$J$5:$J$104,MATCH($B1150,고객사!$A$5:$A$104,0)),0))</f>
        <v/>
      </c>
      <c r="O1150" s="22" t="str">
        <f aca="false">IF($B1150="","",G1150*N1150)</f>
        <v/>
      </c>
      <c r="P1150" s="22" t="str">
        <f aca="false">IF($B1150="","",IFERROR(INDEX(고객사!$K$5:$K$104,MATCH($B1150,고객사!$A$5:$A$104,0)),0))</f>
        <v/>
      </c>
      <c r="Q1150" s="22" t="str">
        <f aca="false">IF($B1150="","",G1150*P1150)</f>
        <v/>
      </c>
      <c r="R1150" s="22" t="str">
        <f aca="false">IF($B1150="","",O1150-Q1150-L1150)</f>
        <v/>
      </c>
      <c r="S1150" s="21" t="str">
        <f aca="false">IF(OR($B1150="",N(O1150)=0),"",R1150/O1150)</f>
        <v/>
      </c>
      <c r="T1150" s="14"/>
      <c r="U1150" s="19" t="n">
        <f aca="false">IF(OR($B1150="",$A1150=""),0,IF(COUNTIFS($A$5:$A1150,$A1150,$B$5:$B1150,$B1150)=1,1,0))</f>
        <v>0</v>
      </c>
    </row>
    <row r="1151" customFormat="false" ht="15" hidden="false" customHeight="false" outlineLevel="0" collapsed="false">
      <c r="A1151" s="17"/>
      <c r="B1151" s="13"/>
      <c r="C1151" s="20" t="str">
        <f aca="false">IF($B1151="","",IFERROR(INDEX(고객사!$B$5:$B$104,MATCH($B1151,고객사!$A$5:$A$104,0)),"코드 확인"))</f>
        <v/>
      </c>
      <c r="D1151" s="15"/>
      <c r="E1151" s="15"/>
      <c r="F1151" s="16"/>
      <c r="G1151" s="16"/>
      <c r="H1151" s="21" t="str">
        <f aca="false">IF(OR($B1151="",F1151=0),"",G1151/F1151)</f>
        <v/>
      </c>
      <c r="I1151" s="22" t="str">
        <f aca="false">IF($B1151="","",MAX(F1151-G1151,0))</f>
        <v/>
      </c>
      <c r="J1151" s="23" t="str">
        <f aca="false">IF($B1151="","",IFERROR(INDEX(고객사!$G$5:$G$104,MATCH($B1151,고객사!$A$5:$A$104,0)),""))</f>
        <v/>
      </c>
      <c r="K1151" s="16"/>
      <c r="L1151" s="22" t="str">
        <f aca="false">IF($B1151="","",K1151*IFERROR(INDEX(고객사!$L$5:$L$104,MATCH($B1151,고객사!$A$5:$A$104,0)),0))</f>
        <v/>
      </c>
      <c r="M1151" s="23" t="str">
        <f aca="false">IF($B1151="","",IF(AND(J1151="N",G1151&gt;0,K1151=0,IFERROR(INDEX(고객사!$H$5:$H$104,MATCH($B1151,고객사!$A$5:$A$104,0)),"")="자사 차량 운행"),"차량 미배정",""))</f>
        <v/>
      </c>
      <c r="N1151" s="22" t="str">
        <f aca="false">IF($B1151="","",IFERROR(INDEX(고객사!$J$5:$J$104,MATCH($B1151,고객사!$A$5:$A$104,0)),0))</f>
        <v/>
      </c>
      <c r="O1151" s="22" t="str">
        <f aca="false">IF($B1151="","",G1151*N1151)</f>
        <v/>
      </c>
      <c r="P1151" s="22" t="str">
        <f aca="false">IF($B1151="","",IFERROR(INDEX(고객사!$K$5:$K$104,MATCH($B1151,고객사!$A$5:$A$104,0)),0))</f>
        <v/>
      </c>
      <c r="Q1151" s="22" t="str">
        <f aca="false">IF($B1151="","",G1151*P1151)</f>
        <v/>
      </c>
      <c r="R1151" s="22" t="str">
        <f aca="false">IF($B1151="","",O1151-Q1151-L1151)</f>
        <v/>
      </c>
      <c r="S1151" s="21" t="str">
        <f aca="false">IF(OR($B1151="",N(O1151)=0),"",R1151/O1151)</f>
        <v/>
      </c>
      <c r="T1151" s="14"/>
      <c r="U1151" s="19" t="n">
        <f aca="false">IF(OR($B1151="",$A1151=""),0,IF(COUNTIFS($A$5:$A1151,$A1151,$B$5:$B1151,$B1151)=1,1,0))</f>
        <v>0</v>
      </c>
    </row>
    <row r="1152" customFormat="false" ht="15" hidden="false" customHeight="false" outlineLevel="0" collapsed="false">
      <c r="A1152" s="17"/>
      <c r="B1152" s="13"/>
      <c r="C1152" s="20" t="str">
        <f aca="false">IF($B1152="","",IFERROR(INDEX(고객사!$B$5:$B$104,MATCH($B1152,고객사!$A$5:$A$104,0)),"코드 확인"))</f>
        <v/>
      </c>
      <c r="D1152" s="15"/>
      <c r="E1152" s="15"/>
      <c r="F1152" s="16"/>
      <c r="G1152" s="16"/>
      <c r="H1152" s="21" t="str">
        <f aca="false">IF(OR($B1152="",F1152=0),"",G1152/F1152)</f>
        <v/>
      </c>
      <c r="I1152" s="22" t="str">
        <f aca="false">IF($B1152="","",MAX(F1152-G1152,0))</f>
        <v/>
      </c>
      <c r="J1152" s="23" t="str">
        <f aca="false">IF($B1152="","",IFERROR(INDEX(고객사!$G$5:$G$104,MATCH($B1152,고객사!$A$5:$A$104,0)),""))</f>
        <v/>
      </c>
      <c r="K1152" s="16"/>
      <c r="L1152" s="22" t="str">
        <f aca="false">IF($B1152="","",K1152*IFERROR(INDEX(고객사!$L$5:$L$104,MATCH($B1152,고객사!$A$5:$A$104,0)),0))</f>
        <v/>
      </c>
      <c r="M1152" s="23" t="str">
        <f aca="false">IF($B1152="","",IF(AND(J1152="N",G1152&gt;0,K1152=0,IFERROR(INDEX(고객사!$H$5:$H$104,MATCH($B1152,고객사!$A$5:$A$104,0)),"")="자사 차량 운행"),"차량 미배정",""))</f>
        <v/>
      </c>
      <c r="N1152" s="22" t="str">
        <f aca="false">IF($B1152="","",IFERROR(INDEX(고객사!$J$5:$J$104,MATCH($B1152,고객사!$A$5:$A$104,0)),0))</f>
        <v/>
      </c>
      <c r="O1152" s="22" t="str">
        <f aca="false">IF($B1152="","",G1152*N1152)</f>
        <v/>
      </c>
      <c r="P1152" s="22" t="str">
        <f aca="false">IF($B1152="","",IFERROR(INDEX(고객사!$K$5:$K$104,MATCH($B1152,고객사!$A$5:$A$104,0)),0))</f>
        <v/>
      </c>
      <c r="Q1152" s="22" t="str">
        <f aca="false">IF($B1152="","",G1152*P1152)</f>
        <v/>
      </c>
      <c r="R1152" s="22" t="str">
        <f aca="false">IF($B1152="","",O1152-Q1152-L1152)</f>
        <v/>
      </c>
      <c r="S1152" s="21" t="str">
        <f aca="false">IF(OR($B1152="",N(O1152)=0),"",R1152/O1152)</f>
        <v/>
      </c>
      <c r="T1152" s="14"/>
      <c r="U1152" s="19" t="n">
        <f aca="false">IF(OR($B1152="",$A1152=""),0,IF(COUNTIFS($A$5:$A1152,$A1152,$B$5:$B1152,$B1152)=1,1,0))</f>
        <v>0</v>
      </c>
    </row>
    <row r="1153" customFormat="false" ht="15" hidden="false" customHeight="false" outlineLevel="0" collapsed="false">
      <c r="A1153" s="17"/>
      <c r="B1153" s="13"/>
      <c r="C1153" s="20" t="str">
        <f aca="false">IF($B1153="","",IFERROR(INDEX(고객사!$B$5:$B$104,MATCH($B1153,고객사!$A$5:$A$104,0)),"코드 확인"))</f>
        <v/>
      </c>
      <c r="D1153" s="15"/>
      <c r="E1153" s="15"/>
      <c r="F1153" s="16"/>
      <c r="G1153" s="16"/>
      <c r="H1153" s="21" t="str">
        <f aca="false">IF(OR($B1153="",F1153=0),"",G1153/F1153)</f>
        <v/>
      </c>
      <c r="I1153" s="22" t="str">
        <f aca="false">IF($B1153="","",MAX(F1153-G1153,0))</f>
        <v/>
      </c>
      <c r="J1153" s="23" t="str">
        <f aca="false">IF($B1153="","",IFERROR(INDEX(고객사!$G$5:$G$104,MATCH($B1153,고객사!$A$5:$A$104,0)),""))</f>
        <v/>
      </c>
      <c r="K1153" s="16"/>
      <c r="L1153" s="22" t="str">
        <f aca="false">IF($B1153="","",K1153*IFERROR(INDEX(고객사!$L$5:$L$104,MATCH($B1153,고객사!$A$5:$A$104,0)),0))</f>
        <v/>
      </c>
      <c r="M1153" s="23" t="str">
        <f aca="false">IF($B1153="","",IF(AND(J1153="N",G1153&gt;0,K1153=0,IFERROR(INDEX(고객사!$H$5:$H$104,MATCH($B1153,고객사!$A$5:$A$104,0)),"")="자사 차량 운행"),"차량 미배정",""))</f>
        <v/>
      </c>
      <c r="N1153" s="22" t="str">
        <f aca="false">IF($B1153="","",IFERROR(INDEX(고객사!$J$5:$J$104,MATCH($B1153,고객사!$A$5:$A$104,0)),0))</f>
        <v/>
      </c>
      <c r="O1153" s="22" t="str">
        <f aca="false">IF($B1153="","",G1153*N1153)</f>
        <v/>
      </c>
      <c r="P1153" s="22" t="str">
        <f aca="false">IF($B1153="","",IFERROR(INDEX(고객사!$K$5:$K$104,MATCH($B1153,고객사!$A$5:$A$104,0)),0))</f>
        <v/>
      </c>
      <c r="Q1153" s="22" t="str">
        <f aca="false">IF($B1153="","",G1153*P1153)</f>
        <v/>
      </c>
      <c r="R1153" s="22" t="str">
        <f aca="false">IF($B1153="","",O1153-Q1153-L1153)</f>
        <v/>
      </c>
      <c r="S1153" s="21" t="str">
        <f aca="false">IF(OR($B1153="",N(O1153)=0),"",R1153/O1153)</f>
        <v/>
      </c>
      <c r="T1153" s="14"/>
      <c r="U1153" s="19" t="n">
        <f aca="false">IF(OR($B1153="",$A1153=""),0,IF(COUNTIFS($A$5:$A1153,$A1153,$B$5:$B1153,$B1153)=1,1,0))</f>
        <v>0</v>
      </c>
    </row>
    <row r="1154" customFormat="false" ht="15" hidden="false" customHeight="false" outlineLevel="0" collapsed="false">
      <c r="A1154" s="17"/>
      <c r="B1154" s="13"/>
      <c r="C1154" s="20" t="str">
        <f aca="false">IF($B1154="","",IFERROR(INDEX(고객사!$B$5:$B$104,MATCH($B1154,고객사!$A$5:$A$104,0)),"코드 확인"))</f>
        <v/>
      </c>
      <c r="D1154" s="15"/>
      <c r="E1154" s="15"/>
      <c r="F1154" s="16"/>
      <c r="G1154" s="16"/>
      <c r="H1154" s="21" t="str">
        <f aca="false">IF(OR($B1154="",F1154=0),"",G1154/F1154)</f>
        <v/>
      </c>
      <c r="I1154" s="22" t="str">
        <f aca="false">IF($B1154="","",MAX(F1154-G1154,0))</f>
        <v/>
      </c>
      <c r="J1154" s="23" t="str">
        <f aca="false">IF($B1154="","",IFERROR(INDEX(고객사!$G$5:$G$104,MATCH($B1154,고객사!$A$5:$A$104,0)),""))</f>
        <v/>
      </c>
      <c r="K1154" s="16"/>
      <c r="L1154" s="22" t="str">
        <f aca="false">IF($B1154="","",K1154*IFERROR(INDEX(고객사!$L$5:$L$104,MATCH($B1154,고객사!$A$5:$A$104,0)),0))</f>
        <v/>
      </c>
      <c r="M1154" s="23" t="str">
        <f aca="false">IF($B1154="","",IF(AND(J1154="N",G1154&gt;0,K1154=0,IFERROR(INDEX(고객사!$H$5:$H$104,MATCH($B1154,고객사!$A$5:$A$104,0)),"")="자사 차량 운행"),"차량 미배정",""))</f>
        <v/>
      </c>
      <c r="N1154" s="22" t="str">
        <f aca="false">IF($B1154="","",IFERROR(INDEX(고객사!$J$5:$J$104,MATCH($B1154,고객사!$A$5:$A$104,0)),0))</f>
        <v/>
      </c>
      <c r="O1154" s="22" t="str">
        <f aca="false">IF($B1154="","",G1154*N1154)</f>
        <v/>
      </c>
      <c r="P1154" s="22" t="str">
        <f aca="false">IF($B1154="","",IFERROR(INDEX(고객사!$K$5:$K$104,MATCH($B1154,고객사!$A$5:$A$104,0)),0))</f>
        <v/>
      </c>
      <c r="Q1154" s="22" t="str">
        <f aca="false">IF($B1154="","",G1154*P1154)</f>
        <v/>
      </c>
      <c r="R1154" s="22" t="str">
        <f aca="false">IF($B1154="","",O1154-Q1154-L1154)</f>
        <v/>
      </c>
      <c r="S1154" s="21" t="str">
        <f aca="false">IF(OR($B1154="",N(O1154)=0),"",R1154/O1154)</f>
        <v/>
      </c>
      <c r="T1154" s="14"/>
      <c r="U1154" s="19" t="n">
        <f aca="false">IF(OR($B1154="",$A1154=""),0,IF(COUNTIFS($A$5:$A1154,$A1154,$B$5:$B1154,$B1154)=1,1,0))</f>
        <v>0</v>
      </c>
    </row>
    <row r="1155" customFormat="false" ht="15" hidden="false" customHeight="false" outlineLevel="0" collapsed="false">
      <c r="A1155" s="17"/>
      <c r="B1155" s="13"/>
      <c r="C1155" s="20" t="str">
        <f aca="false">IF($B1155="","",IFERROR(INDEX(고객사!$B$5:$B$104,MATCH($B1155,고객사!$A$5:$A$104,0)),"코드 확인"))</f>
        <v/>
      </c>
      <c r="D1155" s="15"/>
      <c r="E1155" s="15"/>
      <c r="F1155" s="16"/>
      <c r="G1155" s="16"/>
      <c r="H1155" s="21" t="str">
        <f aca="false">IF(OR($B1155="",F1155=0),"",G1155/F1155)</f>
        <v/>
      </c>
      <c r="I1155" s="22" t="str">
        <f aca="false">IF($B1155="","",MAX(F1155-G1155,0))</f>
        <v/>
      </c>
      <c r="J1155" s="23" t="str">
        <f aca="false">IF($B1155="","",IFERROR(INDEX(고객사!$G$5:$G$104,MATCH($B1155,고객사!$A$5:$A$104,0)),""))</f>
        <v/>
      </c>
      <c r="K1155" s="16"/>
      <c r="L1155" s="22" t="str">
        <f aca="false">IF($B1155="","",K1155*IFERROR(INDEX(고객사!$L$5:$L$104,MATCH($B1155,고객사!$A$5:$A$104,0)),0))</f>
        <v/>
      </c>
      <c r="M1155" s="23" t="str">
        <f aca="false">IF($B1155="","",IF(AND(J1155="N",G1155&gt;0,K1155=0,IFERROR(INDEX(고객사!$H$5:$H$104,MATCH($B1155,고객사!$A$5:$A$104,0)),"")="자사 차량 운행"),"차량 미배정",""))</f>
        <v/>
      </c>
      <c r="N1155" s="22" t="str">
        <f aca="false">IF($B1155="","",IFERROR(INDEX(고객사!$J$5:$J$104,MATCH($B1155,고객사!$A$5:$A$104,0)),0))</f>
        <v/>
      </c>
      <c r="O1155" s="22" t="str">
        <f aca="false">IF($B1155="","",G1155*N1155)</f>
        <v/>
      </c>
      <c r="P1155" s="22" t="str">
        <f aca="false">IF($B1155="","",IFERROR(INDEX(고객사!$K$5:$K$104,MATCH($B1155,고객사!$A$5:$A$104,0)),0))</f>
        <v/>
      </c>
      <c r="Q1155" s="22" t="str">
        <f aca="false">IF($B1155="","",G1155*P1155)</f>
        <v/>
      </c>
      <c r="R1155" s="22" t="str">
        <f aca="false">IF($B1155="","",O1155-Q1155-L1155)</f>
        <v/>
      </c>
      <c r="S1155" s="21" t="str">
        <f aca="false">IF(OR($B1155="",N(O1155)=0),"",R1155/O1155)</f>
        <v/>
      </c>
      <c r="T1155" s="14"/>
      <c r="U1155" s="19" t="n">
        <f aca="false">IF(OR($B1155="",$A1155=""),0,IF(COUNTIFS($A$5:$A1155,$A1155,$B$5:$B1155,$B1155)=1,1,0))</f>
        <v>0</v>
      </c>
    </row>
    <row r="1156" customFormat="false" ht="15" hidden="false" customHeight="false" outlineLevel="0" collapsed="false">
      <c r="A1156" s="17"/>
      <c r="B1156" s="13"/>
      <c r="C1156" s="20" t="str">
        <f aca="false">IF($B1156="","",IFERROR(INDEX(고객사!$B$5:$B$104,MATCH($B1156,고객사!$A$5:$A$104,0)),"코드 확인"))</f>
        <v/>
      </c>
      <c r="D1156" s="15"/>
      <c r="E1156" s="15"/>
      <c r="F1156" s="16"/>
      <c r="G1156" s="16"/>
      <c r="H1156" s="21" t="str">
        <f aca="false">IF(OR($B1156="",F1156=0),"",G1156/F1156)</f>
        <v/>
      </c>
      <c r="I1156" s="22" t="str">
        <f aca="false">IF($B1156="","",MAX(F1156-G1156,0))</f>
        <v/>
      </c>
      <c r="J1156" s="23" t="str">
        <f aca="false">IF($B1156="","",IFERROR(INDEX(고객사!$G$5:$G$104,MATCH($B1156,고객사!$A$5:$A$104,0)),""))</f>
        <v/>
      </c>
      <c r="K1156" s="16"/>
      <c r="L1156" s="22" t="str">
        <f aca="false">IF($B1156="","",K1156*IFERROR(INDEX(고객사!$L$5:$L$104,MATCH($B1156,고객사!$A$5:$A$104,0)),0))</f>
        <v/>
      </c>
      <c r="M1156" s="23" t="str">
        <f aca="false">IF($B1156="","",IF(AND(J1156="N",G1156&gt;0,K1156=0,IFERROR(INDEX(고객사!$H$5:$H$104,MATCH($B1156,고객사!$A$5:$A$104,0)),"")="자사 차량 운행"),"차량 미배정",""))</f>
        <v/>
      </c>
      <c r="N1156" s="22" t="str">
        <f aca="false">IF($B1156="","",IFERROR(INDEX(고객사!$J$5:$J$104,MATCH($B1156,고객사!$A$5:$A$104,0)),0))</f>
        <v/>
      </c>
      <c r="O1156" s="22" t="str">
        <f aca="false">IF($B1156="","",G1156*N1156)</f>
        <v/>
      </c>
      <c r="P1156" s="22" t="str">
        <f aca="false">IF($B1156="","",IFERROR(INDEX(고객사!$K$5:$K$104,MATCH($B1156,고객사!$A$5:$A$104,0)),0))</f>
        <v/>
      </c>
      <c r="Q1156" s="22" t="str">
        <f aca="false">IF($B1156="","",G1156*P1156)</f>
        <v/>
      </c>
      <c r="R1156" s="22" t="str">
        <f aca="false">IF($B1156="","",O1156-Q1156-L1156)</f>
        <v/>
      </c>
      <c r="S1156" s="21" t="str">
        <f aca="false">IF(OR($B1156="",N(O1156)=0),"",R1156/O1156)</f>
        <v/>
      </c>
      <c r="T1156" s="14"/>
      <c r="U1156" s="19" t="n">
        <f aca="false">IF(OR($B1156="",$A1156=""),0,IF(COUNTIFS($A$5:$A1156,$A1156,$B$5:$B1156,$B1156)=1,1,0))</f>
        <v>0</v>
      </c>
    </row>
    <row r="1157" customFormat="false" ht="15" hidden="false" customHeight="false" outlineLevel="0" collapsed="false">
      <c r="A1157" s="17"/>
      <c r="B1157" s="13"/>
      <c r="C1157" s="20" t="str">
        <f aca="false">IF($B1157="","",IFERROR(INDEX(고객사!$B$5:$B$104,MATCH($B1157,고객사!$A$5:$A$104,0)),"코드 확인"))</f>
        <v/>
      </c>
      <c r="D1157" s="15"/>
      <c r="E1157" s="15"/>
      <c r="F1157" s="16"/>
      <c r="G1157" s="16"/>
      <c r="H1157" s="21" t="str">
        <f aca="false">IF(OR($B1157="",F1157=0),"",G1157/F1157)</f>
        <v/>
      </c>
      <c r="I1157" s="22" t="str">
        <f aca="false">IF($B1157="","",MAX(F1157-G1157,0))</f>
        <v/>
      </c>
      <c r="J1157" s="23" t="str">
        <f aca="false">IF($B1157="","",IFERROR(INDEX(고객사!$G$5:$G$104,MATCH($B1157,고객사!$A$5:$A$104,0)),""))</f>
        <v/>
      </c>
      <c r="K1157" s="16"/>
      <c r="L1157" s="22" t="str">
        <f aca="false">IF($B1157="","",K1157*IFERROR(INDEX(고객사!$L$5:$L$104,MATCH($B1157,고객사!$A$5:$A$104,0)),0))</f>
        <v/>
      </c>
      <c r="M1157" s="23" t="str">
        <f aca="false">IF($B1157="","",IF(AND(J1157="N",G1157&gt;0,K1157=0,IFERROR(INDEX(고객사!$H$5:$H$104,MATCH($B1157,고객사!$A$5:$A$104,0)),"")="자사 차량 운행"),"차량 미배정",""))</f>
        <v/>
      </c>
      <c r="N1157" s="22" t="str">
        <f aca="false">IF($B1157="","",IFERROR(INDEX(고객사!$J$5:$J$104,MATCH($B1157,고객사!$A$5:$A$104,0)),0))</f>
        <v/>
      </c>
      <c r="O1157" s="22" t="str">
        <f aca="false">IF($B1157="","",G1157*N1157)</f>
        <v/>
      </c>
      <c r="P1157" s="22" t="str">
        <f aca="false">IF($B1157="","",IFERROR(INDEX(고객사!$K$5:$K$104,MATCH($B1157,고객사!$A$5:$A$104,0)),0))</f>
        <v/>
      </c>
      <c r="Q1157" s="22" t="str">
        <f aca="false">IF($B1157="","",G1157*P1157)</f>
        <v/>
      </c>
      <c r="R1157" s="22" t="str">
        <f aca="false">IF($B1157="","",O1157-Q1157-L1157)</f>
        <v/>
      </c>
      <c r="S1157" s="21" t="str">
        <f aca="false">IF(OR($B1157="",N(O1157)=0),"",R1157/O1157)</f>
        <v/>
      </c>
      <c r="T1157" s="14"/>
      <c r="U1157" s="19" t="n">
        <f aca="false">IF(OR($B1157="",$A1157=""),0,IF(COUNTIFS($A$5:$A1157,$A1157,$B$5:$B1157,$B1157)=1,1,0))</f>
        <v>0</v>
      </c>
    </row>
    <row r="1158" customFormat="false" ht="15" hidden="false" customHeight="false" outlineLevel="0" collapsed="false">
      <c r="A1158" s="17"/>
      <c r="B1158" s="13"/>
      <c r="C1158" s="20" t="str">
        <f aca="false">IF($B1158="","",IFERROR(INDEX(고객사!$B$5:$B$104,MATCH($B1158,고객사!$A$5:$A$104,0)),"코드 확인"))</f>
        <v/>
      </c>
      <c r="D1158" s="15"/>
      <c r="E1158" s="15"/>
      <c r="F1158" s="16"/>
      <c r="G1158" s="16"/>
      <c r="H1158" s="21" t="str">
        <f aca="false">IF(OR($B1158="",F1158=0),"",G1158/F1158)</f>
        <v/>
      </c>
      <c r="I1158" s="22" t="str">
        <f aca="false">IF($B1158="","",MAX(F1158-G1158,0))</f>
        <v/>
      </c>
      <c r="J1158" s="23" t="str">
        <f aca="false">IF($B1158="","",IFERROR(INDEX(고객사!$G$5:$G$104,MATCH($B1158,고객사!$A$5:$A$104,0)),""))</f>
        <v/>
      </c>
      <c r="K1158" s="16"/>
      <c r="L1158" s="22" t="str">
        <f aca="false">IF($B1158="","",K1158*IFERROR(INDEX(고객사!$L$5:$L$104,MATCH($B1158,고객사!$A$5:$A$104,0)),0))</f>
        <v/>
      </c>
      <c r="M1158" s="23" t="str">
        <f aca="false">IF($B1158="","",IF(AND(J1158="N",G1158&gt;0,K1158=0,IFERROR(INDEX(고객사!$H$5:$H$104,MATCH($B1158,고객사!$A$5:$A$104,0)),"")="자사 차량 운행"),"차량 미배정",""))</f>
        <v/>
      </c>
      <c r="N1158" s="22" t="str">
        <f aca="false">IF($B1158="","",IFERROR(INDEX(고객사!$J$5:$J$104,MATCH($B1158,고객사!$A$5:$A$104,0)),0))</f>
        <v/>
      </c>
      <c r="O1158" s="22" t="str">
        <f aca="false">IF($B1158="","",G1158*N1158)</f>
        <v/>
      </c>
      <c r="P1158" s="22" t="str">
        <f aca="false">IF($B1158="","",IFERROR(INDEX(고객사!$K$5:$K$104,MATCH($B1158,고객사!$A$5:$A$104,0)),0))</f>
        <v/>
      </c>
      <c r="Q1158" s="22" t="str">
        <f aca="false">IF($B1158="","",G1158*P1158)</f>
        <v/>
      </c>
      <c r="R1158" s="22" t="str">
        <f aca="false">IF($B1158="","",O1158-Q1158-L1158)</f>
        <v/>
      </c>
      <c r="S1158" s="21" t="str">
        <f aca="false">IF(OR($B1158="",N(O1158)=0),"",R1158/O1158)</f>
        <v/>
      </c>
      <c r="T1158" s="14"/>
      <c r="U1158" s="19" t="n">
        <f aca="false">IF(OR($B1158="",$A1158=""),0,IF(COUNTIFS($A$5:$A1158,$A1158,$B$5:$B1158,$B1158)=1,1,0))</f>
        <v>0</v>
      </c>
    </row>
    <row r="1159" customFormat="false" ht="15" hidden="false" customHeight="false" outlineLevel="0" collapsed="false">
      <c r="A1159" s="17"/>
      <c r="B1159" s="13"/>
      <c r="C1159" s="20" t="str">
        <f aca="false">IF($B1159="","",IFERROR(INDEX(고객사!$B$5:$B$104,MATCH($B1159,고객사!$A$5:$A$104,0)),"코드 확인"))</f>
        <v/>
      </c>
      <c r="D1159" s="15"/>
      <c r="E1159" s="15"/>
      <c r="F1159" s="16"/>
      <c r="G1159" s="16"/>
      <c r="H1159" s="21" t="str">
        <f aca="false">IF(OR($B1159="",F1159=0),"",G1159/F1159)</f>
        <v/>
      </c>
      <c r="I1159" s="22" t="str">
        <f aca="false">IF($B1159="","",MAX(F1159-G1159,0))</f>
        <v/>
      </c>
      <c r="J1159" s="23" t="str">
        <f aca="false">IF($B1159="","",IFERROR(INDEX(고객사!$G$5:$G$104,MATCH($B1159,고객사!$A$5:$A$104,0)),""))</f>
        <v/>
      </c>
      <c r="K1159" s="16"/>
      <c r="L1159" s="22" t="str">
        <f aca="false">IF($B1159="","",K1159*IFERROR(INDEX(고객사!$L$5:$L$104,MATCH($B1159,고객사!$A$5:$A$104,0)),0))</f>
        <v/>
      </c>
      <c r="M1159" s="23" t="str">
        <f aca="false">IF($B1159="","",IF(AND(J1159="N",G1159&gt;0,K1159=0,IFERROR(INDEX(고객사!$H$5:$H$104,MATCH($B1159,고객사!$A$5:$A$104,0)),"")="자사 차량 운행"),"차량 미배정",""))</f>
        <v/>
      </c>
      <c r="N1159" s="22" t="str">
        <f aca="false">IF($B1159="","",IFERROR(INDEX(고객사!$J$5:$J$104,MATCH($B1159,고객사!$A$5:$A$104,0)),0))</f>
        <v/>
      </c>
      <c r="O1159" s="22" t="str">
        <f aca="false">IF($B1159="","",G1159*N1159)</f>
        <v/>
      </c>
      <c r="P1159" s="22" t="str">
        <f aca="false">IF($B1159="","",IFERROR(INDEX(고객사!$K$5:$K$104,MATCH($B1159,고객사!$A$5:$A$104,0)),0))</f>
        <v/>
      </c>
      <c r="Q1159" s="22" t="str">
        <f aca="false">IF($B1159="","",G1159*P1159)</f>
        <v/>
      </c>
      <c r="R1159" s="22" t="str">
        <f aca="false">IF($B1159="","",O1159-Q1159-L1159)</f>
        <v/>
      </c>
      <c r="S1159" s="21" t="str">
        <f aca="false">IF(OR($B1159="",N(O1159)=0),"",R1159/O1159)</f>
        <v/>
      </c>
      <c r="T1159" s="14"/>
      <c r="U1159" s="19" t="n">
        <f aca="false">IF(OR($B1159="",$A1159=""),0,IF(COUNTIFS($A$5:$A1159,$A1159,$B$5:$B1159,$B1159)=1,1,0))</f>
        <v>0</v>
      </c>
    </row>
    <row r="1160" customFormat="false" ht="15" hidden="false" customHeight="false" outlineLevel="0" collapsed="false">
      <c r="A1160" s="17"/>
      <c r="B1160" s="13"/>
      <c r="C1160" s="20" t="str">
        <f aca="false">IF($B1160="","",IFERROR(INDEX(고객사!$B$5:$B$104,MATCH($B1160,고객사!$A$5:$A$104,0)),"코드 확인"))</f>
        <v/>
      </c>
      <c r="D1160" s="15"/>
      <c r="E1160" s="15"/>
      <c r="F1160" s="16"/>
      <c r="G1160" s="16"/>
      <c r="H1160" s="21" t="str">
        <f aca="false">IF(OR($B1160="",F1160=0),"",G1160/F1160)</f>
        <v/>
      </c>
      <c r="I1160" s="22" t="str">
        <f aca="false">IF($B1160="","",MAX(F1160-G1160,0))</f>
        <v/>
      </c>
      <c r="J1160" s="23" t="str">
        <f aca="false">IF($B1160="","",IFERROR(INDEX(고객사!$G$5:$G$104,MATCH($B1160,고객사!$A$5:$A$104,0)),""))</f>
        <v/>
      </c>
      <c r="K1160" s="16"/>
      <c r="L1160" s="22" t="str">
        <f aca="false">IF($B1160="","",K1160*IFERROR(INDEX(고객사!$L$5:$L$104,MATCH($B1160,고객사!$A$5:$A$104,0)),0))</f>
        <v/>
      </c>
      <c r="M1160" s="23" t="str">
        <f aca="false">IF($B1160="","",IF(AND(J1160="N",G1160&gt;0,K1160=0,IFERROR(INDEX(고객사!$H$5:$H$104,MATCH($B1160,고객사!$A$5:$A$104,0)),"")="자사 차량 운행"),"차량 미배정",""))</f>
        <v/>
      </c>
      <c r="N1160" s="22" t="str">
        <f aca="false">IF($B1160="","",IFERROR(INDEX(고객사!$J$5:$J$104,MATCH($B1160,고객사!$A$5:$A$104,0)),0))</f>
        <v/>
      </c>
      <c r="O1160" s="22" t="str">
        <f aca="false">IF($B1160="","",G1160*N1160)</f>
        <v/>
      </c>
      <c r="P1160" s="22" t="str">
        <f aca="false">IF($B1160="","",IFERROR(INDEX(고객사!$K$5:$K$104,MATCH($B1160,고객사!$A$5:$A$104,0)),0))</f>
        <v/>
      </c>
      <c r="Q1160" s="22" t="str">
        <f aca="false">IF($B1160="","",G1160*P1160)</f>
        <v/>
      </c>
      <c r="R1160" s="22" t="str">
        <f aca="false">IF($B1160="","",O1160-Q1160-L1160)</f>
        <v/>
      </c>
      <c r="S1160" s="21" t="str">
        <f aca="false">IF(OR($B1160="",N(O1160)=0),"",R1160/O1160)</f>
        <v/>
      </c>
      <c r="T1160" s="14"/>
      <c r="U1160" s="19" t="n">
        <f aca="false">IF(OR($B1160="",$A1160=""),0,IF(COUNTIFS($A$5:$A1160,$A1160,$B$5:$B1160,$B1160)=1,1,0))</f>
        <v>0</v>
      </c>
    </row>
    <row r="1161" customFormat="false" ht="15" hidden="false" customHeight="false" outlineLevel="0" collapsed="false">
      <c r="A1161" s="17"/>
      <c r="B1161" s="13"/>
      <c r="C1161" s="20" t="str">
        <f aca="false">IF($B1161="","",IFERROR(INDEX(고객사!$B$5:$B$104,MATCH($B1161,고객사!$A$5:$A$104,0)),"코드 확인"))</f>
        <v/>
      </c>
      <c r="D1161" s="15"/>
      <c r="E1161" s="15"/>
      <c r="F1161" s="16"/>
      <c r="G1161" s="16"/>
      <c r="H1161" s="21" t="str">
        <f aca="false">IF(OR($B1161="",F1161=0),"",G1161/F1161)</f>
        <v/>
      </c>
      <c r="I1161" s="22" t="str">
        <f aca="false">IF($B1161="","",MAX(F1161-G1161,0))</f>
        <v/>
      </c>
      <c r="J1161" s="23" t="str">
        <f aca="false">IF($B1161="","",IFERROR(INDEX(고객사!$G$5:$G$104,MATCH($B1161,고객사!$A$5:$A$104,0)),""))</f>
        <v/>
      </c>
      <c r="K1161" s="16"/>
      <c r="L1161" s="22" t="str">
        <f aca="false">IF($B1161="","",K1161*IFERROR(INDEX(고객사!$L$5:$L$104,MATCH($B1161,고객사!$A$5:$A$104,0)),0))</f>
        <v/>
      </c>
      <c r="M1161" s="23" t="str">
        <f aca="false">IF($B1161="","",IF(AND(J1161="N",G1161&gt;0,K1161=0,IFERROR(INDEX(고객사!$H$5:$H$104,MATCH($B1161,고객사!$A$5:$A$104,0)),"")="자사 차량 운행"),"차량 미배정",""))</f>
        <v/>
      </c>
      <c r="N1161" s="22" t="str">
        <f aca="false">IF($B1161="","",IFERROR(INDEX(고객사!$J$5:$J$104,MATCH($B1161,고객사!$A$5:$A$104,0)),0))</f>
        <v/>
      </c>
      <c r="O1161" s="22" t="str">
        <f aca="false">IF($B1161="","",G1161*N1161)</f>
        <v/>
      </c>
      <c r="P1161" s="22" t="str">
        <f aca="false">IF($B1161="","",IFERROR(INDEX(고객사!$K$5:$K$104,MATCH($B1161,고객사!$A$5:$A$104,0)),0))</f>
        <v/>
      </c>
      <c r="Q1161" s="22" t="str">
        <f aca="false">IF($B1161="","",G1161*P1161)</f>
        <v/>
      </c>
      <c r="R1161" s="22" t="str">
        <f aca="false">IF($B1161="","",O1161-Q1161-L1161)</f>
        <v/>
      </c>
      <c r="S1161" s="21" t="str">
        <f aca="false">IF(OR($B1161="",N(O1161)=0),"",R1161/O1161)</f>
        <v/>
      </c>
      <c r="T1161" s="14"/>
      <c r="U1161" s="19" t="n">
        <f aca="false">IF(OR($B1161="",$A1161=""),0,IF(COUNTIFS($A$5:$A1161,$A1161,$B$5:$B1161,$B1161)=1,1,0))</f>
        <v>0</v>
      </c>
    </row>
    <row r="1162" customFormat="false" ht="15" hidden="false" customHeight="false" outlineLevel="0" collapsed="false">
      <c r="A1162" s="17"/>
      <c r="B1162" s="13"/>
      <c r="C1162" s="20" t="str">
        <f aca="false">IF($B1162="","",IFERROR(INDEX(고객사!$B$5:$B$104,MATCH($B1162,고객사!$A$5:$A$104,0)),"코드 확인"))</f>
        <v/>
      </c>
      <c r="D1162" s="15"/>
      <c r="E1162" s="15"/>
      <c r="F1162" s="16"/>
      <c r="G1162" s="16"/>
      <c r="H1162" s="21" t="str">
        <f aca="false">IF(OR($B1162="",F1162=0),"",G1162/F1162)</f>
        <v/>
      </c>
      <c r="I1162" s="22" t="str">
        <f aca="false">IF($B1162="","",MAX(F1162-G1162,0))</f>
        <v/>
      </c>
      <c r="J1162" s="23" t="str">
        <f aca="false">IF($B1162="","",IFERROR(INDEX(고객사!$G$5:$G$104,MATCH($B1162,고객사!$A$5:$A$104,0)),""))</f>
        <v/>
      </c>
      <c r="K1162" s="16"/>
      <c r="L1162" s="22" t="str">
        <f aca="false">IF($B1162="","",K1162*IFERROR(INDEX(고객사!$L$5:$L$104,MATCH($B1162,고객사!$A$5:$A$104,0)),0))</f>
        <v/>
      </c>
      <c r="M1162" s="23" t="str">
        <f aca="false">IF($B1162="","",IF(AND(J1162="N",G1162&gt;0,K1162=0,IFERROR(INDEX(고객사!$H$5:$H$104,MATCH($B1162,고객사!$A$5:$A$104,0)),"")="자사 차량 운행"),"차량 미배정",""))</f>
        <v/>
      </c>
      <c r="N1162" s="22" t="str">
        <f aca="false">IF($B1162="","",IFERROR(INDEX(고객사!$J$5:$J$104,MATCH($B1162,고객사!$A$5:$A$104,0)),0))</f>
        <v/>
      </c>
      <c r="O1162" s="22" t="str">
        <f aca="false">IF($B1162="","",G1162*N1162)</f>
        <v/>
      </c>
      <c r="P1162" s="22" t="str">
        <f aca="false">IF($B1162="","",IFERROR(INDEX(고객사!$K$5:$K$104,MATCH($B1162,고객사!$A$5:$A$104,0)),0))</f>
        <v/>
      </c>
      <c r="Q1162" s="22" t="str">
        <f aca="false">IF($B1162="","",G1162*P1162)</f>
        <v/>
      </c>
      <c r="R1162" s="22" t="str">
        <f aca="false">IF($B1162="","",O1162-Q1162-L1162)</f>
        <v/>
      </c>
      <c r="S1162" s="21" t="str">
        <f aca="false">IF(OR($B1162="",N(O1162)=0),"",R1162/O1162)</f>
        <v/>
      </c>
      <c r="T1162" s="14"/>
      <c r="U1162" s="19" t="n">
        <f aca="false">IF(OR($B1162="",$A1162=""),0,IF(COUNTIFS($A$5:$A1162,$A1162,$B$5:$B1162,$B1162)=1,1,0))</f>
        <v>0</v>
      </c>
    </row>
    <row r="1163" customFormat="false" ht="15" hidden="false" customHeight="false" outlineLevel="0" collapsed="false">
      <c r="A1163" s="17"/>
      <c r="B1163" s="13"/>
      <c r="C1163" s="20" t="str">
        <f aca="false">IF($B1163="","",IFERROR(INDEX(고객사!$B$5:$B$104,MATCH($B1163,고객사!$A$5:$A$104,0)),"코드 확인"))</f>
        <v/>
      </c>
      <c r="D1163" s="15"/>
      <c r="E1163" s="15"/>
      <c r="F1163" s="16"/>
      <c r="G1163" s="16"/>
      <c r="H1163" s="21" t="str">
        <f aca="false">IF(OR($B1163="",F1163=0),"",G1163/F1163)</f>
        <v/>
      </c>
      <c r="I1163" s="22" t="str">
        <f aca="false">IF($B1163="","",MAX(F1163-G1163,0))</f>
        <v/>
      </c>
      <c r="J1163" s="23" t="str">
        <f aca="false">IF($B1163="","",IFERROR(INDEX(고객사!$G$5:$G$104,MATCH($B1163,고객사!$A$5:$A$104,0)),""))</f>
        <v/>
      </c>
      <c r="K1163" s="16"/>
      <c r="L1163" s="22" t="str">
        <f aca="false">IF($B1163="","",K1163*IFERROR(INDEX(고객사!$L$5:$L$104,MATCH($B1163,고객사!$A$5:$A$104,0)),0))</f>
        <v/>
      </c>
      <c r="M1163" s="23" t="str">
        <f aca="false">IF($B1163="","",IF(AND(J1163="N",G1163&gt;0,K1163=0,IFERROR(INDEX(고객사!$H$5:$H$104,MATCH($B1163,고객사!$A$5:$A$104,0)),"")="자사 차량 운행"),"차량 미배정",""))</f>
        <v/>
      </c>
      <c r="N1163" s="22" t="str">
        <f aca="false">IF($B1163="","",IFERROR(INDEX(고객사!$J$5:$J$104,MATCH($B1163,고객사!$A$5:$A$104,0)),0))</f>
        <v/>
      </c>
      <c r="O1163" s="22" t="str">
        <f aca="false">IF($B1163="","",G1163*N1163)</f>
        <v/>
      </c>
      <c r="P1163" s="22" t="str">
        <f aca="false">IF($B1163="","",IFERROR(INDEX(고객사!$K$5:$K$104,MATCH($B1163,고객사!$A$5:$A$104,0)),0))</f>
        <v/>
      </c>
      <c r="Q1163" s="22" t="str">
        <f aca="false">IF($B1163="","",G1163*P1163)</f>
        <v/>
      </c>
      <c r="R1163" s="22" t="str">
        <f aca="false">IF($B1163="","",O1163-Q1163-L1163)</f>
        <v/>
      </c>
      <c r="S1163" s="21" t="str">
        <f aca="false">IF(OR($B1163="",N(O1163)=0),"",R1163/O1163)</f>
        <v/>
      </c>
      <c r="T1163" s="14"/>
      <c r="U1163" s="19" t="n">
        <f aca="false">IF(OR($B1163="",$A1163=""),0,IF(COUNTIFS($A$5:$A1163,$A1163,$B$5:$B1163,$B1163)=1,1,0))</f>
        <v>0</v>
      </c>
    </row>
    <row r="1164" customFormat="false" ht="15" hidden="false" customHeight="false" outlineLevel="0" collapsed="false">
      <c r="A1164" s="17"/>
      <c r="B1164" s="13"/>
      <c r="C1164" s="20" t="str">
        <f aca="false">IF($B1164="","",IFERROR(INDEX(고객사!$B$5:$B$104,MATCH($B1164,고객사!$A$5:$A$104,0)),"코드 확인"))</f>
        <v/>
      </c>
      <c r="D1164" s="15"/>
      <c r="E1164" s="15"/>
      <c r="F1164" s="16"/>
      <c r="G1164" s="16"/>
      <c r="H1164" s="21" t="str">
        <f aca="false">IF(OR($B1164="",F1164=0),"",G1164/F1164)</f>
        <v/>
      </c>
      <c r="I1164" s="22" t="str">
        <f aca="false">IF($B1164="","",MAX(F1164-G1164,0))</f>
        <v/>
      </c>
      <c r="J1164" s="23" t="str">
        <f aca="false">IF($B1164="","",IFERROR(INDEX(고객사!$G$5:$G$104,MATCH($B1164,고객사!$A$5:$A$104,0)),""))</f>
        <v/>
      </c>
      <c r="K1164" s="16"/>
      <c r="L1164" s="22" t="str">
        <f aca="false">IF($B1164="","",K1164*IFERROR(INDEX(고객사!$L$5:$L$104,MATCH($B1164,고객사!$A$5:$A$104,0)),0))</f>
        <v/>
      </c>
      <c r="M1164" s="23" t="str">
        <f aca="false">IF($B1164="","",IF(AND(J1164="N",G1164&gt;0,K1164=0,IFERROR(INDEX(고객사!$H$5:$H$104,MATCH($B1164,고객사!$A$5:$A$104,0)),"")="자사 차량 운행"),"차량 미배정",""))</f>
        <v/>
      </c>
      <c r="N1164" s="22" t="str">
        <f aca="false">IF($B1164="","",IFERROR(INDEX(고객사!$J$5:$J$104,MATCH($B1164,고객사!$A$5:$A$104,0)),0))</f>
        <v/>
      </c>
      <c r="O1164" s="22" t="str">
        <f aca="false">IF($B1164="","",G1164*N1164)</f>
        <v/>
      </c>
      <c r="P1164" s="22" t="str">
        <f aca="false">IF($B1164="","",IFERROR(INDEX(고객사!$K$5:$K$104,MATCH($B1164,고객사!$A$5:$A$104,0)),0))</f>
        <v/>
      </c>
      <c r="Q1164" s="22" t="str">
        <f aca="false">IF($B1164="","",G1164*P1164)</f>
        <v/>
      </c>
      <c r="R1164" s="22" t="str">
        <f aca="false">IF($B1164="","",O1164-Q1164-L1164)</f>
        <v/>
      </c>
      <c r="S1164" s="21" t="str">
        <f aca="false">IF(OR($B1164="",N(O1164)=0),"",R1164/O1164)</f>
        <v/>
      </c>
      <c r="T1164" s="14"/>
      <c r="U1164" s="19" t="n">
        <f aca="false">IF(OR($B1164="",$A1164=""),0,IF(COUNTIFS($A$5:$A1164,$A1164,$B$5:$B1164,$B1164)=1,1,0))</f>
        <v>0</v>
      </c>
    </row>
    <row r="1165" customFormat="false" ht="15" hidden="false" customHeight="false" outlineLevel="0" collapsed="false">
      <c r="A1165" s="17"/>
      <c r="B1165" s="13"/>
      <c r="C1165" s="20" t="str">
        <f aca="false">IF($B1165="","",IFERROR(INDEX(고객사!$B$5:$B$104,MATCH($B1165,고객사!$A$5:$A$104,0)),"코드 확인"))</f>
        <v/>
      </c>
      <c r="D1165" s="15"/>
      <c r="E1165" s="15"/>
      <c r="F1165" s="16"/>
      <c r="G1165" s="16"/>
      <c r="H1165" s="21" t="str">
        <f aca="false">IF(OR($B1165="",F1165=0),"",G1165/F1165)</f>
        <v/>
      </c>
      <c r="I1165" s="22" t="str">
        <f aca="false">IF($B1165="","",MAX(F1165-G1165,0))</f>
        <v/>
      </c>
      <c r="J1165" s="23" t="str">
        <f aca="false">IF($B1165="","",IFERROR(INDEX(고객사!$G$5:$G$104,MATCH($B1165,고객사!$A$5:$A$104,0)),""))</f>
        <v/>
      </c>
      <c r="K1165" s="16"/>
      <c r="L1165" s="22" t="str">
        <f aca="false">IF($B1165="","",K1165*IFERROR(INDEX(고객사!$L$5:$L$104,MATCH($B1165,고객사!$A$5:$A$104,0)),0))</f>
        <v/>
      </c>
      <c r="M1165" s="23" t="str">
        <f aca="false">IF($B1165="","",IF(AND(J1165="N",G1165&gt;0,K1165=0,IFERROR(INDEX(고객사!$H$5:$H$104,MATCH($B1165,고객사!$A$5:$A$104,0)),"")="자사 차량 운행"),"차량 미배정",""))</f>
        <v/>
      </c>
      <c r="N1165" s="22" t="str">
        <f aca="false">IF($B1165="","",IFERROR(INDEX(고객사!$J$5:$J$104,MATCH($B1165,고객사!$A$5:$A$104,0)),0))</f>
        <v/>
      </c>
      <c r="O1165" s="22" t="str">
        <f aca="false">IF($B1165="","",G1165*N1165)</f>
        <v/>
      </c>
      <c r="P1165" s="22" t="str">
        <f aca="false">IF($B1165="","",IFERROR(INDEX(고객사!$K$5:$K$104,MATCH($B1165,고객사!$A$5:$A$104,0)),0))</f>
        <v/>
      </c>
      <c r="Q1165" s="22" t="str">
        <f aca="false">IF($B1165="","",G1165*P1165)</f>
        <v/>
      </c>
      <c r="R1165" s="22" t="str">
        <f aca="false">IF($B1165="","",O1165-Q1165-L1165)</f>
        <v/>
      </c>
      <c r="S1165" s="21" t="str">
        <f aca="false">IF(OR($B1165="",N(O1165)=0),"",R1165/O1165)</f>
        <v/>
      </c>
      <c r="T1165" s="14"/>
      <c r="U1165" s="19" t="n">
        <f aca="false">IF(OR($B1165="",$A1165=""),0,IF(COUNTIFS($A$5:$A1165,$A1165,$B$5:$B1165,$B1165)=1,1,0))</f>
        <v>0</v>
      </c>
    </row>
    <row r="1166" customFormat="false" ht="15" hidden="false" customHeight="false" outlineLevel="0" collapsed="false">
      <c r="A1166" s="17"/>
      <c r="B1166" s="13"/>
      <c r="C1166" s="20" t="str">
        <f aca="false">IF($B1166="","",IFERROR(INDEX(고객사!$B$5:$B$104,MATCH($B1166,고객사!$A$5:$A$104,0)),"코드 확인"))</f>
        <v/>
      </c>
      <c r="D1166" s="15"/>
      <c r="E1166" s="15"/>
      <c r="F1166" s="16"/>
      <c r="G1166" s="16"/>
      <c r="H1166" s="21" t="str">
        <f aca="false">IF(OR($B1166="",F1166=0),"",G1166/F1166)</f>
        <v/>
      </c>
      <c r="I1166" s="22" t="str">
        <f aca="false">IF($B1166="","",MAX(F1166-G1166,0))</f>
        <v/>
      </c>
      <c r="J1166" s="23" t="str">
        <f aca="false">IF($B1166="","",IFERROR(INDEX(고객사!$G$5:$G$104,MATCH($B1166,고객사!$A$5:$A$104,0)),""))</f>
        <v/>
      </c>
      <c r="K1166" s="16"/>
      <c r="L1166" s="22" t="str">
        <f aca="false">IF($B1166="","",K1166*IFERROR(INDEX(고객사!$L$5:$L$104,MATCH($B1166,고객사!$A$5:$A$104,0)),0))</f>
        <v/>
      </c>
      <c r="M1166" s="23" t="str">
        <f aca="false">IF($B1166="","",IF(AND(J1166="N",G1166&gt;0,K1166=0,IFERROR(INDEX(고객사!$H$5:$H$104,MATCH($B1166,고객사!$A$5:$A$104,0)),"")="자사 차량 운행"),"차량 미배정",""))</f>
        <v/>
      </c>
      <c r="N1166" s="22" t="str">
        <f aca="false">IF($B1166="","",IFERROR(INDEX(고객사!$J$5:$J$104,MATCH($B1166,고객사!$A$5:$A$104,0)),0))</f>
        <v/>
      </c>
      <c r="O1166" s="22" t="str">
        <f aca="false">IF($B1166="","",G1166*N1166)</f>
        <v/>
      </c>
      <c r="P1166" s="22" t="str">
        <f aca="false">IF($B1166="","",IFERROR(INDEX(고객사!$K$5:$K$104,MATCH($B1166,고객사!$A$5:$A$104,0)),0))</f>
        <v/>
      </c>
      <c r="Q1166" s="22" t="str">
        <f aca="false">IF($B1166="","",G1166*P1166)</f>
        <v/>
      </c>
      <c r="R1166" s="22" t="str">
        <f aca="false">IF($B1166="","",O1166-Q1166-L1166)</f>
        <v/>
      </c>
      <c r="S1166" s="21" t="str">
        <f aca="false">IF(OR($B1166="",N(O1166)=0),"",R1166/O1166)</f>
        <v/>
      </c>
      <c r="T1166" s="14"/>
      <c r="U1166" s="19" t="n">
        <f aca="false">IF(OR($B1166="",$A1166=""),0,IF(COUNTIFS($A$5:$A1166,$A1166,$B$5:$B1166,$B1166)=1,1,0))</f>
        <v>0</v>
      </c>
    </row>
    <row r="1167" customFormat="false" ht="15" hidden="false" customHeight="false" outlineLevel="0" collapsed="false">
      <c r="A1167" s="17"/>
      <c r="B1167" s="13"/>
      <c r="C1167" s="20" t="str">
        <f aca="false">IF($B1167="","",IFERROR(INDEX(고객사!$B$5:$B$104,MATCH($B1167,고객사!$A$5:$A$104,0)),"코드 확인"))</f>
        <v/>
      </c>
      <c r="D1167" s="15"/>
      <c r="E1167" s="15"/>
      <c r="F1167" s="16"/>
      <c r="G1167" s="16"/>
      <c r="H1167" s="21" t="str">
        <f aca="false">IF(OR($B1167="",F1167=0),"",G1167/F1167)</f>
        <v/>
      </c>
      <c r="I1167" s="22" t="str">
        <f aca="false">IF($B1167="","",MAX(F1167-G1167,0))</f>
        <v/>
      </c>
      <c r="J1167" s="23" t="str">
        <f aca="false">IF($B1167="","",IFERROR(INDEX(고객사!$G$5:$G$104,MATCH($B1167,고객사!$A$5:$A$104,0)),""))</f>
        <v/>
      </c>
      <c r="K1167" s="16"/>
      <c r="L1167" s="22" t="str">
        <f aca="false">IF($B1167="","",K1167*IFERROR(INDEX(고객사!$L$5:$L$104,MATCH($B1167,고객사!$A$5:$A$104,0)),0))</f>
        <v/>
      </c>
      <c r="M1167" s="23" t="str">
        <f aca="false">IF($B1167="","",IF(AND(J1167="N",G1167&gt;0,K1167=0,IFERROR(INDEX(고객사!$H$5:$H$104,MATCH($B1167,고객사!$A$5:$A$104,0)),"")="자사 차량 운행"),"차량 미배정",""))</f>
        <v/>
      </c>
      <c r="N1167" s="22" t="str">
        <f aca="false">IF($B1167="","",IFERROR(INDEX(고객사!$J$5:$J$104,MATCH($B1167,고객사!$A$5:$A$104,0)),0))</f>
        <v/>
      </c>
      <c r="O1167" s="22" t="str">
        <f aca="false">IF($B1167="","",G1167*N1167)</f>
        <v/>
      </c>
      <c r="P1167" s="22" t="str">
        <f aca="false">IF($B1167="","",IFERROR(INDEX(고객사!$K$5:$K$104,MATCH($B1167,고객사!$A$5:$A$104,0)),0))</f>
        <v/>
      </c>
      <c r="Q1167" s="22" t="str">
        <f aca="false">IF($B1167="","",G1167*P1167)</f>
        <v/>
      </c>
      <c r="R1167" s="22" t="str">
        <f aca="false">IF($B1167="","",O1167-Q1167-L1167)</f>
        <v/>
      </c>
      <c r="S1167" s="21" t="str">
        <f aca="false">IF(OR($B1167="",N(O1167)=0),"",R1167/O1167)</f>
        <v/>
      </c>
      <c r="T1167" s="14"/>
      <c r="U1167" s="19" t="n">
        <f aca="false">IF(OR($B1167="",$A1167=""),0,IF(COUNTIFS($A$5:$A1167,$A1167,$B$5:$B1167,$B1167)=1,1,0))</f>
        <v>0</v>
      </c>
    </row>
    <row r="1168" customFormat="false" ht="15" hidden="false" customHeight="false" outlineLevel="0" collapsed="false">
      <c r="A1168" s="17"/>
      <c r="B1168" s="13"/>
      <c r="C1168" s="20" t="str">
        <f aca="false">IF($B1168="","",IFERROR(INDEX(고객사!$B$5:$B$104,MATCH($B1168,고객사!$A$5:$A$104,0)),"코드 확인"))</f>
        <v/>
      </c>
      <c r="D1168" s="15"/>
      <c r="E1168" s="15"/>
      <c r="F1168" s="16"/>
      <c r="G1168" s="16"/>
      <c r="H1168" s="21" t="str">
        <f aca="false">IF(OR($B1168="",F1168=0),"",G1168/F1168)</f>
        <v/>
      </c>
      <c r="I1168" s="22" t="str">
        <f aca="false">IF($B1168="","",MAX(F1168-G1168,0))</f>
        <v/>
      </c>
      <c r="J1168" s="23" t="str">
        <f aca="false">IF($B1168="","",IFERROR(INDEX(고객사!$G$5:$G$104,MATCH($B1168,고객사!$A$5:$A$104,0)),""))</f>
        <v/>
      </c>
      <c r="K1168" s="16"/>
      <c r="L1168" s="22" t="str">
        <f aca="false">IF($B1168="","",K1168*IFERROR(INDEX(고객사!$L$5:$L$104,MATCH($B1168,고객사!$A$5:$A$104,0)),0))</f>
        <v/>
      </c>
      <c r="M1168" s="23" t="str">
        <f aca="false">IF($B1168="","",IF(AND(J1168="N",G1168&gt;0,K1168=0,IFERROR(INDEX(고객사!$H$5:$H$104,MATCH($B1168,고객사!$A$5:$A$104,0)),"")="자사 차량 운행"),"차량 미배정",""))</f>
        <v/>
      </c>
      <c r="N1168" s="22" t="str">
        <f aca="false">IF($B1168="","",IFERROR(INDEX(고객사!$J$5:$J$104,MATCH($B1168,고객사!$A$5:$A$104,0)),0))</f>
        <v/>
      </c>
      <c r="O1168" s="22" t="str">
        <f aca="false">IF($B1168="","",G1168*N1168)</f>
        <v/>
      </c>
      <c r="P1168" s="22" t="str">
        <f aca="false">IF($B1168="","",IFERROR(INDEX(고객사!$K$5:$K$104,MATCH($B1168,고객사!$A$5:$A$104,0)),0))</f>
        <v/>
      </c>
      <c r="Q1168" s="22" t="str">
        <f aca="false">IF($B1168="","",G1168*P1168)</f>
        <v/>
      </c>
      <c r="R1168" s="22" t="str">
        <f aca="false">IF($B1168="","",O1168-Q1168-L1168)</f>
        <v/>
      </c>
      <c r="S1168" s="21" t="str">
        <f aca="false">IF(OR($B1168="",N(O1168)=0),"",R1168/O1168)</f>
        <v/>
      </c>
      <c r="T1168" s="14"/>
      <c r="U1168" s="19" t="n">
        <f aca="false">IF(OR($B1168="",$A1168=""),0,IF(COUNTIFS($A$5:$A1168,$A1168,$B$5:$B1168,$B1168)=1,1,0))</f>
        <v>0</v>
      </c>
    </row>
    <row r="1169" customFormat="false" ht="15" hidden="false" customHeight="false" outlineLevel="0" collapsed="false">
      <c r="A1169" s="17"/>
      <c r="B1169" s="13"/>
      <c r="C1169" s="20" t="str">
        <f aca="false">IF($B1169="","",IFERROR(INDEX(고객사!$B$5:$B$104,MATCH($B1169,고객사!$A$5:$A$104,0)),"코드 확인"))</f>
        <v/>
      </c>
      <c r="D1169" s="15"/>
      <c r="E1169" s="15"/>
      <c r="F1169" s="16"/>
      <c r="G1169" s="16"/>
      <c r="H1169" s="21" t="str">
        <f aca="false">IF(OR($B1169="",F1169=0),"",G1169/F1169)</f>
        <v/>
      </c>
      <c r="I1169" s="22" t="str">
        <f aca="false">IF($B1169="","",MAX(F1169-G1169,0))</f>
        <v/>
      </c>
      <c r="J1169" s="23" t="str">
        <f aca="false">IF($B1169="","",IFERROR(INDEX(고객사!$G$5:$G$104,MATCH($B1169,고객사!$A$5:$A$104,0)),""))</f>
        <v/>
      </c>
      <c r="K1169" s="16"/>
      <c r="L1169" s="22" t="str">
        <f aca="false">IF($B1169="","",K1169*IFERROR(INDEX(고객사!$L$5:$L$104,MATCH($B1169,고객사!$A$5:$A$104,0)),0))</f>
        <v/>
      </c>
      <c r="M1169" s="23" t="str">
        <f aca="false">IF($B1169="","",IF(AND(J1169="N",G1169&gt;0,K1169=0,IFERROR(INDEX(고객사!$H$5:$H$104,MATCH($B1169,고객사!$A$5:$A$104,0)),"")="자사 차량 운행"),"차량 미배정",""))</f>
        <v/>
      </c>
      <c r="N1169" s="22" t="str">
        <f aca="false">IF($B1169="","",IFERROR(INDEX(고객사!$J$5:$J$104,MATCH($B1169,고객사!$A$5:$A$104,0)),0))</f>
        <v/>
      </c>
      <c r="O1169" s="22" t="str">
        <f aca="false">IF($B1169="","",G1169*N1169)</f>
        <v/>
      </c>
      <c r="P1169" s="22" t="str">
        <f aca="false">IF($B1169="","",IFERROR(INDEX(고객사!$K$5:$K$104,MATCH($B1169,고객사!$A$5:$A$104,0)),0))</f>
        <v/>
      </c>
      <c r="Q1169" s="22" t="str">
        <f aca="false">IF($B1169="","",G1169*P1169)</f>
        <v/>
      </c>
      <c r="R1169" s="22" t="str">
        <f aca="false">IF($B1169="","",O1169-Q1169-L1169)</f>
        <v/>
      </c>
      <c r="S1169" s="21" t="str">
        <f aca="false">IF(OR($B1169="",N(O1169)=0),"",R1169/O1169)</f>
        <v/>
      </c>
      <c r="T1169" s="14"/>
      <c r="U1169" s="19" t="n">
        <f aca="false">IF(OR($B1169="",$A1169=""),0,IF(COUNTIFS($A$5:$A1169,$A1169,$B$5:$B1169,$B1169)=1,1,0))</f>
        <v>0</v>
      </c>
    </row>
    <row r="1170" customFormat="false" ht="15" hidden="false" customHeight="false" outlineLevel="0" collapsed="false">
      <c r="A1170" s="17"/>
      <c r="B1170" s="13"/>
      <c r="C1170" s="20" t="str">
        <f aca="false">IF($B1170="","",IFERROR(INDEX(고객사!$B$5:$B$104,MATCH($B1170,고객사!$A$5:$A$104,0)),"코드 확인"))</f>
        <v/>
      </c>
      <c r="D1170" s="15"/>
      <c r="E1170" s="15"/>
      <c r="F1170" s="16"/>
      <c r="G1170" s="16"/>
      <c r="H1170" s="21" t="str">
        <f aca="false">IF(OR($B1170="",F1170=0),"",G1170/F1170)</f>
        <v/>
      </c>
      <c r="I1170" s="22" t="str">
        <f aca="false">IF($B1170="","",MAX(F1170-G1170,0))</f>
        <v/>
      </c>
      <c r="J1170" s="23" t="str">
        <f aca="false">IF($B1170="","",IFERROR(INDEX(고객사!$G$5:$G$104,MATCH($B1170,고객사!$A$5:$A$104,0)),""))</f>
        <v/>
      </c>
      <c r="K1170" s="16"/>
      <c r="L1170" s="22" t="str">
        <f aca="false">IF($B1170="","",K1170*IFERROR(INDEX(고객사!$L$5:$L$104,MATCH($B1170,고객사!$A$5:$A$104,0)),0))</f>
        <v/>
      </c>
      <c r="M1170" s="23" t="str">
        <f aca="false">IF($B1170="","",IF(AND(J1170="N",G1170&gt;0,K1170=0,IFERROR(INDEX(고객사!$H$5:$H$104,MATCH($B1170,고객사!$A$5:$A$104,0)),"")="자사 차량 운행"),"차량 미배정",""))</f>
        <v/>
      </c>
      <c r="N1170" s="22" t="str">
        <f aca="false">IF($B1170="","",IFERROR(INDEX(고객사!$J$5:$J$104,MATCH($B1170,고객사!$A$5:$A$104,0)),0))</f>
        <v/>
      </c>
      <c r="O1170" s="22" t="str">
        <f aca="false">IF($B1170="","",G1170*N1170)</f>
        <v/>
      </c>
      <c r="P1170" s="22" t="str">
        <f aca="false">IF($B1170="","",IFERROR(INDEX(고객사!$K$5:$K$104,MATCH($B1170,고객사!$A$5:$A$104,0)),0))</f>
        <v/>
      </c>
      <c r="Q1170" s="22" t="str">
        <f aca="false">IF($B1170="","",G1170*P1170)</f>
        <v/>
      </c>
      <c r="R1170" s="22" t="str">
        <f aca="false">IF($B1170="","",O1170-Q1170-L1170)</f>
        <v/>
      </c>
      <c r="S1170" s="21" t="str">
        <f aca="false">IF(OR($B1170="",N(O1170)=0),"",R1170/O1170)</f>
        <v/>
      </c>
      <c r="T1170" s="14"/>
      <c r="U1170" s="19" t="n">
        <f aca="false">IF(OR($B1170="",$A1170=""),0,IF(COUNTIFS($A$5:$A1170,$A1170,$B$5:$B1170,$B1170)=1,1,0))</f>
        <v>0</v>
      </c>
    </row>
    <row r="1171" customFormat="false" ht="15" hidden="false" customHeight="false" outlineLevel="0" collapsed="false">
      <c r="A1171" s="17"/>
      <c r="B1171" s="13"/>
      <c r="C1171" s="20" t="str">
        <f aca="false">IF($B1171="","",IFERROR(INDEX(고객사!$B$5:$B$104,MATCH($B1171,고객사!$A$5:$A$104,0)),"코드 확인"))</f>
        <v/>
      </c>
      <c r="D1171" s="15"/>
      <c r="E1171" s="15"/>
      <c r="F1171" s="16"/>
      <c r="G1171" s="16"/>
      <c r="H1171" s="21" t="str">
        <f aca="false">IF(OR($B1171="",F1171=0),"",G1171/F1171)</f>
        <v/>
      </c>
      <c r="I1171" s="22" t="str">
        <f aca="false">IF($B1171="","",MAX(F1171-G1171,0))</f>
        <v/>
      </c>
      <c r="J1171" s="23" t="str">
        <f aca="false">IF($B1171="","",IFERROR(INDEX(고객사!$G$5:$G$104,MATCH($B1171,고객사!$A$5:$A$104,0)),""))</f>
        <v/>
      </c>
      <c r="K1171" s="16"/>
      <c r="L1171" s="22" t="str">
        <f aca="false">IF($B1171="","",K1171*IFERROR(INDEX(고객사!$L$5:$L$104,MATCH($B1171,고객사!$A$5:$A$104,0)),0))</f>
        <v/>
      </c>
      <c r="M1171" s="23" t="str">
        <f aca="false">IF($B1171="","",IF(AND(J1171="N",G1171&gt;0,K1171=0,IFERROR(INDEX(고객사!$H$5:$H$104,MATCH($B1171,고객사!$A$5:$A$104,0)),"")="자사 차량 운행"),"차량 미배정",""))</f>
        <v/>
      </c>
      <c r="N1171" s="22" t="str">
        <f aca="false">IF($B1171="","",IFERROR(INDEX(고객사!$J$5:$J$104,MATCH($B1171,고객사!$A$5:$A$104,0)),0))</f>
        <v/>
      </c>
      <c r="O1171" s="22" t="str">
        <f aca="false">IF($B1171="","",G1171*N1171)</f>
        <v/>
      </c>
      <c r="P1171" s="22" t="str">
        <f aca="false">IF($B1171="","",IFERROR(INDEX(고객사!$K$5:$K$104,MATCH($B1171,고객사!$A$5:$A$104,0)),0))</f>
        <v/>
      </c>
      <c r="Q1171" s="22" t="str">
        <f aca="false">IF($B1171="","",G1171*P1171)</f>
        <v/>
      </c>
      <c r="R1171" s="22" t="str">
        <f aca="false">IF($B1171="","",O1171-Q1171-L1171)</f>
        <v/>
      </c>
      <c r="S1171" s="21" t="str">
        <f aca="false">IF(OR($B1171="",N(O1171)=0),"",R1171/O1171)</f>
        <v/>
      </c>
      <c r="T1171" s="14"/>
      <c r="U1171" s="19" t="n">
        <f aca="false">IF(OR($B1171="",$A1171=""),0,IF(COUNTIFS($A$5:$A1171,$A1171,$B$5:$B1171,$B1171)=1,1,0))</f>
        <v>0</v>
      </c>
    </row>
    <row r="1172" customFormat="false" ht="15" hidden="false" customHeight="false" outlineLevel="0" collapsed="false">
      <c r="A1172" s="17"/>
      <c r="B1172" s="13"/>
      <c r="C1172" s="20" t="str">
        <f aca="false">IF($B1172="","",IFERROR(INDEX(고객사!$B$5:$B$104,MATCH($B1172,고객사!$A$5:$A$104,0)),"코드 확인"))</f>
        <v/>
      </c>
      <c r="D1172" s="15"/>
      <c r="E1172" s="15"/>
      <c r="F1172" s="16"/>
      <c r="G1172" s="16"/>
      <c r="H1172" s="21" t="str">
        <f aca="false">IF(OR($B1172="",F1172=0),"",G1172/F1172)</f>
        <v/>
      </c>
      <c r="I1172" s="22" t="str">
        <f aca="false">IF($B1172="","",MAX(F1172-G1172,0))</f>
        <v/>
      </c>
      <c r="J1172" s="23" t="str">
        <f aca="false">IF($B1172="","",IFERROR(INDEX(고객사!$G$5:$G$104,MATCH($B1172,고객사!$A$5:$A$104,0)),""))</f>
        <v/>
      </c>
      <c r="K1172" s="16"/>
      <c r="L1172" s="22" t="str">
        <f aca="false">IF($B1172="","",K1172*IFERROR(INDEX(고객사!$L$5:$L$104,MATCH($B1172,고객사!$A$5:$A$104,0)),0))</f>
        <v/>
      </c>
      <c r="M1172" s="23" t="str">
        <f aca="false">IF($B1172="","",IF(AND(J1172="N",G1172&gt;0,K1172=0,IFERROR(INDEX(고객사!$H$5:$H$104,MATCH($B1172,고객사!$A$5:$A$104,0)),"")="자사 차량 운행"),"차량 미배정",""))</f>
        <v/>
      </c>
      <c r="N1172" s="22" t="str">
        <f aca="false">IF($B1172="","",IFERROR(INDEX(고객사!$J$5:$J$104,MATCH($B1172,고객사!$A$5:$A$104,0)),0))</f>
        <v/>
      </c>
      <c r="O1172" s="22" t="str">
        <f aca="false">IF($B1172="","",G1172*N1172)</f>
        <v/>
      </c>
      <c r="P1172" s="22" t="str">
        <f aca="false">IF($B1172="","",IFERROR(INDEX(고객사!$K$5:$K$104,MATCH($B1172,고객사!$A$5:$A$104,0)),0))</f>
        <v/>
      </c>
      <c r="Q1172" s="22" t="str">
        <f aca="false">IF($B1172="","",G1172*P1172)</f>
        <v/>
      </c>
      <c r="R1172" s="22" t="str">
        <f aca="false">IF($B1172="","",O1172-Q1172-L1172)</f>
        <v/>
      </c>
      <c r="S1172" s="21" t="str">
        <f aca="false">IF(OR($B1172="",N(O1172)=0),"",R1172/O1172)</f>
        <v/>
      </c>
      <c r="T1172" s="14"/>
      <c r="U1172" s="19" t="n">
        <f aca="false">IF(OR($B1172="",$A1172=""),0,IF(COUNTIFS($A$5:$A1172,$A1172,$B$5:$B1172,$B1172)=1,1,0))</f>
        <v>0</v>
      </c>
    </row>
    <row r="1173" customFormat="false" ht="15" hidden="false" customHeight="false" outlineLevel="0" collapsed="false">
      <c r="A1173" s="17"/>
      <c r="B1173" s="13"/>
      <c r="C1173" s="20" t="str">
        <f aca="false">IF($B1173="","",IFERROR(INDEX(고객사!$B$5:$B$104,MATCH($B1173,고객사!$A$5:$A$104,0)),"코드 확인"))</f>
        <v/>
      </c>
      <c r="D1173" s="15"/>
      <c r="E1173" s="15"/>
      <c r="F1173" s="16"/>
      <c r="G1173" s="16"/>
      <c r="H1173" s="21" t="str">
        <f aca="false">IF(OR($B1173="",F1173=0),"",G1173/F1173)</f>
        <v/>
      </c>
      <c r="I1173" s="22" t="str">
        <f aca="false">IF($B1173="","",MAX(F1173-G1173,0))</f>
        <v/>
      </c>
      <c r="J1173" s="23" t="str">
        <f aca="false">IF($B1173="","",IFERROR(INDEX(고객사!$G$5:$G$104,MATCH($B1173,고객사!$A$5:$A$104,0)),""))</f>
        <v/>
      </c>
      <c r="K1173" s="16"/>
      <c r="L1173" s="22" t="str">
        <f aca="false">IF($B1173="","",K1173*IFERROR(INDEX(고객사!$L$5:$L$104,MATCH($B1173,고객사!$A$5:$A$104,0)),0))</f>
        <v/>
      </c>
      <c r="M1173" s="23" t="str">
        <f aca="false">IF($B1173="","",IF(AND(J1173="N",G1173&gt;0,K1173=0,IFERROR(INDEX(고객사!$H$5:$H$104,MATCH($B1173,고객사!$A$5:$A$104,0)),"")="자사 차량 운행"),"차량 미배정",""))</f>
        <v/>
      </c>
      <c r="N1173" s="22" t="str">
        <f aca="false">IF($B1173="","",IFERROR(INDEX(고객사!$J$5:$J$104,MATCH($B1173,고객사!$A$5:$A$104,0)),0))</f>
        <v/>
      </c>
      <c r="O1173" s="22" t="str">
        <f aca="false">IF($B1173="","",G1173*N1173)</f>
        <v/>
      </c>
      <c r="P1173" s="22" t="str">
        <f aca="false">IF($B1173="","",IFERROR(INDEX(고객사!$K$5:$K$104,MATCH($B1173,고객사!$A$5:$A$104,0)),0))</f>
        <v/>
      </c>
      <c r="Q1173" s="22" t="str">
        <f aca="false">IF($B1173="","",G1173*P1173)</f>
        <v/>
      </c>
      <c r="R1173" s="22" t="str">
        <f aca="false">IF($B1173="","",O1173-Q1173-L1173)</f>
        <v/>
      </c>
      <c r="S1173" s="21" t="str">
        <f aca="false">IF(OR($B1173="",N(O1173)=0),"",R1173/O1173)</f>
        <v/>
      </c>
      <c r="T1173" s="14"/>
      <c r="U1173" s="19" t="n">
        <f aca="false">IF(OR($B1173="",$A1173=""),0,IF(COUNTIFS($A$5:$A1173,$A1173,$B$5:$B1173,$B1173)=1,1,0))</f>
        <v>0</v>
      </c>
    </row>
    <row r="1174" customFormat="false" ht="15" hidden="false" customHeight="false" outlineLevel="0" collapsed="false">
      <c r="A1174" s="17"/>
      <c r="B1174" s="13"/>
      <c r="C1174" s="20" t="str">
        <f aca="false">IF($B1174="","",IFERROR(INDEX(고객사!$B$5:$B$104,MATCH($B1174,고객사!$A$5:$A$104,0)),"코드 확인"))</f>
        <v/>
      </c>
      <c r="D1174" s="15"/>
      <c r="E1174" s="15"/>
      <c r="F1174" s="16"/>
      <c r="G1174" s="16"/>
      <c r="H1174" s="21" t="str">
        <f aca="false">IF(OR($B1174="",F1174=0),"",G1174/F1174)</f>
        <v/>
      </c>
      <c r="I1174" s="22" t="str">
        <f aca="false">IF($B1174="","",MAX(F1174-G1174,0))</f>
        <v/>
      </c>
      <c r="J1174" s="23" t="str">
        <f aca="false">IF($B1174="","",IFERROR(INDEX(고객사!$G$5:$G$104,MATCH($B1174,고객사!$A$5:$A$104,0)),""))</f>
        <v/>
      </c>
      <c r="K1174" s="16"/>
      <c r="L1174" s="22" t="str">
        <f aca="false">IF($B1174="","",K1174*IFERROR(INDEX(고객사!$L$5:$L$104,MATCH($B1174,고객사!$A$5:$A$104,0)),0))</f>
        <v/>
      </c>
      <c r="M1174" s="23" t="str">
        <f aca="false">IF($B1174="","",IF(AND(J1174="N",G1174&gt;0,K1174=0,IFERROR(INDEX(고객사!$H$5:$H$104,MATCH($B1174,고객사!$A$5:$A$104,0)),"")="자사 차량 운행"),"차량 미배정",""))</f>
        <v/>
      </c>
      <c r="N1174" s="22" t="str">
        <f aca="false">IF($B1174="","",IFERROR(INDEX(고객사!$J$5:$J$104,MATCH($B1174,고객사!$A$5:$A$104,0)),0))</f>
        <v/>
      </c>
      <c r="O1174" s="22" t="str">
        <f aca="false">IF($B1174="","",G1174*N1174)</f>
        <v/>
      </c>
      <c r="P1174" s="22" t="str">
        <f aca="false">IF($B1174="","",IFERROR(INDEX(고객사!$K$5:$K$104,MATCH($B1174,고객사!$A$5:$A$104,0)),0))</f>
        <v/>
      </c>
      <c r="Q1174" s="22" t="str">
        <f aca="false">IF($B1174="","",G1174*P1174)</f>
        <v/>
      </c>
      <c r="R1174" s="22" t="str">
        <f aca="false">IF($B1174="","",O1174-Q1174-L1174)</f>
        <v/>
      </c>
      <c r="S1174" s="21" t="str">
        <f aca="false">IF(OR($B1174="",N(O1174)=0),"",R1174/O1174)</f>
        <v/>
      </c>
      <c r="T1174" s="14"/>
      <c r="U1174" s="19" t="n">
        <f aca="false">IF(OR($B1174="",$A1174=""),0,IF(COUNTIFS($A$5:$A1174,$A1174,$B$5:$B1174,$B1174)=1,1,0))</f>
        <v>0</v>
      </c>
    </row>
    <row r="1175" customFormat="false" ht="15" hidden="false" customHeight="false" outlineLevel="0" collapsed="false">
      <c r="A1175" s="17"/>
      <c r="B1175" s="13"/>
      <c r="C1175" s="20" t="str">
        <f aca="false">IF($B1175="","",IFERROR(INDEX(고객사!$B$5:$B$104,MATCH($B1175,고객사!$A$5:$A$104,0)),"코드 확인"))</f>
        <v/>
      </c>
      <c r="D1175" s="15"/>
      <c r="E1175" s="15"/>
      <c r="F1175" s="16"/>
      <c r="G1175" s="16"/>
      <c r="H1175" s="21" t="str">
        <f aca="false">IF(OR($B1175="",F1175=0),"",G1175/F1175)</f>
        <v/>
      </c>
      <c r="I1175" s="22" t="str">
        <f aca="false">IF($B1175="","",MAX(F1175-G1175,0))</f>
        <v/>
      </c>
      <c r="J1175" s="23" t="str">
        <f aca="false">IF($B1175="","",IFERROR(INDEX(고객사!$G$5:$G$104,MATCH($B1175,고객사!$A$5:$A$104,0)),""))</f>
        <v/>
      </c>
      <c r="K1175" s="16"/>
      <c r="L1175" s="22" t="str">
        <f aca="false">IF($B1175="","",K1175*IFERROR(INDEX(고객사!$L$5:$L$104,MATCH($B1175,고객사!$A$5:$A$104,0)),0))</f>
        <v/>
      </c>
      <c r="M1175" s="23" t="str">
        <f aca="false">IF($B1175="","",IF(AND(J1175="N",G1175&gt;0,K1175=0,IFERROR(INDEX(고객사!$H$5:$H$104,MATCH($B1175,고객사!$A$5:$A$104,0)),"")="자사 차량 운행"),"차량 미배정",""))</f>
        <v/>
      </c>
      <c r="N1175" s="22" t="str">
        <f aca="false">IF($B1175="","",IFERROR(INDEX(고객사!$J$5:$J$104,MATCH($B1175,고객사!$A$5:$A$104,0)),0))</f>
        <v/>
      </c>
      <c r="O1175" s="22" t="str">
        <f aca="false">IF($B1175="","",G1175*N1175)</f>
        <v/>
      </c>
      <c r="P1175" s="22" t="str">
        <f aca="false">IF($B1175="","",IFERROR(INDEX(고객사!$K$5:$K$104,MATCH($B1175,고객사!$A$5:$A$104,0)),0))</f>
        <v/>
      </c>
      <c r="Q1175" s="22" t="str">
        <f aca="false">IF($B1175="","",G1175*P1175)</f>
        <v/>
      </c>
      <c r="R1175" s="22" t="str">
        <f aca="false">IF($B1175="","",O1175-Q1175-L1175)</f>
        <v/>
      </c>
      <c r="S1175" s="21" t="str">
        <f aca="false">IF(OR($B1175="",N(O1175)=0),"",R1175/O1175)</f>
        <v/>
      </c>
      <c r="T1175" s="14"/>
      <c r="U1175" s="19" t="n">
        <f aca="false">IF(OR($B1175="",$A1175=""),0,IF(COUNTIFS($A$5:$A1175,$A1175,$B$5:$B1175,$B1175)=1,1,0))</f>
        <v>0</v>
      </c>
    </row>
    <row r="1176" customFormat="false" ht="15" hidden="false" customHeight="false" outlineLevel="0" collapsed="false">
      <c r="A1176" s="17"/>
      <c r="B1176" s="13"/>
      <c r="C1176" s="20" t="str">
        <f aca="false">IF($B1176="","",IFERROR(INDEX(고객사!$B$5:$B$104,MATCH($B1176,고객사!$A$5:$A$104,0)),"코드 확인"))</f>
        <v/>
      </c>
      <c r="D1176" s="15"/>
      <c r="E1176" s="15"/>
      <c r="F1176" s="16"/>
      <c r="G1176" s="16"/>
      <c r="H1176" s="21" t="str">
        <f aca="false">IF(OR($B1176="",F1176=0),"",G1176/F1176)</f>
        <v/>
      </c>
      <c r="I1176" s="22" t="str">
        <f aca="false">IF($B1176="","",MAX(F1176-G1176,0))</f>
        <v/>
      </c>
      <c r="J1176" s="23" t="str">
        <f aca="false">IF($B1176="","",IFERROR(INDEX(고객사!$G$5:$G$104,MATCH($B1176,고객사!$A$5:$A$104,0)),""))</f>
        <v/>
      </c>
      <c r="K1176" s="16"/>
      <c r="L1176" s="22" t="str">
        <f aca="false">IF($B1176="","",K1176*IFERROR(INDEX(고객사!$L$5:$L$104,MATCH($B1176,고객사!$A$5:$A$104,0)),0))</f>
        <v/>
      </c>
      <c r="M1176" s="23" t="str">
        <f aca="false">IF($B1176="","",IF(AND(J1176="N",G1176&gt;0,K1176=0,IFERROR(INDEX(고객사!$H$5:$H$104,MATCH($B1176,고객사!$A$5:$A$104,0)),"")="자사 차량 운행"),"차량 미배정",""))</f>
        <v/>
      </c>
      <c r="N1176" s="22" t="str">
        <f aca="false">IF($B1176="","",IFERROR(INDEX(고객사!$J$5:$J$104,MATCH($B1176,고객사!$A$5:$A$104,0)),0))</f>
        <v/>
      </c>
      <c r="O1176" s="22" t="str">
        <f aca="false">IF($B1176="","",G1176*N1176)</f>
        <v/>
      </c>
      <c r="P1176" s="22" t="str">
        <f aca="false">IF($B1176="","",IFERROR(INDEX(고객사!$K$5:$K$104,MATCH($B1176,고객사!$A$5:$A$104,0)),0))</f>
        <v/>
      </c>
      <c r="Q1176" s="22" t="str">
        <f aca="false">IF($B1176="","",G1176*P1176)</f>
        <v/>
      </c>
      <c r="R1176" s="22" t="str">
        <f aca="false">IF($B1176="","",O1176-Q1176-L1176)</f>
        <v/>
      </c>
      <c r="S1176" s="21" t="str">
        <f aca="false">IF(OR($B1176="",N(O1176)=0),"",R1176/O1176)</f>
        <v/>
      </c>
      <c r="T1176" s="14"/>
      <c r="U1176" s="19" t="n">
        <f aca="false">IF(OR($B1176="",$A1176=""),0,IF(COUNTIFS($A$5:$A1176,$A1176,$B$5:$B1176,$B1176)=1,1,0))</f>
        <v>0</v>
      </c>
    </row>
    <row r="1177" customFormat="false" ht="15" hidden="false" customHeight="false" outlineLevel="0" collapsed="false">
      <c r="A1177" s="17"/>
      <c r="B1177" s="13"/>
      <c r="C1177" s="20" t="str">
        <f aca="false">IF($B1177="","",IFERROR(INDEX(고객사!$B$5:$B$104,MATCH($B1177,고객사!$A$5:$A$104,0)),"코드 확인"))</f>
        <v/>
      </c>
      <c r="D1177" s="15"/>
      <c r="E1177" s="15"/>
      <c r="F1177" s="16"/>
      <c r="G1177" s="16"/>
      <c r="H1177" s="21" t="str">
        <f aca="false">IF(OR($B1177="",F1177=0),"",G1177/F1177)</f>
        <v/>
      </c>
      <c r="I1177" s="22" t="str">
        <f aca="false">IF($B1177="","",MAX(F1177-G1177,0))</f>
        <v/>
      </c>
      <c r="J1177" s="23" t="str">
        <f aca="false">IF($B1177="","",IFERROR(INDEX(고객사!$G$5:$G$104,MATCH($B1177,고객사!$A$5:$A$104,0)),""))</f>
        <v/>
      </c>
      <c r="K1177" s="16"/>
      <c r="L1177" s="22" t="str">
        <f aca="false">IF($B1177="","",K1177*IFERROR(INDEX(고객사!$L$5:$L$104,MATCH($B1177,고객사!$A$5:$A$104,0)),0))</f>
        <v/>
      </c>
      <c r="M1177" s="23" t="str">
        <f aca="false">IF($B1177="","",IF(AND(J1177="N",G1177&gt;0,K1177=0,IFERROR(INDEX(고객사!$H$5:$H$104,MATCH($B1177,고객사!$A$5:$A$104,0)),"")="자사 차량 운행"),"차량 미배정",""))</f>
        <v/>
      </c>
      <c r="N1177" s="22" t="str">
        <f aca="false">IF($B1177="","",IFERROR(INDEX(고객사!$J$5:$J$104,MATCH($B1177,고객사!$A$5:$A$104,0)),0))</f>
        <v/>
      </c>
      <c r="O1177" s="22" t="str">
        <f aca="false">IF($B1177="","",G1177*N1177)</f>
        <v/>
      </c>
      <c r="P1177" s="22" t="str">
        <f aca="false">IF($B1177="","",IFERROR(INDEX(고객사!$K$5:$K$104,MATCH($B1177,고객사!$A$5:$A$104,0)),0))</f>
        <v/>
      </c>
      <c r="Q1177" s="22" t="str">
        <f aca="false">IF($B1177="","",G1177*P1177)</f>
        <v/>
      </c>
      <c r="R1177" s="22" t="str">
        <f aca="false">IF($B1177="","",O1177-Q1177-L1177)</f>
        <v/>
      </c>
      <c r="S1177" s="21" t="str">
        <f aca="false">IF(OR($B1177="",N(O1177)=0),"",R1177/O1177)</f>
        <v/>
      </c>
      <c r="T1177" s="14"/>
      <c r="U1177" s="19" t="n">
        <f aca="false">IF(OR($B1177="",$A1177=""),0,IF(COUNTIFS($A$5:$A1177,$A1177,$B$5:$B1177,$B1177)=1,1,0))</f>
        <v>0</v>
      </c>
    </row>
    <row r="1178" customFormat="false" ht="15" hidden="false" customHeight="false" outlineLevel="0" collapsed="false">
      <c r="A1178" s="17"/>
      <c r="B1178" s="13"/>
      <c r="C1178" s="20" t="str">
        <f aca="false">IF($B1178="","",IFERROR(INDEX(고객사!$B$5:$B$104,MATCH($B1178,고객사!$A$5:$A$104,0)),"코드 확인"))</f>
        <v/>
      </c>
      <c r="D1178" s="15"/>
      <c r="E1178" s="15"/>
      <c r="F1178" s="16"/>
      <c r="G1178" s="16"/>
      <c r="H1178" s="21" t="str">
        <f aca="false">IF(OR($B1178="",F1178=0),"",G1178/F1178)</f>
        <v/>
      </c>
      <c r="I1178" s="22" t="str">
        <f aca="false">IF($B1178="","",MAX(F1178-G1178,0))</f>
        <v/>
      </c>
      <c r="J1178" s="23" t="str">
        <f aca="false">IF($B1178="","",IFERROR(INDEX(고객사!$G$5:$G$104,MATCH($B1178,고객사!$A$5:$A$104,0)),""))</f>
        <v/>
      </c>
      <c r="K1178" s="16"/>
      <c r="L1178" s="22" t="str">
        <f aca="false">IF($B1178="","",K1178*IFERROR(INDEX(고객사!$L$5:$L$104,MATCH($B1178,고객사!$A$5:$A$104,0)),0))</f>
        <v/>
      </c>
      <c r="M1178" s="23" t="str">
        <f aca="false">IF($B1178="","",IF(AND(J1178="N",G1178&gt;0,K1178=0,IFERROR(INDEX(고객사!$H$5:$H$104,MATCH($B1178,고객사!$A$5:$A$104,0)),"")="자사 차량 운행"),"차량 미배정",""))</f>
        <v/>
      </c>
      <c r="N1178" s="22" t="str">
        <f aca="false">IF($B1178="","",IFERROR(INDEX(고객사!$J$5:$J$104,MATCH($B1178,고객사!$A$5:$A$104,0)),0))</f>
        <v/>
      </c>
      <c r="O1178" s="22" t="str">
        <f aca="false">IF($B1178="","",G1178*N1178)</f>
        <v/>
      </c>
      <c r="P1178" s="22" t="str">
        <f aca="false">IF($B1178="","",IFERROR(INDEX(고객사!$K$5:$K$104,MATCH($B1178,고객사!$A$5:$A$104,0)),0))</f>
        <v/>
      </c>
      <c r="Q1178" s="22" t="str">
        <f aca="false">IF($B1178="","",G1178*P1178)</f>
        <v/>
      </c>
      <c r="R1178" s="22" t="str">
        <f aca="false">IF($B1178="","",O1178-Q1178-L1178)</f>
        <v/>
      </c>
      <c r="S1178" s="21" t="str">
        <f aca="false">IF(OR($B1178="",N(O1178)=0),"",R1178/O1178)</f>
        <v/>
      </c>
      <c r="T1178" s="14"/>
      <c r="U1178" s="19" t="n">
        <f aca="false">IF(OR($B1178="",$A1178=""),0,IF(COUNTIFS($A$5:$A1178,$A1178,$B$5:$B1178,$B1178)=1,1,0))</f>
        <v>0</v>
      </c>
    </row>
    <row r="1179" customFormat="false" ht="15" hidden="false" customHeight="false" outlineLevel="0" collapsed="false">
      <c r="A1179" s="17"/>
      <c r="B1179" s="13"/>
      <c r="C1179" s="20" t="str">
        <f aca="false">IF($B1179="","",IFERROR(INDEX(고객사!$B$5:$B$104,MATCH($B1179,고객사!$A$5:$A$104,0)),"코드 확인"))</f>
        <v/>
      </c>
      <c r="D1179" s="15"/>
      <c r="E1179" s="15"/>
      <c r="F1179" s="16"/>
      <c r="G1179" s="16"/>
      <c r="H1179" s="21" t="str">
        <f aca="false">IF(OR($B1179="",F1179=0),"",G1179/F1179)</f>
        <v/>
      </c>
      <c r="I1179" s="22" t="str">
        <f aca="false">IF($B1179="","",MAX(F1179-G1179,0))</f>
        <v/>
      </c>
      <c r="J1179" s="23" t="str">
        <f aca="false">IF($B1179="","",IFERROR(INDEX(고객사!$G$5:$G$104,MATCH($B1179,고객사!$A$5:$A$104,0)),""))</f>
        <v/>
      </c>
      <c r="K1179" s="16"/>
      <c r="L1179" s="22" t="str">
        <f aca="false">IF($B1179="","",K1179*IFERROR(INDEX(고객사!$L$5:$L$104,MATCH($B1179,고객사!$A$5:$A$104,0)),0))</f>
        <v/>
      </c>
      <c r="M1179" s="23" t="str">
        <f aca="false">IF($B1179="","",IF(AND(J1179="N",G1179&gt;0,K1179=0,IFERROR(INDEX(고객사!$H$5:$H$104,MATCH($B1179,고객사!$A$5:$A$104,0)),"")="자사 차량 운행"),"차량 미배정",""))</f>
        <v/>
      </c>
      <c r="N1179" s="22" t="str">
        <f aca="false">IF($B1179="","",IFERROR(INDEX(고객사!$J$5:$J$104,MATCH($B1179,고객사!$A$5:$A$104,0)),0))</f>
        <v/>
      </c>
      <c r="O1179" s="22" t="str">
        <f aca="false">IF($B1179="","",G1179*N1179)</f>
        <v/>
      </c>
      <c r="P1179" s="22" t="str">
        <f aca="false">IF($B1179="","",IFERROR(INDEX(고객사!$K$5:$K$104,MATCH($B1179,고객사!$A$5:$A$104,0)),0))</f>
        <v/>
      </c>
      <c r="Q1179" s="22" t="str">
        <f aca="false">IF($B1179="","",G1179*P1179)</f>
        <v/>
      </c>
      <c r="R1179" s="22" t="str">
        <f aca="false">IF($B1179="","",O1179-Q1179-L1179)</f>
        <v/>
      </c>
      <c r="S1179" s="21" t="str">
        <f aca="false">IF(OR($B1179="",N(O1179)=0),"",R1179/O1179)</f>
        <v/>
      </c>
      <c r="T1179" s="14"/>
      <c r="U1179" s="19" t="n">
        <f aca="false">IF(OR($B1179="",$A1179=""),0,IF(COUNTIFS($A$5:$A1179,$A1179,$B$5:$B1179,$B1179)=1,1,0))</f>
        <v>0</v>
      </c>
    </row>
    <row r="1180" customFormat="false" ht="15" hidden="false" customHeight="false" outlineLevel="0" collapsed="false">
      <c r="A1180" s="17"/>
      <c r="B1180" s="13"/>
      <c r="C1180" s="20" t="str">
        <f aca="false">IF($B1180="","",IFERROR(INDEX(고객사!$B$5:$B$104,MATCH($B1180,고객사!$A$5:$A$104,0)),"코드 확인"))</f>
        <v/>
      </c>
      <c r="D1180" s="15"/>
      <c r="E1180" s="15"/>
      <c r="F1180" s="16"/>
      <c r="G1180" s="16"/>
      <c r="H1180" s="21" t="str">
        <f aca="false">IF(OR($B1180="",F1180=0),"",G1180/F1180)</f>
        <v/>
      </c>
      <c r="I1180" s="22" t="str">
        <f aca="false">IF($B1180="","",MAX(F1180-G1180,0))</f>
        <v/>
      </c>
      <c r="J1180" s="23" t="str">
        <f aca="false">IF($B1180="","",IFERROR(INDEX(고객사!$G$5:$G$104,MATCH($B1180,고객사!$A$5:$A$104,0)),""))</f>
        <v/>
      </c>
      <c r="K1180" s="16"/>
      <c r="L1180" s="22" t="str">
        <f aca="false">IF($B1180="","",K1180*IFERROR(INDEX(고객사!$L$5:$L$104,MATCH($B1180,고객사!$A$5:$A$104,0)),0))</f>
        <v/>
      </c>
      <c r="M1180" s="23" t="str">
        <f aca="false">IF($B1180="","",IF(AND(J1180="N",G1180&gt;0,K1180=0,IFERROR(INDEX(고객사!$H$5:$H$104,MATCH($B1180,고객사!$A$5:$A$104,0)),"")="자사 차량 운행"),"차량 미배정",""))</f>
        <v/>
      </c>
      <c r="N1180" s="22" t="str">
        <f aca="false">IF($B1180="","",IFERROR(INDEX(고객사!$J$5:$J$104,MATCH($B1180,고객사!$A$5:$A$104,0)),0))</f>
        <v/>
      </c>
      <c r="O1180" s="22" t="str">
        <f aca="false">IF($B1180="","",G1180*N1180)</f>
        <v/>
      </c>
      <c r="P1180" s="22" t="str">
        <f aca="false">IF($B1180="","",IFERROR(INDEX(고객사!$K$5:$K$104,MATCH($B1180,고객사!$A$5:$A$104,0)),0))</f>
        <v/>
      </c>
      <c r="Q1180" s="22" t="str">
        <f aca="false">IF($B1180="","",G1180*P1180)</f>
        <v/>
      </c>
      <c r="R1180" s="22" t="str">
        <f aca="false">IF($B1180="","",O1180-Q1180-L1180)</f>
        <v/>
      </c>
      <c r="S1180" s="21" t="str">
        <f aca="false">IF(OR($B1180="",N(O1180)=0),"",R1180/O1180)</f>
        <v/>
      </c>
      <c r="T1180" s="14"/>
      <c r="U1180" s="19" t="n">
        <f aca="false">IF(OR($B1180="",$A1180=""),0,IF(COUNTIFS($A$5:$A1180,$A1180,$B$5:$B1180,$B1180)=1,1,0))</f>
        <v>0</v>
      </c>
    </row>
    <row r="1181" customFormat="false" ht="15" hidden="false" customHeight="false" outlineLevel="0" collapsed="false">
      <c r="A1181" s="17"/>
      <c r="B1181" s="13"/>
      <c r="C1181" s="20" t="str">
        <f aca="false">IF($B1181="","",IFERROR(INDEX(고객사!$B$5:$B$104,MATCH($B1181,고객사!$A$5:$A$104,0)),"코드 확인"))</f>
        <v/>
      </c>
      <c r="D1181" s="15"/>
      <c r="E1181" s="15"/>
      <c r="F1181" s="16"/>
      <c r="G1181" s="16"/>
      <c r="H1181" s="21" t="str">
        <f aca="false">IF(OR($B1181="",F1181=0),"",G1181/F1181)</f>
        <v/>
      </c>
      <c r="I1181" s="22" t="str">
        <f aca="false">IF($B1181="","",MAX(F1181-G1181,0))</f>
        <v/>
      </c>
      <c r="J1181" s="23" t="str">
        <f aca="false">IF($B1181="","",IFERROR(INDEX(고객사!$G$5:$G$104,MATCH($B1181,고객사!$A$5:$A$104,0)),""))</f>
        <v/>
      </c>
      <c r="K1181" s="16"/>
      <c r="L1181" s="22" t="str">
        <f aca="false">IF($B1181="","",K1181*IFERROR(INDEX(고객사!$L$5:$L$104,MATCH($B1181,고객사!$A$5:$A$104,0)),0))</f>
        <v/>
      </c>
      <c r="M1181" s="23" t="str">
        <f aca="false">IF($B1181="","",IF(AND(J1181="N",G1181&gt;0,K1181=0,IFERROR(INDEX(고객사!$H$5:$H$104,MATCH($B1181,고객사!$A$5:$A$104,0)),"")="자사 차량 운행"),"차량 미배정",""))</f>
        <v/>
      </c>
      <c r="N1181" s="22" t="str">
        <f aca="false">IF($B1181="","",IFERROR(INDEX(고객사!$J$5:$J$104,MATCH($B1181,고객사!$A$5:$A$104,0)),0))</f>
        <v/>
      </c>
      <c r="O1181" s="22" t="str">
        <f aca="false">IF($B1181="","",G1181*N1181)</f>
        <v/>
      </c>
      <c r="P1181" s="22" t="str">
        <f aca="false">IF($B1181="","",IFERROR(INDEX(고객사!$K$5:$K$104,MATCH($B1181,고객사!$A$5:$A$104,0)),0))</f>
        <v/>
      </c>
      <c r="Q1181" s="22" t="str">
        <f aca="false">IF($B1181="","",G1181*P1181)</f>
        <v/>
      </c>
      <c r="R1181" s="22" t="str">
        <f aca="false">IF($B1181="","",O1181-Q1181-L1181)</f>
        <v/>
      </c>
      <c r="S1181" s="21" t="str">
        <f aca="false">IF(OR($B1181="",N(O1181)=0),"",R1181/O1181)</f>
        <v/>
      </c>
      <c r="T1181" s="14"/>
      <c r="U1181" s="19" t="n">
        <f aca="false">IF(OR($B1181="",$A1181=""),0,IF(COUNTIFS($A$5:$A1181,$A1181,$B$5:$B1181,$B1181)=1,1,0))</f>
        <v>0</v>
      </c>
    </row>
    <row r="1182" customFormat="false" ht="15" hidden="false" customHeight="false" outlineLevel="0" collapsed="false">
      <c r="A1182" s="17"/>
      <c r="B1182" s="13"/>
      <c r="C1182" s="20" t="str">
        <f aca="false">IF($B1182="","",IFERROR(INDEX(고객사!$B$5:$B$104,MATCH($B1182,고객사!$A$5:$A$104,0)),"코드 확인"))</f>
        <v/>
      </c>
      <c r="D1182" s="15"/>
      <c r="E1182" s="15"/>
      <c r="F1182" s="16"/>
      <c r="G1182" s="16"/>
      <c r="H1182" s="21" t="str">
        <f aca="false">IF(OR($B1182="",F1182=0),"",G1182/F1182)</f>
        <v/>
      </c>
      <c r="I1182" s="22" t="str">
        <f aca="false">IF($B1182="","",MAX(F1182-G1182,0))</f>
        <v/>
      </c>
      <c r="J1182" s="23" t="str">
        <f aca="false">IF($B1182="","",IFERROR(INDEX(고객사!$G$5:$G$104,MATCH($B1182,고객사!$A$5:$A$104,0)),""))</f>
        <v/>
      </c>
      <c r="K1182" s="16"/>
      <c r="L1182" s="22" t="str">
        <f aca="false">IF($B1182="","",K1182*IFERROR(INDEX(고객사!$L$5:$L$104,MATCH($B1182,고객사!$A$5:$A$104,0)),0))</f>
        <v/>
      </c>
      <c r="M1182" s="23" t="str">
        <f aca="false">IF($B1182="","",IF(AND(J1182="N",G1182&gt;0,K1182=0,IFERROR(INDEX(고객사!$H$5:$H$104,MATCH($B1182,고객사!$A$5:$A$104,0)),"")="자사 차량 운행"),"차량 미배정",""))</f>
        <v/>
      </c>
      <c r="N1182" s="22" t="str">
        <f aca="false">IF($B1182="","",IFERROR(INDEX(고객사!$J$5:$J$104,MATCH($B1182,고객사!$A$5:$A$104,0)),0))</f>
        <v/>
      </c>
      <c r="O1182" s="22" t="str">
        <f aca="false">IF($B1182="","",G1182*N1182)</f>
        <v/>
      </c>
      <c r="P1182" s="22" t="str">
        <f aca="false">IF($B1182="","",IFERROR(INDEX(고객사!$K$5:$K$104,MATCH($B1182,고객사!$A$5:$A$104,0)),0))</f>
        <v/>
      </c>
      <c r="Q1182" s="22" t="str">
        <f aca="false">IF($B1182="","",G1182*P1182)</f>
        <v/>
      </c>
      <c r="R1182" s="22" t="str">
        <f aca="false">IF($B1182="","",O1182-Q1182-L1182)</f>
        <v/>
      </c>
      <c r="S1182" s="21" t="str">
        <f aca="false">IF(OR($B1182="",N(O1182)=0),"",R1182/O1182)</f>
        <v/>
      </c>
      <c r="T1182" s="14"/>
      <c r="U1182" s="19" t="n">
        <f aca="false">IF(OR($B1182="",$A1182=""),0,IF(COUNTIFS($A$5:$A1182,$A1182,$B$5:$B1182,$B1182)=1,1,0))</f>
        <v>0</v>
      </c>
    </row>
    <row r="1183" customFormat="false" ht="15" hidden="false" customHeight="false" outlineLevel="0" collapsed="false">
      <c r="A1183" s="17"/>
      <c r="B1183" s="13"/>
      <c r="C1183" s="20" t="str">
        <f aca="false">IF($B1183="","",IFERROR(INDEX(고객사!$B$5:$B$104,MATCH($B1183,고객사!$A$5:$A$104,0)),"코드 확인"))</f>
        <v/>
      </c>
      <c r="D1183" s="15"/>
      <c r="E1183" s="15"/>
      <c r="F1183" s="16"/>
      <c r="G1183" s="16"/>
      <c r="H1183" s="21" t="str">
        <f aca="false">IF(OR($B1183="",F1183=0),"",G1183/F1183)</f>
        <v/>
      </c>
      <c r="I1183" s="22" t="str">
        <f aca="false">IF($B1183="","",MAX(F1183-G1183,0))</f>
        <v/>
      </c>
      <c r="J1183" s="23" t="str">
        <f aca="false">IF($B1183="","",IFERROR(INDEX(고객사!$G$5:$G$104,MATCH($B1183,고객사!$A$5:$A$104,0)),""))</f>
        <v/>
      </c>
      <c r="K1183" s="16"/>
      <c r="L1183" s="22" t="str">
        <f aca="false">IF($B1183="","",K1183*IFERROR(INDEX(고객사!$L$5:$L$104,MATCH($B1183,고객사!$A$5:$A$104,0)),0))</f>
        <v/>
      </c>
      <c r="M1183" s="23" t="str">
        <f aca="false">IF($B1183="","",IF(AND(J1183="N",G1183&gt;0,K1183=0,IFERROR(INDEX(고객사!$H$5:$H$104,MATCH($B1183,고객사!$A$5:$A$104,0)),"")="자사 차량 운행"),"차량 미배정",""))</f>
        <v/>
      </c>
      <c r="N1183" s="22" t="str">
        <f aca="false">IF($B1183="","",IFERROR(INDEX(고객사!$J$5:$J$104,MATCH($B1183,고객사!$A$5:$A$104,0)),0))</f>
        <v/>
      </c>
      <c r="O1183" s="22" t="str">
        <f aca="false">IF($B1183="","",G1183*N1183)</f>
        <v/>
      </c>
      <c r="P1183" s="22" t="str">
        <f aca="false">IF($B1183="","",IFERROR(INDEX(고객사!$K$5:$K$104,MATCH($B1183,고객사!$A$5:$A$104,0)),0))</f>
        <v/>
      </c>
      <c r="Q1183" s="22" t="str">
        <f aca="false">IF($B1183="","",G1183*P1183)</f>
        <v/>
      </c>
      <c r="R1183" s="22" t="str">
        <f aca="false">IF($B1183="","",O1183-Q1183-L1183)</f>
        <v/>
      </c>
      <c r="S1183" s="21" t="str">
        <f aca="false">IF(OR($B1183="",N(O1183)=0),"",R1183/O1183)</f>
        <v/>
      </c>
      <c r="T1183" s="14"/>
      <c r="U1183" s="19" t="n">
        <f aca="false">IF(OR($B1183="",$A1183=""),0,IF(COUNTIFS($A$5:$A1183,$A1183,$B$5:$B1183,$B1183)=1,1,0))</f>
        <v>0</v>
      </c>
    </row>
    <row r="1184" customFormat="false" ht="15" hidden="false" customHeight="false" outlineLevel="0" collapsed="false">
      <c r="A1184" s="17"/>
      <c r="B1184" s="13"/>
      <c r="C1184" s="20" t="str">
        <f aca="false">IF($B1184="","",IFERROR(INDEX(고객사!$B$5:$B$104,MATCH($B1184,고객사!$A$5:$A$104,0)),"코드 확인"))</f>
        <v/>
      </c>
      <c r="D1184" s="15"/>
      <c r="E1184" s="15"/>
      <c r="F1184" s="16"/>
      <c r="G1184" s="16"/>
      <c r="H1184" s="21" t="str">
        <f aca="false">IF(OR($B1184="",F1184=0),"",G1184/F1184)</f>
        <v/>
      </c>
      <c r="I1184" s="22" t="str">
        <f aca="false">IF($B1184="","",MAX(F1184-G1184,0))</f>
        <v/>
      </c>
      <c r="J1184" s="23" t="str">
        <f aca="false">IF($B1184="","",IFERROR(INDEX(고객사!$G$5:$G$104,MATCH($B1184,고객사!$A$5:$A$104,0)),""))</f>
        <v/>
      </c>
      <c r="K1184" s="16"/>
      <c r="L1184" s="22" t="str">
        <f aca="false">IF($B1184="","",K1184*IFERROR(INDEX(고객사!$L$5:$L$104,MATCH($B1184,고객사!$A$5:$A$104,0)),0))</f>
        <v/>
      </c>
      <c r="M1184" s="23" t="str">
        <f aca="false">IF($B1184="","",IF(AND(J1184="N",G1184&gt;0,K1184=0,IFERROR(INDEX(고객사!$H$5:$H$104,MATCH($B1184,고객사!$A$5:$A$104,0)),"")="자사 차량 운행"),"차량 미배정",""))</f>
        <v/>
      </c>
      <c r="N1184" s="22" t="str">
        <f aca="false">IF($B1184="","",IFERROR(INDEX(고객사!$J$5:$J$104,MATCH($B1184,고객사!$A$5:$A$104,0)),0))</f>
        <v/>
      </c>
      <c r="O1184" s="22" t="str">
        <f aca="false">IF($B1184="","",G1184*N1184)</f>
        <v/>
      </c>
      <c r="P1184" s="22" t="str">
        <f aca="false">IF($B1184="","",IFERROR(INDEX(고객사!$K$5:$K$104,MATCH($B1184,고객사!$A$5:$A$104,0)),0))</f>
        <v/>
      </c>
      <c r="Q1184" s="22" t="str">
        <f aca="false">IF($B1184="","",G1184*P1184)</f>
        <v/>
      </c>
      <c r="R1184" s="22" t="str">
        <f aca="false">IF($B1184="","",O1184-Q1184-L1184)</f>
        <v/>
      </c>
      <c r="S1184" s="21" t="str">
        <f aca="false">IF(OR($B1184="",N(O1184)=0),"",R1184/O1184)</f>
        <v/>
      </c>
      <c r="T1184" s="14"/>
      <c r="U1184" s="19" t="n">
        <f aca="false">IF(OR($B1184="",$A1184=""),0,IF(COUNTIFS($A$5:$A1184,$A1184,$B$5:$B1184,$B1184)=1,1,0))</f>
        <v>0</v>
      </c>
    </row>
    <row r="1185" customFormat="false" ht="15" hidden="false" customHeight="false" outlineLevel="0" collapsed="false">
      <c r="A1185" s="17"/>
      <c r="B1185" s="13"/>
      <c r="C1185" s="20" t="str">
        <f aca="false">IF($B1185="","",IFERROR(INDEX(고객사!$B$5:$B$104,MATCH($B1185,고객사!$A$5:$A$104,0)),"코드 확인"))</f>
        <v/>
      </c>
      <c r="D1185" s="15"/>
      <c r="E1185" s="15"/>
      <c r="F1185" s="16"/>
      <c r="G1185" s="16"/>
      <c r="H1185" s="21" t="str">
        <f aca="false">IF(OR($B1185="",F1185=0),"",G1185/F1185)</f>
        <v/>
      </c>
      <c r="I1185" s="22" t="str">
        <f aca="false">IF($B1185="","",MAX(F1185-G1185,0))</f>
        <v/>
      </c>
      <c r="J1185" s="23" t="str">
        <f aca="false">IF($B1185="","",IFERROR(INDEX(고객사!$G$5:$G$104,MATCH($B1185,고객사!$A$5:$A$104,0)),""))</f>
        <v/>
      </c>
      <c r="K1185" s="16"/>
      <c r="L1185" s="22" t="str">
        <f aca="false">IF($B1185="","",K1185*IFERROR(INDEX(고객사!$L$5:$L$104,MATCH($B1185,고객사!$A$5:$A$104,0)),0))</f>
        <v/>
      </c>
      <c r="M1185" s="23" t="str">
        <f aca="false">IF($B1185="","",IF(AND(J1185="N",G1185&gt;0,K1185=0,IFERROR(INDEX(고객사!$H$5:$H$104,MATCH($B1185,고객사!$A$5:$A$104,0)),"")="자사 차량 운행"),"차량 미배정",""))</f>
        <v/>
      </c>
      <c r="N1185" s="22" t="str">
        <f aca="false">IF($B1185="","",IFERROR(INDEX(고객사!$J$5:$J$104,MATCH($B1185,고객사!$A$5:$A$104,0)),0))</f>
        <v/>
      </c>
      <c r="O1185" s="22" t="str">
        <f aca="false">IF($B1185="","",G1185*N1185)</f>
        <v/>
      </c>
      <c r="P1185" s="22" t="str">
        <f aca="false">IF($B1185="","",IFERROR(INDEX(고객사!$K$5:$K$104,MATCH($B1185,고객사!$A$5:$A$104,0)),0))</f>
        <v/>
      </c>
      <c r="Q1185" s="22" t="str">
        <f aca="false">IF($B1185="","",G1185*P1185)</f>
        <v/>
      </c>
      <c r="R1185" s="22" t="str">
        <f aca="false">IF($B1185="","",O1185-Q1185-L1185)</f>
        <v/>
      </c>
      <c r="S1185" s="21" t="str">
        <f aca="false">IF(OR($B1185="",N(O1185)=0),"",R1185/O1185)</f>
        <v/>
      </c>
      <c r="T1185" s="14"/>
      <c r="U1185" s="19" t="n">
        <f aca="false">IF(OR($B1185="",$A1185=""),0,IF(COUNTIFS($A$5:$A1185,$A1185,$B$5:$B1185,$B1185)=1,1,0))</f>
        <v>0</v>
      </c>
    </row>
    <row r="1186" customFormat="false" ht="15" hidden="false" customHeight="false" outlineLevel="0" collapsed="false">
      <c r="A1186" s="17"/>
      <c r="B1186" s="13"/>
      <c r="C1186" s="20" t="str">
        <f aca="false">IF($B1186="","",IFERROR(INDEX(고객사!$B$5:$B$104,MATCH($B1186,고객사!$A$5:$A$104,0)),"코드 확인"))</f>
        <v/>
      </c>
      <c r="D1186" s="15"/>
      <c r="E1186" s="15"/>
      <c r="F1186" s="16"/>
      <c r="G1186" s="16"/>
      <c r="H1186" s="21" t="str">
        <f aca="false">IF(OR($B1186="",F1186=0),"",G1186/F1186)</f>
        <v/>
      </c>
      <c r="I1186" s="22" t="str">
        <f aca="false">IF($B1186="","",MAX(F1186-G1186,0))</f>
        <v/>
      </c>
      <c r="J1186" s="23" t="str">
        <f aca="false">IF($B1186="","",IFERROR(INDEX(고객사!$G$5:$G$104,MATCH($B1186,고객사!$A$5:$A$104,0)),""))</f>
        <v/>
      </c>
      <c r="K1186" s="16"/>
      <c r="L1186" s="22" t="str">
        <f aca="false">IF($B1186="","",K1186*IFERROR(INDEX(고객사!$L$5:$L$104,MATCH($B1186,고객사!$A$5:$A$104,0)),0))</f>
        <v/>
      </c>
      <c r="M1186" s="23" t="str">
        <f aca="false">IF($B1186="","",IF(AND(J1186="N",G1186&gt;0,K1186=0,IFERROR(INDEX(고객사!$H$5:$H$104,MATCH($B1186,고객사!$A$5:$A$104,0)),"")="자사 차량 운행"),"차량 미배정",""))</f>
        <v/>
      </c>
      <c r="N1186" s="22" t="str">
        <f aca="false">IF($B1186="","",IFERROR(INDEX(고객사!$J$5:$J$104,MATCH($B1186,고객사!$A$5:$A$104,0)),0))</f>
        <v/>
      </c>
      <c r="O1186" s="22" t="str">
        <f aca="false">IF($B1186="","",G1186*N1186)</f>
        <v/>
      </c>
      <c r="P1186" s="22" t="str">
        <f aca="false">IF($B1186="","",IFERROR(INDEX(고객사!$K$5:$K$104,MATCH($B1186,고객사!$A$5:$A$104,0)),0))</f>
        <v/>
      </c>
      <c r="Q1186" s="22" t="str">
        <f aca="false">IF($B1186="","",G1186*P1186)</f>
        <v/>
      </c>
      <c r="R1186" s="22" t="str">
        <f aca="false">IF($B1186="","",O1186-Q1186-L1186)</f>
        <v/>
      </c>
      <c r="S1186" s="21" t="str">
        <f aca="false">IF(OR($B1186="",N(O1186)=0),"",R1186/O1186)</f>
        <v/>
      </c>
      <c r="T1186" s="14"/>
      <c r="U1186" s="19" t="n">
        <f aca="false">IF(OR($B1186="",$A1186=""),0,IF(COUNTIFS($A$5:$A1186,$A1186,$B$5:$B1186,$B1186)=1,1,0))</f>
        <v>0</v>
      </c>
    </row>
    <row r="1187" customFormat="false" ht="15" hidden="false" customHeight="false" outlineLevel="0" collapsed="false">
      <c r="A1187" s="17"/>
      <c r="B1187" s="13"/>
      <c r="C1187" s="20" t="str">
        <f aca="false">IF($B1187="","",IFERROR(INDEX(고객사!$B$5:$B$104,MATCH($B1187,고객사!$A$5:$A$104,0)),"코드 확인"))</f>
        <v/>
      </c>
      <c r="D1187" s="15"/>
      <c r="E1187" s="15"/>
      <c r="F1187" s="16"/>
      <c r="G1187" s="16"/>
      <c r="H1187" s="21" t="str">
        <f aca="false">IF(OR($B1187="",F1187=0),"",G1187/F1187)</f>
        <v/>
      </c>
      <c r="I1187" s="22" t="str">
        <f aca="false">IF($B1187="","",MAX(F1187-G1187,0))</f>
        <v/>
      </c>
      <c r="J1187" s="23" t="str">
        <f aca="false">IF($B1187="","",IFERROR(INDEX(고객사!$G$5:$G$104,MATCH($B1187,고객사!$A$5:$A$104,0)),""))</f>
        <v/>
      </c>
      <c r="K1187" s="16"/>
      <c r="L1187" s="22" t="str">
        <f aca="false">IF($B1187="","",K1187*IFERROR(INDEX(고객사!$L$5:$L$104,MATCH($B1187,고객사!$A$5:$A$104,0)),0))</f>
        <v/>
      </c>
      <c r="M1187" s="23" t="str">
        <f aca="false">IF($B1187="","",IF(AND(J1187="N",G1187&gt;0,K1187=0,IFERROR(INDEX(고객사!$H$5:$H$104,MATCH($B1187,고객사!$A$5:$A$104,0)),"")="자사 차량 운행"),"차량 미배정",""))</f>
        <v/>
      </c>
      <c r="N1187" s="22" t="str">
        <f aca="false">IF($B1187="","",IFERROR(INDEX(고객사!$J$5:$J$104,MATCH($B1187,고객사!$A$5:$A$104,0)),0))</f>
        <v/>
      </c>
      <c r="O1187" s="22" t="str">
        <f aca="false">IF($B1187="","",G1187*N1187)</f>
        <v/>
      </c>
      <c r="P1187" s="22" t="str">
        <f aca="false">IF($B1187="","",IFERROR(INDEX(고객사!$K$5:$K$104,MATCH($B1187,고객사!$A$5:$A$104,0)),0))</f>
        <v/>
      </c>
      <c r="Q1187" s="22" t="str">
        <f aca="false">IF($B1187="","",G1187*P1187)</f>
        <v/>
      </c>
      <c r="R1187" s="22" t="str">
        <f aca="false">IF($B1187="","",O1187-Q1187-L1187)</f>
        <v/>
      </c>
      <c r="S1187" s="21" t="str">
        <f aca="false">IF(OR($B1187="",N(O1187)=0),"",R1187/O1187)</f>
        <v/>
      </c>
      <c r="T1187" s="14"/>
      <c r="U1187" s="19" t="n">
        <f aca="false">IF(OR($B1187="",$A1187=""),0,IF(COUNTIFS($A$5:$A1187,$A1187,$B$5:$B1187,$B1187)=1,1,0))</f>
        <v>0</v>
      </c>
    </row>
    <row r="1188" customFormat="false" ht="15" hidden="false" customHeight="false" outlineLevel="0" collapsed="false">
      <c r="A1188" s="17"/>
      <c r="B1188" s="13"/>
      <c r="C1188" s="20" t="str">
        <f aca="false">IF($B1188="","",IFERROR(INDEX(고객사!$B$5:$B$104,MATCH($B1188,고객사!$A$5:$A$104,0)),"코드 확인"))</f>
        <v/>
      </c>
      <c r="D1188" s="15"/>
      <c r="E1188" s="15"/>
      <c r="F1188" s="16"/>
      <c r="G1188" s="16"/>
      <c r="H1188" s="21" t="str">
        <f aca="false">IF(OR($B1188="",F1188=0),"",G1188/F1188)</f>
        <v/>
      </c>
      <c r="I1188" s="22" t="str">
        <f aca="false">IF($B1188="","",MAX(F1188-G1188,0))</f>
        <v/>
      </c>
      <c r="J1188" s="23" t="str">
        <f aca="false">IF($B1188="","",IFERROR(INDEX(고객사!$G$5:$G$104,MATCH($B1188,고객사!$A$5:$A$104,0)),""))</f>
        <v/>
      </c>
      <c r="K1188" s="16"/>
      <c r="L1188" s="22" t="str">
        <f aca="false">IF($B1188="","",K1188*IFERROR(INDEX(고객사!$L$5:$L$104,MATCH($B1188,고객사!$A$5:$A$104,0)),0))</f>
        <v/>
      </c>
      <c r="M1188" s="23" t="str">
        <f aca="false">IF($B1188="","",IF(AND(J1188="N",G1188&gt;0,K1188=0,IFERROR(INDEX(고객사!$H$5:$H$104,MATCH($B1188,고객사!$A$5:$A$104,0)),"")="자사 차량 운행"),"차량 미배정",""))</f>
        <v/>
      </c>
      <c r="N1188" s="22" t="str">
        <f aca="false">IF($B1188="","",IFERROR(INDEX(고객사!$J$5:$J$104,MATCH($B1188,고객사!$A$5:$A$104,0)),0))</f>
        <v/>
      </c>
      <c r="O1188" s="22" t="str">
        <f aca="false">IF($B1188="","",G1188*N1188)</f>
        <v/>
      </c>
      <c r="P1188" s="22" t="str">
        <f aca="false">IF($B1188="","",IFERROR(INDEX(고객사!$K$5:$K$104,MATCH($B1188,고객사!$A$5:$A$104,0)),0))</f>
        <v/>
      </c>
      <c r="Q1188" s="22" t="str">
        <f aca="false">IF($B1188="","",G1188*P1188)</f>
        <v/>
      </c>
      <c r="R1188" s="22" t="str">
        <f aca="false">IF($B1188="","",O1188-Q1188-L1188)</f>
        <v/>
      </c>
      <c r="S1188" s="21" t="str">
        <f aca="false">IF(OR($B1188="",N(O1188)=0),"",R1188/O1188)</f>
        <v/>
      </c>
      <c r="T1188" s="14"/>
      <c r="U1188" s="19" t="n">
        <f aca="false">IF(OR($B1188="",$A1188=""),0,IF(COUNTIFS($A$5:$A1188,$A1188,$B$5:$B1188,$B1188)=1,1,0))</f>
        <v>0</v>
      </c>
    </row>
    <row r="1189" customFormat="false" ht="15" hidden="false" customHeight="false" outlineLevel="0" collapsed="false">
      <c r="A1189" s="17"/>
      <c r="B1189" s="13"/>
      <c r="C1189" s="20" t="str">
        <f aca="false">IF($B1189="","",IFERROR(INDEX(고객사!$B$5:$B$104,MATCH($B1189,고객사!$A$5:$A$104,0)),"코드 확인"))</f>
        <v/>
      </c>
      <c r="D1189" s="15"/>
      <c r="E1189" s="15"/>
      <c r="F1189" s="16"/>
      <c r="G1189" s="16"/>
      <c r="H1189" s="21" t="str">
        <f aca="false">IF(OR($B1189="",F1189=0),"",G1189/F1189)</f>
        <v/>
      </c>
      <c r="I1189" s="22" t="str">
        <f aca="false">IF($B1189="","",MAX(F1189-G1189,0))</f>
        <v/>
      </c>
      <c r="J1189" s="23" t="str">
        <f aca="false">IF($B1189="","",IFERROR(INDEX(고객사!$G$5:$G$104,MATCH($B1189,고객사!$A$5:$A$104,0)),""))</f>
        <v/>
      </c>
      <c r="K1189" s="16"/>
      <c r="L1189" s="22" t="str">
        <f aca="false">IF($B1189="","",K1189*IFERROR(INDEX(고객사!$L$5:$L$104,MATCH($B1189,고객사!$A$5:$A$104,0)),0))</f>
        <v/>
      </c>
      <c r="M1189" s="23" t="str">
        <f aca="false">IF($B1189="","",IF(AND(J1189="N",G1189&gt;0,K1189=0,IFERROR(INDEX(고객사!$H$5:$H$104,MATCH($B1189,고객사!$A$5:$A$104,0)),"")="자사 차량 운행"),"차량 미배정",""))</f>
        <v/>
      </c>
      <c r="N1189" s="22" t="str">
        <f aca="false">IF($B1189="","",IFERROR(INDEX(고객사!$J$5:$J$104,MATCH($B1189,고객사!$A$5:$A$104,0)),0))</f>
        <v/>
      </c>
      <c r="O1189" s="22" t="str">
        <f aca="false">IF($B1189="","",G1189*N1189)</f>
        <v/>
      </c>
      <c r="P1189" s="22" t="str">
        <f aca="false">IF($B1189="","",IFERROR(INDEX(고객사!$K$5:$K$104,MATCH($B1189,고객사!$A$5:$A$104,0)),0))</f>
        <v/>
      </c>
      <c r="Q1189" s="22" t="str">
        <f aca="false">IF($B1189="","",G1189*P1189)</f>
        <v/>
      </c>
      <c r="R1189" s="22" t="str">
        <f aca="false">IF($B1189="","",O1189-Q1189-L1189)</f>
        <v/>
      </c>
      <c r="S1189" s="21" t="str">
        <f aca="false">IF(OR($B1189="",N(O1189)=0),"",R1189/O1189)</f>
        <v/>
      </c>
      <c r="T1189" s="14"/>
      <c r="U1189" s="19" t="n">
        <f aca="false">IF(OR($B1189="",$A1189=""),0,IF(COUNTIFS($A$5:$A1189,$A1189,$B$5:$B1189,$B1189)=1,1,0))</f>
        <v>0</v>
      </c>
    </row>
    <row r="1190" customFormat="false" ht="15" hidden="false" customHeight="false" outlineLevel="0" collapsed="false">
      <c r="A1190" s="17"/>
      <c r="B1190" s="13"/>
      <c r="C1190" s="20" t="str">
        <f aca="false">IF($B1190="","",IFERROR(INDEX(고객사!$B$5:$B$104,MATCH($B1190,고객사!$A$5:$A$104,0)),"코드 확인"))</f>
        <v/>
      </c>
      <c r="D1190" s="15"/>
      <c r="E1190" s="15"/>
      <c r="F1190" s="16"/>
      <c r="G1190" s="16"/>
      <c r="H1190" s="21" t="str">
        <f aca="false">IF(OR($B1190="",F1190=0),"",G1190/F1190)</f>
        <v/>
      </c>
      <c r="I1190" s="22" t="str">
        <f aca="false">IF($B1190="","",MAX(F1190-G1190,0))</f>
        <v/>
      </c>
      <c r="J1190" s="23" t="str">
        <f aca="false">IF($B1190="","",IFERROR(INDEX(고객사!$G$5:$G$104,MATCH($B1190,고객사!$A$5:$A$104,0)),""))</f>
        <v/>
      </c>
      <c r="K1190" s="16"/>
      <c r="L1190" s="22" t="str">
        <f aca="false">IF($B1190="","",K1190*IFERROR(INDEX(고객사!$L$5:$L$104,MATCH($B1190,고객사!$A$5:$A$104,0)),0))</f>
        <v/>
      </c>
      <c r="M1190" s="23" t="str">
        <f aca="false">IF($B1190="","",IF(AND(J1190="N",G1190&gt;0,K1190=0,IFERROR(INDEX(고객사!$H$5:$H$104,MATCH($B1190,고객사!$A$5:$A$104,0)),"")="자사 차량 운행"),"차량 미배정",""))</f>
        <v/>
      </c>
      <c r="N1190" s="22" t="str">
        <f aca="false">IF($B1190="","",IFERROR(INDEX(고객사!$J$5:$J$104,MATCH($B1190,고객사!$A$5:$A$104,0)),0))</f>
        <v/>
      </c>
      <c r="O1190" s="22" t="str">
        <f aca="false">IF($B1190="","",G1190*N1190)</f>
        <v/>
      </c>
      <c r="P1190" s="22" t="str">
        <f aca="false">IF($B1190="","",IFERROR(INDEX(고객사!$K$5:$K$104,MATCH($B1190,고객사!$A$5:$A$104,0)),0))</f>
        <v/>
      </c>
      <c r="Q1190" s="22" t="str">
        <f aca="false">IF($B1190="","",G1190*P1190)</f>
        <v/>
      </c>
      <c r="R1190" s="22" t="str">
        <f aca="false">IF($B1190="","",O1190-Q1190-L1190)</f>
        <v/>
      </c>
      <c r="S1190" s="21" t="str">
        <f aca="false">IF(OR($B1190="",N(O1190)=0),"",R1190/O1190)</f>
        <v/>
      </c>
      <c r="T1190" s="14"/>
      <c r="U1190" s="19" t="n">
        <f aca="false">IF(OR($B1190="",$A1190=""),0,IF(COUNTIFS($A$5:$A1190,$A1190,$B$5:$B1190,$B1190)=1,1,0))</f>
        <v>0</v>
      </c>
    </row>
    <row r="1191" customFormat="false" ht="15" hidden="false" customHeight="false" outlineLevel="0" collapsed="false">
      <c r="A1191" s="17"/>
      <c r="B1191" s="13"/>
      <c r="C1191" s="20" t="str">
        <f aca="false">IF($B1191="","",IFERROR(INDEX(고객사!$B$5:$B$104,MATCH($B1191,고객사!$A$5:$A$104,0)),"코드 확인"))</f>
        <v/>
      </c>
      <c r="D1191" s="15"/>
      <c r="E1191" s="15"/>
      <c r="F1191" s="16"/>
      <c r="G1191" s="16"/>
      <c r="H1191" s="21" t="str">
        <f aca="false">IF(OR($B1191="",F1191=0),"",G1191/F1191)</f>
        <v/>
      </c>
      <c r="I1191" s="22" t="str">
        <f aca="false">IF($B1191="","",MAX(F1191-G1191,0))</f>
        <v/>
      </c>
      <c r="J1191" s="23" t="str">
        <f aca="false">IF($B1191="","",IFERROR(INDEX(고객사!$G$5:$G$104,MATCH($B1191,고객사!$A$5:$A$104,0)),""))</f>
        <v/>
      </c>
      <c r="K1191" s="16"/>
      <c r="L1191" s="22" t="str">
        <f aca="false">IF($B1191="","",K1191*IFERROR(INDEX(고객사!$L$5:$L$104,MATCH($B1191,고객사!$A$5:$A$104,0)),0))</f>
        <v/>
      </c>
      <c r="M1191" s="23" t="str">
        <f aca="false">IF($B1191="","",IF(AND(J1191="N",G1191&gt;0,K1191=0,IFERROR(INDEX(고객사!$H$5:$H$104,MATCH($B1191,고객사!$A$5:$A$104,0)),"")="자사 차량 운행"),"차량 미배정",""))</f>
        <v/>
      </c>
      <c r="N1191" s="22" t="str">
        <f aca="false">IF($B1191="","",IFERROR(INDEX(고객사!$J$5:$J$104,MATCH($B1191,고객사!$A$5:$A$104,0)),0))</f>
        <v/>
      </c>
      <c r="O1191" s="22" t="str">
        <f aca="false">IF($B1191="","",G1191*N1191)</f>
        <v/>
      </c>
      <c r="P1191" s="22" t="str">
        <f aca="false">IF($B1191="","",IFERROR(INDEX(고객사!$K$5:$K$104,MATCH($B1191,고객사!$A$5:$A$104,0)),0))</f>
        <v/>
      </c>
      <c r="Q1191" s="22" t="str">
        <f aca="false">IF($B1191="","",G1191*P1191)</f>
        <v/>
      </c>
      <c r="R1191" s="22" t="str">
        <f aca="false">IF($B1191="","",O1191-Q1191-L1191)</f>
        <v/>
      </c>
      <c r="S1191" s="21" t="str">
        <f aca="false">IF(OR($B1191="",N(O1191)=0),"",R1191/O1191)</f>
        <v/>
      </c>
      <c r="T1191" s="14"/>
      <c r="U1191" s="19" t="n">
        <f aca="false">IF(OR($B1191="",$A1191=""),0,IF(COUNTIFS($A$5:$A1191,$A1191,$B$5:$B1191,$B1191)=1,1,0))</f>
        <v>0</v>
      </c>
    </row>
    <row r="1192" customFormat="false" ht="15" hidden="false" customHeight="false" outlineLevel="0" collapsed="false">
      <c r="A1192" s="17"/>
      <c r="B1192" s="13"/>
      <c r="C1192" s="20" t="str">
        <f aca="false">IF($B1192="","",IFERROR(INDEX(고객사!$B$5:$B$104,MATCH($B1192,고객사!$A$5:$A$104,0)),"코드 확인"))</f>
        <v/>
      </c>
      <c r="D1192" s="15"/>
      <c r="E1192" s="15"/>
      <c r="F1192" s="16"/>
      <c r="G1192" s="16"/>
      <c r="H1192" s="21" t="str">
        <f aca="false">IF(OR($B1192="",F1192=0),"",G1192/F1192)</f>
        <v/>
      </c>
      <c r="I1192" s="22" t="str">
        <f aca="false">IF($B1192="","",MAX(F1192-G1192,0))</f>
        <v/>
      </c>
      <c r="J1192" s="23" t="str">
        <f aca="false">IF($B1192="","",IFERROR(INDEX(고객사!$G$5:$G$104,MATCH($B1192,고객사!$A$5:$A$104,0)),""))</f>
        <v/>
      </c>
      <c r="K1192" s="16"/>
      <c r="L1192" s="22" t="str">
        <f aca="false">IF($B1192="","",K1192*IFERROR(INDEX(고객사!$L$5:$L$104,MATCH($B1192,고객사!$A$5:$A$104,0)),0))</f>
        <v/>
      </c>
      <c r="M1192" s="23" t="str">
        <f aca="false">IF($B1192="","",IF(AND(J1192="N",G1192&gt;0,K1192=0,IFERROR(INDEX(고객사!$H$5:$H$104,MATCH($B1192,고객사!$A$5:$A$104,0)),"")="자사 차량 운행"),"차량 미배정",""))</f>
        <v/>
      </c>
      <c r="N1192" s="22" t="str">
        <f aca="false">IF($B1192="","",IFERROR(INDEX(고객사!$J$5:$J$104,MATCH($B1192,고객사!$A$5:$A$104,0)),0))</f>
        <v/>
      </c>
      <c r="O1192" s="22" t="str">
        <f aca="false">IF($B1192="","",G1192*N1192)</f>
        <v/>
      </c>
      <c r="P1192" s="22" t="str">
        <f aca="false">IF($B1192="","",IFERROR(INDEX(고객사!$K$5:$K$104,MATCH($B1192,고객사!$A$5:$A$104,0)),0))</f>
        <v/>
      </c>
      <c r="Q1192" s="22" t="str">
        <f aca="false">IF($B1192="","",G1192*P1192)</f>
        <v/>
      </c>
      <c r="R1192" s="22" t="str">
        <f aca="false">IF($B1192="","",O1192-Q1192-L1192)</f>
        <v/>
      </c>
      <c r="S1192" s="21" t="str">
        <f aca="false">IF(OR($B1192="",N(O1192)=0),"",R1192/O1192)</f>
        <v/>
      </c>
      <c r="T1192" s="14"/>
      <c r="U1192" s="19" t="n">
        <f aca="false">IF(OR($B1192="",$A1192=""),0,IF(COUNTIFS($A$5:$A1192,$A1192,$B$5:$B1192,$B1192)=1,1,0))</f>
        <v>0</v>
      </c>
    </row>
    <row r="1193" customFormat="false" ht="15" hidden="false" customHeight="false" outlineLevel="0" collapsed="false">
      <c r="A1193" s="17"/>
      <c r="B1193" s="13"/>
      <c r="C1193" s="20" t="str">
        <f aca="false">IF($B1193="","",IFERROR(INDEX(고객사!$B$5:$B$104,MATCH($B1193,고객사!$A$5:$A$104,0)),"코드 확인"))</f>
        <v/>
      </c>
      <c r="D1193" s="15"/>
      <c r="E1193" s="15"/>
      <c r="F1193" s="16"/>
      <c r="G1193" s="16"/>
      <c r="H1193" s="21" t="str">
        <f aca="false">IF(OR($B1193="",F1193=0),"",G1193/F1193)</f>
        <v/>
      </c>
      <c r="I1193" s="22" t="str">
        <f aca="false">IF($B1193="","",MAX(F1193-G1193,0))</f>
        <v/>
      </c>
      <c r="J1193" s="23" t="str">
        <f aca="false">IF($B1193="","",IFERROR(INDEX(고객사!$G$5:$G$104,MATCH($B1193,고객사!$A$5:$A$104,0)),""))</f>
        <v/>
      </c>
      <c r="K1193" s="16"/>
      <c r="L1193" s="22" t="str">
        <f aca="false">IF($B1193="","",K1193*IFERROR(INDEX(고객사!$L$5:$L$104,MATCH($B1193,고객사!$A$5:$A$104,0)),0))</f>
        <v/>
      </c>
      <c r="M1193" s="23" t="str">
        <f aca="false">IF($B1193="","",IF(AND(J1193="N",G1193&gt;0,K1193=0,IFERROR(INDEX(고객사!$H$5:$H$104,MATCH($B1193,고객사!$A$5:$A$104,0)),"")="자사 차량 운행"),"차량 미배정",""))</f>
        <v/>
      </c>
      <c r="N1193" s="22" t="str">
        <f aca="false">IF($B1193="","",IFERROR(INDEX(고객사!$J$5:$J$104,MATCH($B1193,고객사!$A$5:$A$104,0)),0))</f>
        <v/>
      </c>
      <c r="O1193" s="22" t="str">
        <f aca="false">IF($B1193="","",G1193*N1193)</f>
        <v/>
      </c>
      <c r="P1193" s="22" t="str">
        <f aca="false">IF($B1193="","",IFERROR(INDEX(고객사!$K$5:$K$104,MATCH($B1193,고객사!$A$5:$A$104,0)),0))</f>
        <v/>
      </c>
      <c r="Q1193" s="22" t="str">
        <f aca="false">IF($B1193="","",G1193*P1193)</f>
        <v/>
      </c>
      <c r="R1193" s="22" t="str">
        <f aca="false">IF($B1193="","",O1193-Q1193-L1193)</f>
        <v/>
      </c>
      <c r="S1193" s="21" t="str">
        <f aca="false">IF(OR($B1193="",N(O1193)=0),"",R1193/O1193)</f>
        <v/>
      </c>
      <c r="T1193" s="14"/>
      <c r="U1193" s="19" t="n">
        <f aca="false">IF(OR($B1193="",$A1193=""),0,IF(COUNTIFS($A$5:$A1193,$A1193,$B$5:$B1193,$B1193)=1,1,0))</f>
        <v>0</v>
      </c>
    </row>
    <row r="1194" customFormat="false" ht="15" hidden="false" customHeight="false" outlineLevel="0" collapsed="false">
      <c r="A1194" s="17"/>
      <c r="B1194" s="13"/>
      <c r="C1194" s="20" t="str">
        <f aca="false">IF($B1194="","",IFERROR(INDEX(고객사!$B$5:$B$104,MATCH($B1194,고객사!$A$5:$A$104,0)),"코드 확인"))</f>
        <v/>
      </c>
      <c r="D1194" s="15"/>
      <c r="E1194" s="15"/>
      <c r="F1194" s="16"/>
      <c r="G1194" s="16"/>
      <c r="H1194" s="21" t="str">
        <f aca="false">IF(OR($B1194="",F1194=0),"",G1194/F1194)</f>
        <v/>
      </c>
      <c r="I1194" s="22" t="str">
        <f aca="false">IF($B1194="","",MAX(F1194-G1194,0))</f>
        <v/>
      </c>
      <c r="J1194" s="23" t="str">
        <f aca="false">IF($B1194="","",IFERROR(INDEX(고객사!$G$5:$G$104,MATCH($B1194,고객사!$A$5:$A$104,0)),""))</f>
        <v/>
      </c>
      <c r="K1194" s="16"/>
      <c r="L1194" s="22" t="str">
        <f aca="false">IF($B1194="","",K1194*IFERROR(INDEX(고객사!$L$5:$L$104,MATCH($B1194,고객사!$A$5:$A$104,0)),0))</f>
        <v/>
      </c>
      <c r="M1194" s="23" t="str">
        <f aca="false">IF($B1194="","",IF(AND(J1194="N",G1194&gt;0,K1194=0,IFERROR(INDEX(고객사!$H$5:$H$104,MATCH($B1194,고객사!$A$5:$A$104,0)),"")="자사 차량 운행"),"차량 미배정",""))</f>
        <v/>
      </c>
      <c r="N1194" s="22" t="str">
        <f aca="false">IF($B1194="","",IFERROR(INDEX(고객사!$J$5:$J$104,MATCH($B1194,고객사!$A$5:$A$104,0)),0))</f>
        <v/>
      </c>
      <c r="O1194" s="22" t="str">
        <f aca="false">IF($B1194="","",G1194*N1194)</f>
        <v/>
      </c>
      <c r="P1194" s="22" t="str">
        <f aca="false">IF($B1194="","",IFERROR(INDEX(고객사!$K$5:$K$104,MATCH($B1194,고객사!$A$5:$A$104,0)),0))</f>
        <v/>
      </c>
      <c r="Q1194" s="22" t="str">
        <f aca="false">IF($B1194="","",G1194*P1194)</f>
        <v/>
      </c>
      <c r="R1194" s="22" t="str">
        <f aca="false">IF($B1194="","",O1194-Q1194-L1194)</f>
        <v/>
      </c>
      <c r="S1194" s="21" t="str">
        <f aca="false">IF(OR($B1194="",N(O1194)=0),"",R1194/O1194)</f>
        <v/>
      </c>
      <c r="T1194" s="14"/>
      <c r="U1194" s="19" t="n">
        <f aca="false">IF(OR($B1194="",$A1194=""),0,IF(COUNTIFS($A$5:$A1194,$A1194,$B$5:$B1194,$B1194)=1,1,0))</f>
        <v>0</v>
      </c>
    </row>
    <row r="1195" customFormat="false" ht="15" hidden="false" customHeight="false" outlineLevel="0" collapsed="false">
      <c r="A1195" s="17"/>
      <c r="B1195" s="13"/>
      <c r="C1195" s="20" t="str">
        <f aca="false">IF($B1195="","",IFERROR(INDEX(고객사!$B$5:$B$104,MATCH($B1195,고객사!$A$5:$A$104,0)),"코드 확인"))</f>
        <v/>
      </c>
      <c r="D1195" s="15"/>
      <c r="E1195" s="15"/>
      <c r="F1195" s="16"/>
      <c r="G1195" s="16"/>
      <c r="H1195" s="21" t="str">
        <f aca="false">IF(OR($B1195="",F1195=0),"",G1195/F1195)</f>
        <v/>
      </c>
      <c r="I1195" s="22" t="str">
        <f aca="false">IF($B1195="","",MAX(F1195-G1195,0))</f>
        <v/>
      </c>
      <c r="J1195" s="23" t="str">
        <f aca="false">IF($B1195="","",IFERROR(INDEX(고객사!$G$5:$G$104,MATCH($B1195,고객사!$A$5:$A$104,0)),""))</f>
        <v/>
      </c>
      <c r="K1195" s="16"/>
      <c r="L1195" s="22" t="str">
        <f aca="false">IF($B1195="","",K1195*IFERROR(INDEX(고객사!$L$5:$L$104,MATCH($B1195,고객사!$A$5:$A$104,0)),0))</f>
        <v/>
      </c>
      <c r="M1195" s="23" t="str">
        <f aca="false">IF($B1195="","",IF(AND(J1195="N",G1195&gt;0,K1195=0,IFERROR(INDEX(고객사!$H$5:$H$104,MATCH($B1195,고객사!$A$5:$A$104,0)),"")="자사 차량 운행"),"차량 미배정",""))</f>
        <v/>
      </c>
      <c r="N1195" s="22" t="str">
        <f aca="false">IF($B1195="","",IFERROR(INDEX(고객사!$J$5:$J$104,MATCH($B1195,고객사!$A$5:$A$104,0)),0))</f>
        <v/>
      </c>
      <c r="O1195" s="22" t="str">
        <f aca="false">IF($B1195="","",G1195*N1195)</f>
        <v/>
      </c>
      <c r="P1195" s="22" t="str">
        <f aca="false">IF($B1195="","",IFERROR(INDEX(고객사!$K$5:$K$104,MATCH($B1195,고객사!$A$5:$A$104,0)),0))</f>
        <v/>
      </c>
      <c r="Q1195" s="22" t="str">
        <f aca="false">IF($B1195="","",G1195*P1195)</f>
        <v/>
      </c>
      <c r="R1195" s="22" t="str">
        <f aca="false">IF($B1195="","",O1195-Q1195-L1195)</f>
        <v/>
      </c>
      <c r="S1195" s="21" t="str">
        <f aca="false">IF(OR($B1195="",N(O1195)=0),"",R1195/O1195)</f>
        <v/>
      </c>
      <c r="T1195" s="14"/>
      <c r="U1195" s="19" t="n">
        <f aca="false">IF(OR($B1195="",$A1195=""),0,IF(COUNTIFS($A$5:$A1195,$A1195,$B$5:$B1195,$B1195)=1,1,0))</f>
        <v>0</v>
      </c>
    </row>
    <row r="1196" customFormat="false" ht="15" hidden="false" customHeight="false" outlineLevel="0" collapsed="false">
      <c r="A1196" s="17"/>
      <c r="B1196" s="13"/>
      <c r="C1196" s="20" t="str">
        <f aca="false">IF($B1196="","",IFERROR(INDEX(고객사!$B$5:$B$104,MATCH($B1196,고객사!$A$5:$A$104,0)),"코드 확인"))</f>
        <v/>
      </c>
      <c r="D1196" s="15"/>
      <c r="E1196" s="15"/>
      <c r="F1196" s="16"/>
      <c r="G1196" s="16"/>
      <c r="H1196" s="21" t="str">
        <f aca="false">IF(OR($B1196="",F1196=0),"",G1196/F1196)</f>
        <v/>
      </c>
      <c r="I1196" s="22" t="str">
        <f aca="false">IF($B1196="","",MAX(F1196-G1196,0))</f>
        <v/>
      </c>
      <c r="J1196" s="23" t="str">
        <f aca="false">IF($B1196="","",IFERROR(INDEX(고객사!$G$5:$G$104,MATCH($B1196,고객사!$A$5:$A$104,0)),""))</f>
        <v/>
      </c>
      <c r="K1196" s="16"/>
      <c r="L1196" s="22" t="str">
        <f aca="false">IF($B1196="","",K1196*IFERROR(INDEX(고객사!$L$5:$L$104,MATCH($B1196,고객사!$A$5:$A$104,0)),0))</f>
        <v/>
      </c>
      <c r="M1196" s="23" t="str">
        <f aca="false">IF($B1196="","",IF(AND(J1196="N",G1196&gt;0,K1196=0,IFERROR(INDEX(고객사!$H$5:$H$104,MATCH($B1196,고객사!$A$5:$A$104,0)),"")="자사 차량 운행"),"차량 미배정",""))</f>
        <v/>
      </c>
      <c r="N1196" s="22" t="str">
        <f aca="false">IF($B1196="","",IFERROR(INDEX(고객사!$J$5:$J$104,MATCH($B1196,고객사!$A$5:$A$104,0)),0))</f>
        <v/>
      </c>
      <c r="O1196" s="22" t="str">
        <f aca="false">IF($B1196="","",G1196*N1196)</f>
        <v/>
      </c>
      <c r="P1196" s="22" t="str">
        <f aca="false">IF($B1196="","",IFERROR(INDEX(고객사!$K$5:$K$104,MATCH($B1196,고객사!$A$5:$A$104,0)),0))</f>
        <v/>
      </c>
      <c r="Q1196" s="22" t="str">
        <f aca="false">IF($B1196="","",G1196*P1196)</f>
        <v/>
      </c>
      <c r="R1196" s="22" t="str">
        <f aca="false">IF($B1196="","",O1196-Q1196-L1196)</f>
        <v/>
      </c>
      <c r="S1196" s="21" t="str">
        <f aca="false">IF(OR($B1196="",N(O1196)=0),"",R1196/O1196)</f>
        <v/>
      </c>
      <c r="T1196" s="14"/>
      <c r="U1196" s="19" t="n">
        <f aca="false">IF(OR($B1196="",$A1196=""),0,IF(COUNTIFS($A$5:$A1196,$A1196,$B$5:$B1196,$B1196)=1,1,0))</f>
        <v>0</v>
      </c>
    </row>
    <row r="1197" customFormat="false" ht="15" hidden="false" customHeight="false" outlineLevel="0" collapsed="false">
      <c r="A1197" s="17"/>
      <c r="B1197" s="13"/>
      <c r="C1197" s="20" t="str">
        <f aca="false">IF($B1197="","",IFERROR(INDEX(고객사!$B$5:$B$104,MATCH($B1197,고객사!$A$5:$A$104,0)),"코드 확인"))</f>
        <v/>
      </c>
      <c r="D1197" s="15"/>
      <c r="E1197" s="15"/>
      <c r="F1197" s="16"/>
      <c r="G1197" s="16"/>
      <c r="H1197" s="21" t="str">
        <f aca="false">IF(OR($B1197="",F1197=0),"",G1197/F1197)</f>
        <v/>
      </c>
      <c r="I1197" s="22" t="str">
        <f aca="false">IF($B1197="","",MAX(F1197-G1197,0))</f>
        <v/>
      </c>
      <c r="J1197" s="23" t="str">
        <f aca="false">IF($B1197="","",IFERROR(INDEX(고객사!$G$5:$G$104,MATCH($B1197,고객사!$A$5:$A$104,0)),""))</f>
        <v/>
      </c>
      <c r="K1197" s="16"/>
      <c r="L1197" s="22" t="str">
        <f aca="false">IF($B1197="","",K1197*IFERROR(INDEX(고객사!$L$5:$L$104,MATCH($B1197,고객사!$A$5:$A$104,0)),0))</f>
        <v/>
      </c>
      <c r="M1197" s="23" t="str">
        <f aca="false">IF($B1197="","",IF(AND(J1197="N",G1197&gt;0,K1197=0,IFERROR(INDEX(고객사!$H$5:$H$104,MATCH($B1197,고객사!$A$5:$A$104,0)),"")="자사 차량 운행"),"차량 미배정",""))</f>
        <v/>
      </c>
      <c r="N1197" s="22" t="str">
        <f aca="false">IF($B1197="","",IFERROR(INDEX(고객사!$J$5:$J$104,MATCH($B1197,고객사!$A$5:$A$104,0)),0))</f>
        <v/>
      </c>
      <c r="O1197" s="22" t="str">
        <f aca="false">IF($B1197="","",G1197*N1197)</f>
        <v/>
      </c>
      <c r="P1197" s="22" t="str">
        <f aca="false">IF($B1197="","",IFERROR(INDEX(고객사!$K$5:$K$104,MATCH($B1197,고객사!$A$5:$A$104,0)),0))</f>
        <v/>
      </c>
      <c r="Q1197" s="22" t="str">
        <f aca="false">IF($B1197="","",G1197*P1197)</f>
        <v/>
      </c>
      <c r="R1197" s="22" t="str">
        <f aca="false">IF($B1197="","",O1197-Q1197-L1197)</f>
        <v/>
      </c>
      <c r="S1197" s="21" t="str">
        <f aca="false">IF(OR($B1197="",N(O1197)=0),"",R1197/O1197)</f>
        <v/>
      </c>
      <c r="T1197" s="14"/>
      <c r="U1197" s="19" t="n">
        <f aca="false">IF(OR($B1197="",$A1197=""),0,IF(COUNTIFS($A$5:$A1197,$A1197,$B$5:$B1197,$B1197)=1,1,0))</f>
        <v>0</v>
      </c>
    </row>
    <row r="1198" customFormat="false" ht="15" hidden="false" customHeight="false" outlineLevel="0" collapsed="false">
      <c r="A1198" s="17"/>
      <c r="B1198" s="13"/>
      <c r="C1198" s="20" t="str">
        <f aca="false">IF($B1198="","",IFERROR(INDEX(고객사!$B$5:$B$104,MATCH($B1198,고객사!$A$5:$A$104,0)),"코드 확인"))</f>
        <v/>
      </c>
      <c r="D1198" s="15"/>
      <c r="E1198" s="15"/>
      <c r="F1198" s="16"/>
      <c r="G1198" s="16"/>
      <c r="H1198" s="21" t="str">
        <f aca="false">IF(OR($B1198="",F1198=0),"",G1198/F1198)</f>
        <v/>
      </c>
      <c r="I1198" s="22" t="str">
        <f aca="false">IF($B1198="","",MAX(F1198-G1198,0))</f>
        <v/>
      </c>
      <c r="J1198" s="23" t="str">
        <f aca="false">IF($B1198="","",IFERROR(INDEX(고객사!$G$5:$G$104,MATCH($B1198,고객사!$A$5:$A$104,0)),""))</f>
        <v/>
      </c>
      <c r="K1198" s="16"/>
      <c r="L1198" s="22" t="str">
        <f aca="false">IF($B1198="","",K1198*IFERROR(INDEX(고객사!$L$5:$L$104,MATCH($B1198,고객사!$A$5:$A$104,0)),0))</f>
        <v/>
      </c>
      <c r="M1198" s="23" t="str">
        <f aca="false">IF($B1198="","",IF(AND(J1198="N",G1198&gt;0,K1198=0,IFERROR(INDEX(고객사!$H$5:$H$104,MATCH($B1198,고객사!$A$5:$A$104,0)),"")="자사 차량 운행"),"차량 미배정",""))</f>
        <v/>
      </c>
      <c r="N1198" s="22" t="str">
        <f aca="false">IF($B1198="","",IFERROR(INDEX(고객사!$J$5:$J$104,MATCH($B1198,고객사!$A$5:$A$104,0)),0))</f>
        <v/>
      </c>
      <c r="O1198" s="22" t="str">
        <f aca="false">IF($B1198="","",G1198*N1198)</f>
        <v/>
      </c>
      <c r="P1198" s="22" t="str">
        <f aca="false">IF($B1198="","",IFERROR(INDEX(고객사!$K$5:$K$104,MATCH($B1198,고객사!$A$5:$A$104,0)),0))</f>
        <v/>
      </c>
      <c r="Q1198" s="22" t="str">
        <f aca="false">IF($B1198="","",G1198*P1198)</f>
        <v/>
      </c>
      <c r="R1198" s="22" t="str">
        <f aca="false">IF($B1198="","",O1198-Q1198-L1198)</f>
        <v/>
      </c>
      <c r="S1198" s="21" t="str">
        <f aca="false">IF(OR($B1198="",N(O1198)=0),"",R1198/O1198)</f>
        <v/>
      </c>
      <c r="T1198" s="14"/>
      <c r="U1198" s="19" t="n">
        <f aca="false">IF(OR($B1198="",$A1198=""),0,IF(COUNTIFS($A$5:$A1198,$A1198,$B$5:$B1198,$B1198)=1,1,0))</f>
        <v>0</v>
      </c>
    </row>
    <row r="1199" customFormat="false" ht="15" hidden="false" customHeight="false" outlineLevel="0" collapsed="false">
      <c r="A1199" s="17"/>
      <c r="B1199" s="13"/>
      <c r="C1199" s="20" t="str">
        <f aca="false">IF($B1199="","",IFERROR(INDEX(고객사!$B$5:$B$104,MATCH($B1199,고객사!$A$5:$A$104,0)),"코드 확인"))</f>
        <v/>
      </c>
      <c r="D1199" s="15"/>
      <c r="E1199" s="15"/>
      <c r="F1199" s="16"/>
      <c r="G1199" s="16"/>
      <c r="H1199" s="21" t="str">
        <f aca="false">IF(OR($B1199="",F1199=0),"",G1199/F1199)</f>
        <v/>
      </c>
      <c r="I1199" s="22" t="str">
        <f aca="false">IF($B1199="","",MAX(F1199-G1199,0))</f>
        <v/>
      </c>
      <c r="J1199" s="23" t="str">
        <f aca="false">IF($B1199="","",IFERROR(INDEX(고객사!$G$5:$G$104,MATCH($B1199,고객사!$A$5:$A$104,0)),""))</f>
        <v/>
      </c>
      <c r="K1199" s="16"/>
      <c r="L1199" s="22" t="str">
        <f aca="false">IF($B1199="","",K1199*IFERROR(INDEX(고객사!$L$5:$L$104,MATCH($B1199,고객사!$A$5:$A$104,0)),0))</f>
        <v/>
      </c>
      <c r="M1199" s="23" t="str">
        <f aca="false">IF($B1199="","",IF(AND(J1199="N",G1199&gt;0,K1199=0,IFERROR(INDEX(고객사!$H$5:$H$104,MATCH($B1199,고객사!$A$5:$A$104,0)),"")="자사 차량 운행"),"차량 미배정",""))</f>
        <v/>
      </c>
      <c r="N1199" s="22" t="str">
        <f aca="false">IF($B1199="","",IFERROR(INDEX(고객사!$J$5:$J$104,MATCH($B1199,고객사!$A$5:$A$104,0)),0))</f>
        <v/>
      </c>
      <c r="O1199" s="22" t="str">
        <f aca="false">IF($B1199="","",G1199*N1199)</f>
        <v/>
      </c>
      <c r="P1199" s="22" t="str">
        <f aca="false">IF($B1199="","",IFERROR(INDEX(고객사!$K$5:$K$104,MATCH($B1199,고객사!$A$5:$A$104,0)),0))</f>
        <v/>
      </c>
      <c r="Q1199" s="22" t="str">
        <f aca="false">IF($B1199="","",G1199*P1199)</f>
        <v/>
      </c>
      <c r="R1199" s="22" t="str">
        <f aca="false">IF($B1199="","",O1199-Q1199-L1199)</f>
        <v/>
      </c>
      <c r="S1199" s="21" t="str">
        <f aca="false">IF(OR($B1199="",N(O1199)=0),"",R1199/O1199)</f>
        <v/>
      </c>
      <c r="T1199" s="14"/>
      <c r="U1199" s="19" t="n">
        <f aca="false">IF(OR($B1199="",$A1199=""),0,IF(COUNTIFS($A$5:$A1199,$A1199,$B$5:$B1199,$B1199)=1,1,0))</f>
        <v>0</v>
      </c>
    </row>
    <row r="1200" customFormat="false" ht="15" hidden="false" customHeight="false" outlineLevel="0" collapsed="false">
      <c r="A1200" s="17"/>
      <c r="B1200" s="13"/>
      <c r="C1200" s="20" t="str">
        <f aca="false">IF($B1200="","",IFERROR(INDEX(고객사!$B$5:$B$104,MATCH($B1200,고객사!$A$5:$A$104,0)),"코드 확인"))</f>
        <v/>
      </c>
      <c r="D1200" s="15"/>
      <c r="E1200" s="15"/>
      <c r="F1200" s="16"/>
      <c r="G1200" s="16"/>
      <c r="H1200" s="21" t="str">
        <f aca="false">IF(OR($B1200="",F1200=0),"",G1200/F1200)</f>
        <v/>
      </c>
      <c r="I1200" s="22" t="str">
        <f aca="false">IF($B1200="","",MAX(F1200-G1200,0))</f>
        <v/>
      </c>
      <c r="J1200" s="23" t="str">
        <f aca="false">IF($B1200="","",IFERROR(INDEX(고객사!$G$5:$G$104,MATCH($B1200,고객사!$A$5:$A$104,0)),""))</f>
        <v/>
      </c>
      <c r="K1200" s="16"/>
      <c r="L1200" s="22" t="str">
        <f aca="false">IF($B1200="","",K1200*IFERROR(INDEX(고객사!$L$5:$L$104,MATCH($B1200,고객사!$A$5:$A$104,0)),0))</f>
        <v/>
      </c>
      <c r="M1200" s="23" t="str">
        <f aca="false">IF($B1200="","",IF(AND(J1200="N",G1200&gt;0,K1200=0,IFERROR(INDEX(고객사!$H$5:$H$104,MATCH($B1200,고객사!$A$5:$A$104,0)),"")="자사 차량 운행"),"차량 미배정",""))</f>
        <v/>
      </c>
      <c r="N1200" s="22" t="str">
        <f aca="false">IF($B1200="","",IFERROR(INDEX(고객사!$J$5:$J$104,MATCH($B1200,고객사!$A$5:$A$104,0)),0))</f>
        <v/>
      </c>
      <c r="O1200" s="22" t="str">
        <f aca="false">IF($B1200="","",G1200*N1200)</f>
        <v/>
      </c>
      <c r="P1200" s="22" t="str">
        <f aca="false">IF($B1200="","",IFERROR(INDEX(고객사!$K$5:$K$104,MATCH($B1200,고객사!$A$5:$A$104,0)),0))</f>
        <v/>
      </c>
      <c r="Q1200" s="22" t="str">
        <f aca="false">IF($B1200="","",G1200*P1200)</f>
        <v/>
      </c>
      <c r="R1200" s="22" t="str">
        <f aca="false">IF($B1200="","",O1200-Q1200-L1200)</f>
        <v/>
      </c>
      <c r="S1200" s="21" t="str">
        <f aca="false">IF(OR($B1200="",N(O1200)=0),"",R1200/O1200)</f>
        <v/>
      </c>
      <c r="T1200" s="14"/>
      <c r="U1200" s="19" t="n">
        <f aca="false">IF(OR($B1200="",$A1200=""),0,IF(COUNTIFS($A$5:$A1200,$A1200,$B$5:$B1200,$B1200)=1,1,0))</f>
        <v>0</v>
      </c>
    </row>
    <row r="1201" customFormat="false" ht="15" hidden="false" customHeight="false" outlineLevel="0" collapsed="false">
      <c r="A1201" s="17"/>
      <c r="B1201" s="13"/>
      <c r="C1201" s="20" t="str">
        <f aca="false">IF($B1201="","",IFERROR(INDEX(고객사!$B$5:$B$104,MATCH($B1201,고객사!$A$5:$A$104,0)),"코드 확인"))</f>
        <v/>
      </c>
      <c r="D1201" s="15"/>
      <c r="E1201" s="15"/>
      <c r="F1201" s="16"/>
      <c r="G1201" s="16"/>
      <c r="H1201" s="21" t="str">
        <f aca="false">IF(OR($B1201="",F1201=0),"",G1201/F1201)</f>
        <v/>
      </c>
      <c r="I1201" s="22" t="str">
        <f aca="false">IF($B1201="","",MAX(F1201-G1201,0))</f>
        <v/>
      </c>
      <c r="J1201" s="23" t="str">
        <f aca="false">IF($B1201="","",IFERROR(INDEX(고객사!$G$5:$G$104,MATCH($B1201,고객사!$A$5:$A$104,0)),""))</f>
        <v/>
      </c>
      <c r="K1201" s="16"/>
      <c r="L1201" s="22" t="str">
        <f aca="false">IF($B1201="","",K1201*IFERROR(INDEX(고객사!$L$5:$L$104,MATCH($B1201,고객사!$A$5:$A$104,0)),0))</f>
        <v/>
      </c>
      <c r="M1201" s="23" t="str">
        <f aca="false">IF($B1201="","",IF(AND(J1201="N",G1201&gt;0,K1201=0,IFERROR(INDEX(고객사!$H$5:$H$104,MATCH($B1201,고객사!$A$5:$A$104,0)),"")="자사 차량 운행"),"차량 미배정",""))</f>
        <v/>
      </c>
      <c r="N1201" s="22" t="str">
        <f aca="false">IF($B1201="","",IFERROR(INDEX(고객사!$J$5:$J$104,MATCH($B1201,고객사!$A$5:$A$104,0)),0))</f>
        <v/>
      </c>
      <c r="O1201" s="22" t="str">
        <f aca="false">IF($B1201="","",G1201*N1201)</f>
        <v/>
      </c>
      <c r="P1201" s="22" t="str">
        <f aca="false">IF($B1201="","",IFERROR(INDEX(고객사!$K$5:$K$104,MATCH($B1201,고객사!$A$5:$A$104,0)),0))</f>
        <v/>
      </c>
      <c r="Q1201" s="22" t="str">
        <f aca="false">IF($B1201="","",G1201*P1201)</f>
        <v/>
      </c>
      <c r="R1201" s="22" t="str">
        <f aca="false">IF($B1201="","",O1201-Q1201-L1201)</f>
        <v/>
      </c>
      <c r="S1201" s="21" t="str">
        <f aca="false">IF(OR($B1201="",N(O1201)=0),"",R1201/O1201)</f>
        <v/>
      </c>
      <c r="T1201" s="14"/>
      <c r="U1201" s="19" t="n">
        <f aca="false">IF(OR($B1201="",$A1201=""),0,IF(COUNTIFS($A$5:$A1201,$A1201,$B$5:$B1201,$B1201)=1,1,0))</f>
        <v>0</v>
      </c>
    </row>
    <row r="1202" customFormat="false" ht="15" hidden="false" customHeight="false" outlineLevel="0" collapsed="false">
      <c r="A1202" s="17"/>
      <c r="B1202" s="13"/>
      <c r="C1202" s="20" t="str">
        <f aca="false">IF($B1202="","",IFERROR(INDEX(고객사!$B$5:$B$104,MATCH($B1202,고객사!$A$5:$A$104,0)),"코드 확인"))</f>
        <v/>
      </c>
      <c r="D1202" s="15"/>
      <c r="E1202" s="15"/>
      <c r="F1202" s="16"/>
      <c r="G1202" s="16"/>
      <c r="H1202" s="21" t="str">
        <f aca="false">IF(OR($B1202="",F1202=0),"",G1202/F1202)</f>
        <v/>
      </c>
      <c r="I1202" s="22" t="str">
        <f aca="false">IF($B1202="","",MAX(F1202-G1202,0))</f>
        <v/>
      </c>
      <c r="J1202" s="23" t="str">
        <f aca="false">IF($B1202="","",IFERROR(INDEX(고객사!$G$5:$G$104,MATCH($B1202,고객사!$A$5:$A$104,0)),""))</f>
        <v/>
      </c>
      <c r="K1202" s="16"/>
      <c r="L1202" s="22" t="str">
        <f aca="false">IF($B1202="","",K1202*IFERROR(INDEX(고객사!$L$5:$L$104,MATCH($B1202,고객사!$A$5:$A$104,0)),0))</f>
        <v/>
      </c>
      <c r="M1202" s="23" t="str">
        <f aca="false">IF($B1202="","",IF(AND(J1202="N",G1202&gt;0,K1202=0,IFERROR(INDEX(고객사!$H$5:$H$104,MATCH($B1202,고객사!$A$5:$A$104,0)),"")="자사 차량 운행"),"차량 미배정",""))</f>
        <v/>
      </c>
      <c r="N1202" s="22" t="str">
        <f aca="false">IF($B1202="","",IFERROR(INDEX(고객사!$J$5:$J$104,MATCH($B1202,고객사!$A$5:$A$104,0)),0))</f>
        <v/>
      </c>
      <c r="O1202" s="22" t="str">
        <f aca="false">IF($B1202="","",G1202*N1202)</f>
        <v/>
      </c>
      <c r="P1202" s="22" t="str">
        <f aca="false">IF($B1202="","",IFERROR(INDEX(고객사!$K$5:$K$104,MATCH($B1202,고객사!$A$5:$A$104,0)),0))</f>
        <v/>
      </c>
      <c r="Q1202" s="22" t="str">
        <f aca="false">IF($B1202="","",G1202*P1202)</f>
        <v/>
      </c>
      <c r="R1202" s="22" t="str">
        <f aca="false">IF($B1202="","",O1202-Q1202-L1202)</f>
        <v/>
      </c>
      <c r="S1202" s="21" t="str">
        <f aca="false">IF(OR($B1202="",N(O1202)=0),"",R1202/O1202)</f>
        <v/>
      </c>
      <c r="T1202" s="14"/>
      <c r="U1202" s="19" t="n">
        <f aca="false">IF(OR($B1202="",$A1202=""),0,IF(COUNTIFS($A$5:$A1202,$A1202,$B$5:$B1202,$B1202)=1,1,0))</f>
        <v>0</v>
      </c>
    </row>
    <row r="1203" customFormat="false" ht="15" hidden="false" customHeight="false" outlineLevel="0" collapsed="false">
      <c r="A1203" s="17"/>
      <c r="B1203" s="13"/>
      <c r="C1203" s="20" t="str">
        <f aca="false">IF($B1203="","",IFERROR(INDEX(고객사!$B$5:$B$104,MATCH($B1203,고객사!$A$5:$A$104,0)),"코드 확인"))</f>
        <v/>
      </c>
      <c r="D1203" s="15"/>
      <c r="E1203" s="15"/>
      <c r="F1203" s="16"/>
      <c r="G1203" s="16"/>
      <c r="H1203" s="21" t="str">
        <f aca="false">IF(OR($B1203="",F1203=0),"",G1203/F1203)</f>
        <v/>
      </c>
      <c r="I1203" s="22" t="str">
        <f aca="false">IF($B1203="","",MAX(F1203-G1203,0))</f>
        <v/>
      </c>
      <c r="J1203" s="23" t="str">
        <f aca="false">IF($B1203="","",IFERROR(INDEX(고객사!$G$5:$G$104,MATCH($B1203,고객사!$A$5:$A$104,0)),""))</f>
        <v/>
      </c>
      <c r="K1203" s="16"/>
      <c r="L1203" s="22" t="str">
        <f aca="false">IF($B1203="","",K1203*IFERROR(INDEX(고객사!$L$5:$L$104,MATCH($B1203,고객사!$A$5:$A$104,0)),0))</f>
        <v/>
      </c>
      <c r="M1203" s="23" t="str">
        <f aca="false">IF($B1203="","",IF(AND(J1203="N",G1203&gt;0,K1203=0,IFERROR(INDEX(고객사!$H$5:$H$104,MATCH($B1203,고객사!$A$5:$A$104,0)),"")="자사 차량 운행"),"차량 미배정",""))</f>
        <v/>
      </c>
      <c r="N1203" s="22" t="str">
        <f aca="false">IF($B1203="","",IFERROR(INDEX(고객사!$J$5:$J$104,MATCH($B1203,고객사!$A$5:$A$104,0)),0))</f>
        <v/>
      </c>
      <c r="O1203" s="22" t="str">
        <f aca="false">IF($B1203="","",G1203*N1203)</f>
        <v/>
      </c>
      <c r="P1203" s="22" t="str">
        <f aca="false">IF($B1203="","",IFERROR(INDEX(고객사!$K$5:$K$104,MATCH($B1203,고객사!$A$5:$A$104,0)),0))</f>
        <v/>
      </c>
      <c r="Q1203" s="22" t="str">
        <f aca="false">IF($B1203="","",G1203*P1203)</f>
        <v/>
      </c>
      <c r="R1203" s="22" t="str">
        <f aca="false">IF($B1203="","",O1203-Q1203-L1203)</f>
        <v/>
      </c>
      <c r="S1203" s="21" t="str">
        <f aca="false">IF(OR($B1203="",N(O1203)=0),"",R1203/O1203)</f>
        <v/>
      </c>
      <c r="T1203" s="14"/>
      <c r="U1203" s="19" t="n">
        <f aca="false">IF(OR($B1203="",$A1203=""),0,IF(COUNTIFS($A$5:$A1203,$A1203,$B$5:$B1203,$B1203)=1,1,0))</f>
        <v>0</v>
      </c>
    </row>
    <row r="1204" customFormat="false" ht="15" hidden="false" customHeight="false" outlineLevel="0" collapsed="false">
      <c r="A1204" s="17"/>
      <c r="B1204" s="13"/>
      <c r="C1204" s="20" t="str">
        <f aca="false">IF($B1204="","",IFERROR(INDEX(고객사!$B$5:$B$104,MATCH($B1204,고객사!$A$5:$A$104,0)),"코드 확인"))</f>
        <v/>
      </c>
      <c r="D1204" s="15"/>
      <c r="E1204" s="15"/>
      <c r="F1204" s="16"/>
      <c r="G1204" s="16"/>
      <c r="H1204" s="21" t="str">
        <f aca="false">IF(OR($B1204="",F1204=0),"",G1204/F1204)</f>
        <v/>
      </c>
      <c r="I1204" s="22" t="str">
        <f aca="false">IF($B1204="","",MAX(F1204-G1204,0))</f>
        <v/>
      </c>
      <c r="J1204" s="23" t="str">
        <f aca="false">IF($B1204="","",IFERROR(INDEX(고객사!$G$5:$G$104,MATCH($B1204,고객사!$A$5:$A$104,0)),""))</f>
        <v/>
      </c>
      <c r="K1204" s="16"/>
      <c r="L1204" s="22" t="str">
        <f aca="false">IF($B1204="","",K1204*IFERROR(INDEX(고객사!$L$5:$L$104,MATCH($B1204,고객사!$A$5:$A$104,0)),0))</f>
        <v/>
      </c>
      <c r="M1204" s="23" t="str">
        <f aca="false">IF($B1204="","",IF(AND(J1204="N",G1204&gt;0,K1204=0,IFERROR(INDEX(고객사!$H$5:$H$104,MATCH($B1204,고객사!$A$5:$A$104,0)),"")="자사 차량 운행"),"차량 미배정",""))</f>
        <v/>
      </c>
      <c r="N1204" s="22" t="str">
        <f aca="false">IF($B1204="","",IFERROR(INDEX(고객사!$J$5:$J$104,MATCH($B1204,고객사!$A$5:$A$104,0)),0))</f>
        <v/>
      </c>
      <c r="O1204" s="22" t="str">
        <f aca="false">IF($B1204="","",G1204*N1204)</f>
        <v/>
      </c>
      <c r="P1204" s="22" t="str">
        <f aca="false">IF($B1204="","",IFERROR(INDEX(고객사!$K$5:$K$104,MATCH($B1204,고객사!$A$5:$A$104,0)),0))</f>
        <v/>
      </c>
      <c r="Q1204" s="22" t="str">
        <f aca="false">IF($B1204="","",G1204*P1204)</f>
        <v/>
      </c>
      <c r="R1204" s="22" t="str">
        <f aca="false">IF($B1204="","",O1204-Q1204-L1204)</f>
        <v/>
      </c>
      <c r="S1204" s="21" t="str">
        <f aca="false">IF(OR($B1204="",N(O1204)=0),"",R1204/O1204)</f>
        <v/>
      </c>
      <c r="T1204" s="14"/>
      <c r="U1204" s="19" t="n">
        <f aca="false">IF(OR($B1204="",$A1204=""),0,IF(COUNTIFS($A$5:$A1204,$A1204,$B$5:$B1204,$B1204)=1,1,0))</f>
        <v>0</v>
      </c>
    </row>
    <row r="1205" customFormat="false" ht="15" hidden="false" customHeight="false" outlineLevel="0" collapsed="false">
      <c r="A1205" s="17"/>
      <c r="B1205" s="13"/>
      <c r="C1205" s="20" t="str">
        <f aca="false">IF($B1205="","",IFERROR(INDEX(고객사!$B$5:$B$104,MATCH($B1205,고객사!$A$5:$A$104,0)),"코드 확인"))</f>
        <v/>
      </c>
      <c r="D1205" s="15"/>
      <c r="E1205" s="15"/>
      <c r="F1205" s="16"/>
      <c r="G1205" s="16"/>
      <c r="H1205" s="21" t="str">
        <f aca="false">IF(OR($B1205="",F1205=0),"",G1205/F1205)</f>
        <v/>
      </c>
      <c r="I1205" s="22" t="str">
        <f aca="false">IF($B1205="","",MAX(F1205-G1205,0))</f>
        <v/>
      </c>
      <c r="J1205" s="23" t="str">
        <f aca="false">IF($B1205="","",IFERROR(INDEX(고객사!$G$5:$G$104,MATCH($B1205,고객사!$A$5:$A$104,0)),""))</f>
        <v/>
      </c>
      <c r="K1205" s="16"/>
      <c r="L1205" s="22" t="str">
        <f aca="false">IF($B1205="","",K1205*IFERROR(INDEX(고객사!$L$5:$L$104,MATCH($B1205,고객사!$A$5:$A$104,0)),0))</f>
        <v/>
      </c>
      <c r="M1205" s="23" t="str">
        <f aca="false">IF($B1205="","",IF(AND(J1205="N",G1205&gt;0,K1205=0,IFERROR(INDEX(고객사!$H$5:$H$104,MATCH($B1205,고객사!$A$5:$A$104,0)),"")="자사 차량 운행"),"차량 미배정",""))</f>
        <v/>
      </c>
      <c r="N1205" s="22" t="str">
        <f aca="false">IF($B1205="","",IFERROR(INDEX(고객사!$J$5:$J$104,MATCH($B1205,고객사!$A$5:$A$104,0)),0))</f>
        <v/>
      </c>
      <c r="O1205" s="22" t="str">
        <f aca="false">IF($B1205="","",G1205*N1205)</f>
        <v/>
      </c>
      <c r="P1205" s="22" t="str">
        <f aca="false">IF($B1205="","",IFERROR(INDEX(고객사!$K$5:$K$104,MATCH($B1205,고객사!$A$5:$A$104,0)),0))</f>
        <v/>
      </c>
      <c r="Q1205" s="22" t="str">
        <f aca="false">IF($B1205="","",G1205*P1205)</f>
        <v/>
      </c>
      <c r="R1205" s="22" t="str">
        <f aca="false">IF($B1205="","",O1205-Q1205-L1205)</f>
        <v/>
      </c>
      <c r="S1205" s="21" t="str">
        <f aca="false">IF(OR($B1205="",N(O1205)=0),"",R1205/O1205)</f>
        <v/>
      </c>
      <c r="T1205" s="14"/>
      <c r="U1205" s="19" t="n">
        <f aca="false">IF(OR($B1205="",$A1205=""),0,IF(COUNTIFS($A$5:$A1205,$A1205,$B$5:$B1205,$B1205)=1,1,0))</f>
        <v>0</v>
      </c>
    </row>
    <row r="1206" customFormat="false" ht="15" hidden="false" customHeight="false" outlineLevel="0" collapsed="false">
      <c r="A1206" s="17"/>
      <c r="B1206" s="13"/>
      <c r="C1206" s="20" t="str">
        <f aca="false">IF($B1206="","",IFERROR(INDEX(고객사!$B$5:$B$104,MATCH($B1206,고객사!$A$5:$A$104,0)),"코드 확인"))</f>
        <v/>
      </c>
      <c r="D1206" s="15"/>
      <c r="E1206" s="15"/>
      <c r="F1206" s="16"/>
      <c r="G1206" s="16"/>
      <c r="H1206" s="21" t="str">
        <f aca="false">IF(OR($B1206="",F1206=0),"",G1206/F1206)</f>
        <v/>
      </c>
      <c r="I1206" s="22" t="str">
        <f aca="false">IF($B1206="","",MAX(F1206-G1206,0))</f>
        <v/>
      </c>
      <c r="J1206" s="23" t="str">
        <f aca="false">IF($B1206="","",IFERROR(INDEX(고객사!$G$5:$G$104,MATCH($B1206,고객사!$A$5:$A$104,0)),""))</f>
        <v/>
      </c>
      <c r="K1206" s="16"/>
      <c r="L1206" s="22" t="str">
        <f aca="false">IF($B1206="","",K1206*IFERROR(INDEX(고객사!$L$5:$L$104,MATCH($B1206,고객사!$A$5:$A$104,0)),0))</f>
        <v/>
      </c>
      <c r="M1206" s="23" t="str">
        <f aca="false">IF($B1206="","",IF(AND(J1206="N",G1206&gt;0,K1206=0,IFERROR(INDEX(고객사!$H$5:$H$104,MATCH($B1206,고객사!$A$5:$A$104,0)),"")="자사 차량 운행"),"차량 미배정",""))</f>
        <v/>
      </c>
      <c r="N1206" s="22" t="str">
        <f aca="false">IF($B1206="","",IFERROR(INDEX(고객사!$J$5:$J$104,MATCH($B1206,고객사!$A$5:$A$104,0)),0))</f>
        <v/>
      </c>
      <c r="O1206" s="22" t="str">
        <f aca="false">IF($B1206="","",G1206*N1206)</f>
        <v/>
      </c>
      <c r="P1206" s="22" t="str">
        <f aca="false">IF($B1206="","",IFERROR(INDEX(고객사!$K$5:$K$104,MATCH($B1206,고객사!$A$5:$A$104,0)),0))</f>
        <v/>
      </c>
      <c r="Q1206" s="22" t="str">
        <f aca="false">IF($B1206="","",G1206*P1206)</f>
        <v/>
      </c>
      <c r="R1206" s="22" t="str">
        <f aca="false">IF($B1206="","",O1206-Q1206-L1206)</f>
        <v/>
      </c>
      <c r="S1206" s="21" t="str">
        <f aca="false">IF(OR($B1206="",N(O1206)=0),"",R1206/O1206)</f>
        <v/>
      </c>
      <c r="T1206" s="14"/>
      <c r="U1206" s="19" t="n">
        <f aca="false">IF(OR($B1206="",$A1206=""),0,IF(COUNTIFS($A$5:$A1206,$A1206,$B$5:$B1206,$B1206)=1,1,0))</f>
        <v>0</v>
      </c>
    </row>
    <row r="1207" customFormat="false" ht="15" hidden="false" customHeight="false" outlineLevel="0" collapsed="false">
      <c r="A1207" s="17"/>
      <c r="B1207" s="13"/>
      <c r="C1207" s="20" t="str">
        <f aca="false">IF($B1207="","",IFERROR(INDEX(고객사!$B$5:$B$104,MATCH($B1207,고객사!$A$5:$A$104,0)),"코드 확인"))</f>
        <v/>
      </c>
      <c r="D1207" s="15"/>
      <c r="E1207" s="15"/>
      <c r="F1207" s="16"/>
      <c r="G1207" s="16"/>
      <c r="H1207" s="21" t="str">
        <f aca="false">IF(OR($B1207="",F1207=0),"",G1207/F1207)</f>
        <v/>
      </c>
      <c r="I1207" s="22" t="str">
        <f aca="false">IF($B1207="","",MAX(F1207-G1207,0))</f>
        <v/>
      </c>
      <c r="J1207" s="23" t="str">
        <f aca="false">IF($B1207="","",IFERROR(INDEX(고객사!$G$5:$G$104,MATCH($B1207,고객사!$A$5:$A$104,0)),""))</f>
        <v/>
      </c>
      <c r="K1207" s="16"/>
      <c r="L1207" s="22" t="str">
        <f aca="false">IF($B1207="","",K1207*IFERROR(INDEX(고객사!$L$5:$L$104,MATCH($B1207,고객사!$A$5:$A$104,0)),0))</f>
        <v/>
      </c>
      <c r="M1207" s="23" t="str">
        <f aca="false">IF($B1207="","",IF(AND(J1207="N",G1207&gt;0,K1207=0,IFERROR(INDEX(고객사!$H$5:$H$104,MATCH($B1207,고객사!$A$5:$A$104,0)),"")="자사 차량 운행"),"차량 미배정",""))</f>
        <v/>
      </c>
      <c r="N1207" s="22" t="str">
        <f aca="false">IF($B1207="","",IFERROR(INDEX(고객사!$J$5:$J$104,MATCH($B1207,고객사!$A$5:$A$104,0)),0))</f>
        <v/>
      </c>
      <c r="O1207" s="22" t="str">
        <f aca="false">IF($B1207="","",G1207*N1207)</f>
        <v/>
      </c>
      <c r="P1207" s="22" t="str">
        <f aca="false">IF($B1207="","",IFERROR(INDEX(고객사!$K$5:$K$104,MATCH($B1207,고객사!$A$5:$A$104,0)),0))</f>
        <v/>
      </c>
      <c r="Q1207" s="22" t="str">
        <f aca="false">IF($B1207="","",G1207*P1207)</f>
        <v/>
      </c>
      <c r="R1207" s="22" t="str">
        <f aca="false">IF($B1207="","",O1207-Q1207-L1207)</f>
        <v/>
      </c>
      <c r="S1207" s="21" t="str">
        <f aca="false">IF(OR($B1207="",N(O1207)=0),"",R1207/O1207)</f>
        <v/>
      </c>
      <c r="T1207" s="14"/>
      <c r="U1207" s="19" t="n">
        <f aca="false">IF(OR($B1207="",$A1207=""),0,IF(COUNTIFS($A$5:$A1207,$A1207,$B$5:$B1207,$B1207)=1,1,0))</f>
        <v>0</v>
      </c>
    </row>
    <row r="1208" customFormat="false" ht="15" hidden="false" customHeight="false" outlineLevel="0" collapsed="false">
      <c r="A1208" s="17"/>
      <c r="B1208" s="13"/>
      <c r="C1208" s="20" t="str">
        <f aca="false">IF($B1208="","",IFERROR(INDEX(고객사!$B$5:$B$104,MATCH($B1208,고객사!$A$5:$A$104,0)),"코드 확인"))</f>
        <v/>
      </c>
      <c r="D1208" s="15"/>
      <c r="E1208" s="15"/>
      <c r="F1208" s="16"/>
      <c r="G1208" s="16"/>
      <c r="H1208" s="21" t="str">
        <f aca="false">IF(OR($B1208="",F1208=0),"",G1208/F1208)</f>
        <v/>
      </c>
      <c r="I1208" s="22" t="str">
        <f aca="false">IF($B1208="","",MAX(F1208-G1208,0))</f>
        <v/>
      </c>
      <c r="J1208" s="23" t="str">
        <f aca="false">IF($B1208="","",IFERROR(INDEX(고객사!$G$5:$G$104,MATCH($B1208,고객사!$A$5:$A$104,0)),""))</f>
        <v/>
      </c>
      <c r="K1208" s="16"/>
      <c r="L1208" s="22" t="str">
        <f aca="false">IF($B1208="","",K1208*IFERROR(INDEX(고객사!$L$5:$L$104,MATCH($B1208,고객사!$A$5:$A$104,0)),0))</f>
        <v/>
      </c>
      <c r="M1208" s="23" t="str">
        <f aca="false">IF($B1208="","",IF(AND(J1208="N",G1208&gt;0,K1208=0,IFERROR(INDEX(고객사!$H$5:$H$104,MATCH($B1208,고객사!$A$5:$A$104,0)),"")="자사 차량 운행"),"차량 미배정",""))</f>
        <v/>
      </c>
      <c r="N1208" s="22" t="str">
        <f aca="false">IF($B1208="","",IFERROR(INDEX(고객사!$J$5:$J$104,MATCH($B1208,고객사!$A$5:$A$104,0)),0))</f>
        <v/>
      </c>
      <c r="O1208" s="22" t="str">
        <f aca="false">IF($B1208="","",G1208*N1208)</f>
        <v/>
      </c>
      <c r="P1208" s="22" t="str">
        <f aca="false">IF($B1208="","",IFERROR(INDEX(고객사!$K$5:$K$104,MATCH($B1208,고객사!$A$5:$A$104,0)),0))</f>
        <v/>
      </c>
      <c r="Q1208" s="22" t="str">
        <f aca="false">IF($B1208="","",G1208*P1208)</f>
        <v/>
      </c>
      <c r="R1208" s="22" t="str">
        <f aca="false">IF($B1208="","",O1208-Q1208-L1208)</f>
        <v/>
      </c>
      <c r="S1208" s="21" t="str">
        <f aca="false">IF(OR($B1208="",N(O1208)=0),"",R1208/O1208)</f>
        <v/>
      </c>
      <c r="T1208" s="14"/>
      <c r="U1208" s="19" t="n">
        <f aca="false">IF(OR($B1208="",$A1208=""),0,IF(COUNTIFS($A$5:$A1208,$A1208,$B$5:$B1208,$B1208)=1,1,0))</f>
        <v>0</v>
      </c>
    </row>
    <row r="1209" customFormat="false" ht="15" hidden="false" customHeight="false" outlineLevel="0" collapsed="false">
      <c r="A1209" s="17"/>
      <c r="B1209" s="13"/>
      <c r="C1209" s="20" t="str">
        <f aca="false">IF($B1209="","",IFERROR(INDEX(고객사!$B$5:$B$104,MATCH($B1209,고객사!$A$5:$A$104,0)),"코드 확인"))</f>
        <v/>
      </c>
      <c r="D1209" s="15"/>
      <c r="E1209" s="15"/>
      <c r="F1209" s="16"/>
      <c r="G1209" s="16"/>
      <c r="H1209" s="21" t="str">
        <f aca="false">IF(OR($B1209="",F1209=0),"",G1209/F1209)</f>
        <v/>
      </c>
      <c r="I1209" s="22" t="str">
        <f aca="false">IF($B1209="","",MAX(F1209-G1209,0))</f>
        <v/>
      </c>
      <c r="J1209" s="23" t="str">
        <f aca="false">IF($B1209="","",IFERROR(INDEX(고객사!$G$5:$G$104,MATCH($B1209,고객사!$A$5:$A$104,0)),""))</f>
        <v/>
      </c>
      <c r="K1209" s="16"/>
      <c r="L1209" s="22" t="str">
        <f aca="false">IF($B1209="","",K1209*IFERROR(INDEX(고객사!$L$5:$L$104,MATCH($B1209,고객사!$A$5:$A$104,0)),0))</f>
        <v/>
      </c>
      <c r="M1209" s="23" t="str">
        <f aca="false">IF($B1209="","",IF(AND(J1209="N",G1209&gt;0,K1209=0,IFERROR(INDEX(고객사!$H$5:$H$104,MATCH($B1209,고객사!$A$5:$A$104,0)),"")="자사 차량 운행"),"차량 미배정",""))</f>
        <v/>
      </c>
      <c r="N1209" s="22" t="str">
        <f aca="false">IF($B1209="","",IFERROR(INDEX(고객사!$J$5:$J$104,MATCH($B1209,고객사!$A$5:$A$104,0)),0))</f>
        <v/>
      </c>
      <c r="O1209" s="22" t="str">
        <f aca="false">IF($B1209="","",G1209*N1209)</f>
        <v/>
      </c>
      <c r="P1209" s="22" t="str">
        <f aca="false">IF($B1209="","",IFERROR(INDEX(고객사!$K$5:$K$104,MATCH($B1209,고객사!$A$5:$A$104,0)),0))</f>
        <v/>
      </c>
      <c r="Q1209" s="22" t="str">
        <f aca="false">IF($B1209="","",G1209*P1209)</f>
        <v/>
      </c>
      <c r="R1209" s="22" t="str">
        <f aca="false">IF($B1209="","",O1209-Q1209-L1209)</f>
        <v/>
      </c>
      <c r="S1209" s="21" t="str">
        <f aca="false">IF(OR($B1209="",N(O1209)=0),"",R1209/O1209)</f>
        <v/>
      </c>
      <c r="T1209" s="14"/>
      <c r="U1209" s="19" t="n">
        <f aca="false">IF(OR($B1209="",$A1209=""),0,IF(COUNTIFS($A$5:$A1209,$A1209,$B$5:$B1209,$B1209)=1,1,0))</f>
        <v>0</v>
      </c>
    </row>
    <row r="1210" customFormat="false" ht="15" hidden="false" customHeight="false" outlineLevel="0" collapsed="false">
      <c r="A1210" s="17"/>
      <c r="B1210" s="13"/>
      <c r="C1210" s="20" t="str">
        <f aca="false">IF($B1210="","",IFERROR(INDEX(고객사!$B$5:$B$104,MATCH($B1210,고객사!$A$5:$A$104,0)),"코드 확인"))</f>
        <v/>
      </c>
      <c r="D1210" s="15"/>
      <c r="E1210" s="15"/>
      <c r="F1210" s="16"/>
      <c r="G1210" s="16"/>
      <c r="H1210" s="21" t="str">
        <f aca="false">IF(OR($B1210="",F1210=0),"",G1210/F1210)</f>
        <v/>
      </c>
      <c r="I1210" s="22" t="str">
        <f aca="false">IF($B1210="","",MAX(F1210-G1210,0))</f>
        <v/>
      </c>
      <c r="J1210" s="23" t="str">
        <f aca="false">IF($B1210="","",IFERROR(INDEX(고객사!$G$5:$G$104,MATCH($B1210,고객사!$A$5:$A$104,0)),""))</f>
        <v/>
      </c>
      <c r="K1210" s="16"/>
      <c r="L1210" s="22" t="str">
        <f aca="false">IF($B1210="","",K1210*IFERROR(INDEX(고객사!$L$5:$L$104,MATCH($B1210,고객사!$A$5:$A$104,0)),0))</f>
        <v/>
      </c>
      <c r="M1210" s="23" t="str">
        <f aca="false">IF($B1210="","",IF(AND(J1210="N",G1210&gt;0,K1210=0,IFERROR(INDEX(고객사!$H$5:$H$104,MATCH($B1210,고객사!$A$5:$A$104,0)),"")="자사 차량 운행"),"차량 미배정",""))</f>
        <v/>
      </c>
      <c r="N1210" s="22" t="str">
        <f aca="false">IF($B1210="","",IFERROR(INDEX(고객사!$J$5:$J$104,MATCH($B1210,고객사!$A$5:$A$104,0)),0))</f>
        <v/>
      </c>
      <c r="O1210" s="22" t="str">
        <f aca="false">IF($B1210="","",G1210*N1210)</f>
        <v/>
      </c>
      <c r="P1210" s="22" t="str">
        <f aca="false">IF($B1210="","",IFERROR(INDEX(고객사!$K$5:$K$104,MATCH($B1210,고객사!$A$5:$A$104,0)),0))</f>
        <v/>
      </c>
      <c r="Q1210" s="22" t="str">
        <f aca="false">IF($B1210="","",G1210*P1210)</f>
        <v/>
      </c>
      <c r="R1210" s="22" t="str">
        <f aca="false">IF($B1210="","",O1210-Q1210-L1210)</f>
        <v/>
      </c>
      <c r="S1210" s="21" t="str">
        <f aca="false">IF(OR($B1210="",N(O1210)=0),"",R1210/O1210)</f>
        <v/>
      </c>
      <c r="T1210" s="14"/>
      <c r="U1210" s="19" t="n">
        <f aca="false">IF(OR($B1210="",$A1210=""),0,IF(COUNTIFS($A$5:$A1210,$A1210,$B$5:$B1210,$B1210)=1,1,0))</f>
        <v>0</v>
      </c>
    </row>
    <row r="1211" customFormat="false" ht="15" hidden="false" customHeight="false" outlineLevel="0" collapsed="false">
      <c r="A1211" s="17"/>
      <c r="B1211" s="13"/>
      <c r="C1211" s="20" t="str">
        <f aca="false">IF($B1211="","",IFERROR(INDEX(고객사!$B$5:$B$104,MATCH($B1211,고객사!$A$5:$A$104,0)),"코드 확인"))</f>
        <v/>
      </c>
      <c r="D1211" s="15"/>
      <c r="E1211" s="15"/>
      <c r="F1211" s="16"/>
      <c r="G1211" s="16"/>
      <c r="H1211" s="21" t="str">
        <f aca="false">IF(OR($B1211="",F1211=0),"",G1211/F1211)</f>
        <v/>
      </c>
      <c r="I1211" s="22" t="str">
        <f aca="false">IF($B1211="","",MAX(F1211-G1211,0))</f>
        <v/>
      </c>
      <c r="J1211" s="23" t="str">
        <f aca="false">IF($B1211="","",IFERROR(INDEX(고객사!$G$5:$G$104,MATCH($B1211,고객사!$A$5:$A$104,0)),""))</f>
        <v/>
      </c>
      <c r="K1211" s="16"/>
      <c r="L1211" s="22" t="str">
        <f aca="false">IF($B1211="","",K1211*IFERROR(INDEX(고객사!$L$5:$L$104,MATCH($B1211,고객사!$A$5:$A$104,0)),0))</f>
        <v/>
      </c>
      <c r="M1211" s="23" t="str">
        <f aca="false">IF($B1211="","",IF(AND(J1211="N",G1211&gt;0,K1211=0,IFERROR(INDEX(고객사!$H$5:$H$104,MATCH($B1211,고객사!$A$5:$A$104,0)),"")="자사 차량 운행"),"차량 미배정",""))</f>
        <v/>
      </c>
      <c r="N1211" s="22" t="str">
        <f aca="false">IF($B1211="","",IFERROR(INDEX(고객사!$J$5:$J$104,MATCH($B1211,고객사!$A$5:$A$104,0)),0))</f>
        <v/>
      </c>
      <c r="O1211" s="22" t="str">
        <f aca="false">IF($B1211="","",G1211*N1211)</f>
        <v/>
      </c>
      <c r="P1211" s="22" t="str">
        <f aca="false">IF($B1211="","",IFERROR(INDEX(고객사!$K$5:$K$104,MATCH($B1211,고객사!$A$5:$A$104,0)),0))</f>
        <v/>
      </c>
      <c r="Q1211" s="22" t="str">
        <f aca="false">IF($B1211="","",G1211*P1211)</f>
        <v/>
      </c>
      <c r="R1211" s="22" t="str">
        <f aca="false">IF($B1211="","",O1211-Q1211-L1211)</f>
        <v/>
      </c>
      <c r="S1211" s="21" t="str">
        <f aca="false">IF(OR($B1211="",N(O1211)=0),"",R1211/O1211)</f>
        <v/>
      </c>
      <c r="T1211" s="14"/>
      <c r="U1211" s="19" t="n">
        <f aca="false">IF(OR($B1211="",$A1211=""),0,IF(COUNTIFS($A$5:$A1211,$A1211,$B$5:$B1211,$B1211)=1,1,0))</f>
        <v>0</v>
      </c>
    </row>
    <row r="1212" customFormat="false" ht="15" hidden="false" customHeight="false" outlineLevel="0" collapsed="false">
      <c r="A1212" s="17"/>
      <c r="B1212" s="13"/>
      <c r="C1212" s="20" t="str">
        <f aca="false">IF($B1212="","",IFERROR(INDEX(고객사!$B$5:$B$104,MATCH($B1212,고객사!$A$5:$A$104,0)),"코드 확인"))</f>
        <v/>
      </c>
      <c r="D1212" s="15"/>
      <c r="E1212" s="15"/>
      <c r="F1212" s="16"/>
      <c r="G1212" s="16"/>
      <c r="H1212" s="21" t="str">
        <f aca="false">IF(OR($B1212="",F1212=0),"",G1212/F1212)</f>
        <v/>
      </c>
      <c r="I1212" s="22" t="str">
        <f aca="false">IF($B1212="","",MAX(F1212-G1212,0))</f>
        <v/>
      </c>
      <c r="J1212" s="23" t="str">
        <f aca="false">IF($B1212="","",IFERROR(INDEX(고객사!$G$5:$G$104,MATCH($B1212,고객사!$A$5:$A$104,0)),""))</f>
        <v/>
      </c>
      <c r="K1212" s="16"/>
      <c r="L1212" s="22" t="str">
        <f aca="false">IF($B1212="","",K1212*IFERROR(INDEX(고객사!$L$5:$L$104,MATCH($B1212,고객사!$A$5:$A$104,0)),0))</f>
        <v/>
      </c>
      <c r="M1212" s="23" t="str">
        <f aca="false">IF($B1212="","",IF(AND(J1212="N",G1212&gt;0,K1212=0,IFERROR(INDEX(고객사!$H$5:$H$104,MATCH($B1212,고객사!$A$5:$A$104,0)),"")="자사 차량 운행"),"차량 미배정",""))</f>
        <v/>
      </c>
      <c r="N1212" s="22" t="str">
        <f aca="false">IF($B1212="","",IFERROR(INDEX(고객사!$J$5:$J$104,MATCH($B1212,고객사!$A$5:$A$104,0)),0))</f>
        <v/>
      </c>
      <c r="O1212" s="22" t="str">
        <f aca="false">IF($B1212="","",G1212*N1212)</f>
        <v/>
      </c>
      <c r="P1212" s="22" t="str">
        <f aca="false">IF($B1212="","",IFERROR(INDEX(고객사!$K$5:$K$104,MATCH($B1212,고객사!$A$5:$A$104,0)),0))</f>
        <v/>
      </c>
      <c r="Q1212" s="22" t="str">
        <f aca="false">IF($B1212="","",G1212*P1212)</f>
        <v/>
      </c>
      <c r="R1212" s="22" t="str">
        <f aca="false">IF($B1212="","",O1212-Q1212-L1212)</f>
        <v/>
      </c>
      <c r="S1212" s="21" t="str">
        <f aca="false">IF(OR($B1212="",N(O1212)=0),"",R1212/O1212)</f>
        <v/>
      </c>
      <c r="T1212" s="14"/>
      <c r="U1212" s="19" t="n">
        <f aca="false">IF(OR($B1212="",$A1212=""),0,IF(COUNTIFS($A$5:$A1212,$A1212,$B$5:$B1212,$B1212)=1,1,0))</f>
        <v>0</v>
      </c>
    </row>
    <row r="1213" customFormat="false" ht="15" hidden="false" customHeight="false" outlineLevel="0" collapsed="false">
      <c r="A1213" s="17"/>
      <c r="B1213" s="13"/>
      <c r="C1213" s="20" t="str">
        <f aca="false">IF($B1213="","",IFERROR(INDEX(고객사!$B$5:$B$104,MATCH($B1213,고객사!$A$5:$A$104,0)),"코드 확인"))</f>
        <v/>
      </c>
      <c r="D1213" s="15"/>
      <c r="E1213" s="15"/>
      <c r="F1213" s="16"/>
      <c r="G1213" s="16"/>
      <c r="H1213" s="21" t="str">
        <f aca="false">IF(OR($B1213="",F1213=0),"",G1213/F1213)</f>
        <v/>
      </c>
      <c r="I1213" s="22" t="str">
        <f aca="false">IF($B1213="","",MAX(F1213-G1213,0))</f>
        <v/>
      </c>
      <c r="J1213" s="23" t="str">
        <f aca="false">IF($B1213="","",IFERROR(INDEX(고객사!$G$5:$G$104,MATCH($B1213,고객사!$A$5:$A$104,0)),""))</f>
        <v/>
      </c>
      <c r="K1213" s="16"/>
      <c r="L1213" s="22" t="str">
        <f aca="false">IF($B1213="","",K1213*IFERROR(INDEX(고객사!$L$5:$L$104,MATCH($B1213,고객사!$A$5:$A$104,0)),0))</f>
        <v/>
      </c>
      <c r="M1213" s="23" t="str">
        <f aca="false">IF($B1213="","",IF(AND(J1213="N",G1213&gt;0,K1213=0,IFERROR(INDEX(고객사!$H$5:$H$104,MATCH($B1213,고객사!$A$5:$A$104,0)),"")="자사 차량 운행"),"차량 미배정",""))</f>
        <v/>
      </c>
      <c r="N1213" s="22" t="str">
        <f aca="false">IF($B1213="","",IFERROR(INDEX(고객사!$J$5:$J$104,MATCH($B1213,고객사!$A$5:$A$104,0)),0))</f>
        <v/>
      </c>
      <c r="O1213" s="22" t="str">
        <f aca="false">IF($B1213="","",G1213*N1213)</f>
        <v/>
      </c>
      <c r="P1213" s="22" t="str">
        <f aca="false">IF($B1213="","",IFERROR(INDEX(고객사!$K$5:$K$104,MATCH($B1213,고객사!$A$5:$A$104,0)),0))</f>
        <v/>
      </c>
      <c r="Q1213" s="22" t="str">
        <f aca="false">IF($B1213="","",G1213*P1213)</f>
        <v/>
      </c>
      <c r="R1213" s="22" t="str">
        <f aca="false">IF($B1213="","",O1213-Q1213-L1213)</f>
        <v/>
      </c>
      <c r="S1213" s="21" t="str">
        <f aca="false">IF(OR($B1213="",N(O1213)=0),"",R1213/O1213)</f>
        <v/>
      </c>
      <c r="T1213" s="14"/>
      <c r="U1213" s="19" t="n">
        <f aca="false">IF(OR($B1213="",$A1213=""),0,IF(COUNTIFS($A$5:$A1213,$A1213,$B$5:$B1213,$B1213)=1,1,0))</f>
        <v>0</v>
      </c>
    </row>
    <row r="1214" customFormat="false" ht="15" hidden="false" customHeight="false" outlineLevel="0" collapsed="false">
      <c r="A1214" s="17"/>
      <c r="B1214" s="13"/>
      <c r="C1214" s="20" t="str">
        <f aca="false">IF($B1214="","",IFERROR(INDEX(고객사!$B$5:$B$104,MATCH($B1214,고객사!$A$5:$A$104,0)),"코드 확인"))</f>
        <v/>
      </c>
      <c r="D1214" s="15"/>
      <c r="E1214" s="15"/>
      <c r="F1214" s="16"/>
      <c r="G1214" s="16"/>
      <c r="H1214" s="21" t="str">
        <f aca="false">IF(OR($B1214="",F1214=0),"",G1214/F1214)</f>
        <v/>
      </c>
      <c r="I1214" s="22" t="str">
        <f aca="false">IF($B1214="","",MAX(F1214-G1214,0))</f>
        <v/>
      </c>
      <c r="J1214" s="23" t="str">
        <f aca="false">IF($B1214="","",IFERROR(INDEX(고객사!$G$5:$G$104,MATCH($B1214,고객사!$A$5:$A$104,0)),""))</f>
        <v/>
      </c>
      <c r="K1214" s="16"/>
      <c r="L1214" s="22" t="str">
        <f aca="false">IF($B1214="","",K1214*IFERROR(INDEX(고객사!$L$5:$L$104,MATCH($B1214,고객사!$A$5:$A$104,0)),0))</f>
        <v/>
      </c>
      <c r="M1214" s="23" t="str">
        <f aca="false">IF($B1214="","",IF(AND(J1214="N",G1214&gt;0,K1214=0,IFERROR(INDEX(고객사!$H$5:$H$104,MATCH($B1214,고객사!$A$5:$A$104,0)),"")="자사 차량 운행"),"차량 미배정",""))</f>
        <v/>
      </c>
      <c r="N1214" s="22" t="str">
        <f aca="false">IF($B1214="","",IFERROR(INDEX(고객사!$J$5:$J$104,MATCH($B1214,고객사!$A$5:$A$104,0)),0))</f>
        <v/>
      </c>
      <c r="O1214" s="22" t="str">
        <f aca="false">IF($B1214="","",G1214*N1214)</f>
        <v/>
      </c>
      <c r="P1214" s="22" t="str">
        <f aca="false">IF($B1214="","",IFERROR(INDEX(고객사!$K$5:$K$104,MATCH($B1214,고객사!$A$5:$A$104,0)),0))</f>
        <v/>
      </c>
      <c r="Q1214" s="22" t="str">
        <f aca="false">IF($B1214="","",G1214*P1214)</f>
        <v/>
      </c>
      <c r="R1214" s="22" t="str">
        <f aca="false">IF($B1214="","",O1214-Q1214-L1214)</f>
        <v/>
      </c>
      <c r="S1214" s="21" t="str">
        <f aca="false">IF(OR($B1214="",N(O1214)=0),"",R1214/O1214)</f>
        <v/>
      </c>
      <c r="T1214" s="14"/>
      <c r="U1214" s="19" t="n">
        <f aca="false">IF(OR($B1214="",$A1214=""),0,IF(COUNTIFS($A$5:$A1214,$A1214,$B$5:$B1214,$B1214)=1,1,0))</f>
        <v>0</v>
      </c>
    </row>
    <row r="1215" customFormat="false" ht="15" hidden="false" customHeight="false" outlineLevel="0" collapsed="false">
      <c r="A1215" s="17"/>
      <c r="B1215" s="13"/>
      <c r="C1215" s="20" t="str">
        <f aca="false">IF($B1215="","",IFERROR(INDEX(고객사!$B$5:$B$104,MATCH($B1215,고객사!$A$5:$A$104,0)),"코드 확인"))</f>
        <v/>
      </c>
      <c r="D1215" s="15"/>
      <c r="E1215" s="15"/>
      <c r="F1215" s="16"/>
      <c r="G1215" s="16"/>
      <c r="H1215" s="21" t="str">
        <f aca="false">IF(OR($B1215="",F1215=0),"",G1215/F1215)</f>
        <v/>
      </c>
      <c r="I1215" s="22" t="str">
        <f aca="false">IF($B1215="","",MAX(F1215-G1215,0))</f>
        <v/>
      </c>
      <c r="J1215" s="23" t="str">
        <f aca="false">IF($B1215="","",IFERROR(INDEX(고객사!$G$5:$G$104,MATCH($B1215,고객사!$A$5:$A$104,0)),""))</f>
        <v/>
      </c>
      <c r="K1215" s="16"/>
      <c r="L1215" s="22" t="str">
        <f aca="false">IF($B1215="","",K1215*IFERROR(INDEX(고객사!$L$5:$L$104,MATCH($B1215,고객사!$A$5:$A$104,0)),0))</f>
        <v/>
      </c>
      <c r="M1215" s="23" t="str">
        <f aca="false">IF($B1215="","",IF(AND(J1215="N",G1215&gt;0,K1215=0,IFERROR(INDEX(고객사!$H$5:$H$104,MATCH($B1215,고객사!$A$5:$A$104,0)),"")="자사 차량 운행"),"차량 미배정",""))</f>
        <v/>
      </c>
      <c r="N1215" s="22" t="str">
        <f aca="false">IF($B1215="","",IFERROR(INDEX(고객사!$J$5:$J$104,MATCH($B1215,고객사!$A$5:$A$104,0)),0))</f>
        <v/>
      </c>
      <c r="O1215" s="22" t="str">
        <f aca="false">IF($B1215="","",G1215*N1215)</f>
        <v/>
      </c>
      <c r="P1215" s="22" t="str">
        <f aca="false">IF($B1215="","",IFERROR(INDEX(고객사!$K$5:$K$104,MATCH($B1215,고객사!$A$5:$A$104,0)),0))</f>
        <v/>
      </c>
      <c r="Q1215" s="22" t="str">
        <f aca="false">IF($B1215="","",G1215*P1215)</f>
        <v/>
      </c>
      <c r="R1215" s="22" t="str">
        <f aca="false">IF($B1215="","",O1215-Q1215-L1215)</f>
        <v/>
      </c>
      <c r="S1215" s="21" t="str">
        <f aca="false">IF(OR($B1215="",N(O1215)=0),"",R1215/O1215)</f>
        <v/>
      </c>
      <c r="T1215" s="14"/>
      <c r="U1215" s="19" t="n">
        <f aca="false">IF(OR($B1215="",$A1215=""),0,IF(COUNTIFS($A$5:$A1215,$A1215,$B$5:$B1215,$B1215)=1,1,0))</f>
        <v>0</v>
      </c>
    </row>
    <row r="1216" customFormat="false" ht="15" hidden="false" customHeight="false" outlineLevel="0" collapsed="false">
      <c r="A1216" s="17"/>
      <c r="B1216" s="13"/>
      <c r="C1216" s="20" t="str">
        <f aca="false">IF($B1216="","",IFERROR(INDEX(고객사!$B$5:$B$104,MATCH($B1216,고객사!$A$5:$A$104,0)),"코드 확인"))</f>
        <v/>
      </c>
      <c r="D1216" s="15"/>
      <c r="E1216" s="15"/>
      <c r="F1216" s="16"/>
      <c r="G1216" s="16"/>
      <c r="H1216" s="21" t="str">
        <f aca="false">IF(OR($B1216="",F1216=0),"",G1216/F1216)</f>
        <v/>
      </c>
      <c r="I1216" s="22" t="str">
        <f aca="false">IF($B1216="","",MAX(F1216-G1216,0))</f>
        <v/>
      </c>
      <c r="J1216" s="23" t="str">
        <f aca="false">IF($B1216="","",IFERROR(INDEX(고객사!$G$5:$G$104,MATCH($B1216,고객사!$A$5:$A$104,0)),""))</f>
        <v/>
      </c>
      <c r="K1216" s="16"/>
      <c r="L1216" s="22" t="str">
        <f aca="false">IF($B1216="","",K1216*IFERROR(INDEX(고객사!$L$5:$L$104,MATCH($B1216,고객사!$A$5:$A$104,0)),0))</f>
        <v/>
      </c>
      <c r="M1216" s="23" t="str">
        <f aca="false">IF($B1216="","",IF(AND(J1216="N",G1216&gt;0,K1216=0,IFERROR(INDEX(고객사!$H$5:$H$104,MATCH($B1216,고객사!$A$5:$A$104,0)),"")="자사 차량 운행"),"차량 미배정",""))</f>
        <v/>
      </c>
      <c r="N1216" s="22" t="str">
        <f aca="false">IF($B1216="","",IFERROR(INDEX(고객사!$J$5:$J$104,MATCH($B1216,고객사!$A$5:$A$104,0)),0))</f>
        <v/>
      </c>
      <c r="O1216" s="22" t="str">
        <f aca="false">IF($B1216="","",G1216*N1216)</f>
        <v/>
      </c>
      <c r="P1216" s="22" t="str">
        <f aca="false">IF($B1216="","",IFERROR(INDEX(고객사!$K$5:$K$104,MATCH($B1216,고객사!$A$5:$A$104,0)),0))</f>
        <v/>
      </c>
      <c r="Q1216" s="22" t="str">
        <f aca="false">IF($B1216="","",G1216*P1216)</f>
        <v/>
      </c>
      <c r="R1216" s="22" t="str">
        <f aca="false">IF($B1216="","",O1216-Q1216-L1216)</f>
        <v/>
      </c>
      <c r="S1216" s="21" t="str">
        <f aca="false">IF(OR($B1216="",N(O1216)=0),"",R1216/O1216)</f>
        <v/>
      </c>
      <c r="T1216" s="14"/>
      <c r="U1216" s="19" t="n">
        <f aca="false">IF(OR($B1216="",$A1216=""),0,IF(COUNTIFS($A$5:$A1216,$A1216,$B$5:$B1216,$B1216)=1,1,0))</f>
        <v>0</v>
      </c>
    </row>
    <row r="1217" customFormat="false" ht="15" hidden="false" customHeight="false" outlineLevel="0" collapsed="false">
      <c r="A1217" s="17"/>
      <c r="B1217" s="13"/>
      <c r="C1217" s="20" t="str">
        <f aca="false">IF($B1217="","",IFERROR(INDEX(고객사!$B$5:$B$104,MATCH($B1217,고객사!$A$5:$A$104,0)),"코드 확인"))</f>
        <v/>
      </c>
      <c r="D1217" s="15"/>
      <c r="E1217" s="15"/>
      <c r="F1217" s="16"/>
      <c r="G1217" s="16"/>
      <c r="H1217" s="21" t="str">
        <f aca="false">IF(OR($B1217="",F1217=0),"",G1217/F1217)</f>
        <v/>
      </c>
      <c r="I1217" s="22" t="str">
        <f aca="false">IF($B1217="","",MAX(F1217-G1217,0))</f>
        <v/>
      </c>
      <c r="J1217" s="23" t="str">
        <f aca="false">IF($B1217="","",IFERROR(INDEX(고객사!$G$5:$G$104,MATCH($B1217,고객사!$A$5:$A$104,0)),""))</f>
        <v/>
      </c>
      <c r="K1217" s="16"/>
      <c r="L1217" s="22" t="str">
        <f aca="false">IF($B1217="","",K1217*IFERROR(INDEX(고객사!$L$5:$L$104,MATCH($B1217,고객사!$A$5:$A$104,0)),0))</f>
        <v/>
      </c>
      <c r="M1217" s="23" t="str">
        <f aca="false">IF($B1217="","",IF(AND(J1217="N",G1217&gt;0,K1217=0,IFERROR(INDEX(고객사!$H$5:$H$104,MATCH($B1217,고객사!$A$5:$A$104,0)),"")="자사 차량 운행"),"차량 미배정",""))</f>
        <v/>
      </c>
      <c r="N1217" s="22" t="str">
        <f aca="false">IF($B1217="","",IFERROR(INDEX(고객사!$J$5:$J$104,MATCH($B1217,고객사!$A$5:$A$104,0)),0))</f>
        <v/>
      </c>
      <c r="O1217" s="22" t="str">
        <f aca="false">IF($B1217="","",G1217*N1217)</f>
        <v/>
      </c>
      <c r="P1217" s="22" t="str">
        <f aca="false">IF($B1217="","",IFERROR(INDEX(고객사!$K$5:$K$104,MATCH($B1217,고객사!$A$5:$A$104,0)),0))</f>
        <v/>
      </c>
      <c r="Q1217" s="22" t="str">
        <f aca="false">IF($B1217="","",G1217*P1217)</f>
        <v/>
      </c>
      <c r="R1217" s="22" t="str">
        <f aca="false">IF($B1217="","",O1217-Q1217-L1217)</f>
        <v/>
      </c>
      <c r="S1217" s="21" t="str">
        <f aca="false">IF(OR($B1217="",N(O1217)=0),"",R1217/O1217)</f>
        <v/>
      </c>
      <c r="T1217" s="14"/>
      <c r="U1217" s="19" t="n">
        <f aca="false">IF(OR($B1217="",$A1217=""),0,IF(COUNTIFS($A$5:$A1217,$A1217,$B$5:$B1217,$B1217)=1,1,0))</f>
        <v>0</v>
      </c>
    </row>
    <row r="1218" customFormat="false" ht="15" hidden="false" customHeight="false" outlineLevel="0" collapsed="false">
      <c r="A1218" s="17"/>
      <c r="B1218" s="13"/>
      <c r="C1218" s="20" t="str">
        <f aca="false">IF($B1218="","",IFERROR(INDEX(고객사!$B$5:$B$104,MATCH($B1218,고객사!$A$5:$A$104,0)),"코드 확인"))</f>
        <v/>
      </c>
      <c r="D1218" s="15"/>
      <c r="E1218" s="15"/>
      <c r="F1218" s="16"/>
      <c r="G1218" s="16"/>
      <c r="H1218" s="21" t="str">
        <f aca="false">IF(OR($B1218="",F1218=0),"",G1218/F1218)</f>
        <v/>
      </c>
      <c r="I1218" s="22" t="str">
        <f aca="false">IF($B1218="","",MAX(F1218-G1218,0))</f>
        <v/>
      </c>
      <c r="J1218" s="23" t="str">
        <f aca="false">IF($B1218="","",IFERROR(INDEX(고객사!$G$5:$G$104,MATCH($B1218,고객사!$A$5:$A$104,0)),""))</f>
        <v/>
      </c>
      <c r="K1218" s="16"/>
      <c r="L1218" s="22" t="str">
        <f aca="false">IF($B1218="","",K1218*IFERROR(INDEX(고객사!$L$5:$L$104,MATCH($B1218,고객사!$A$5:$A$104,0)),0))</f>
        <v/>
      </c>
      <c r="M1218" s="23" t="str">
        <f aca="false">IF($B1218="","",IF(AND(J1218="N",G1218&gt;0,K1218=0,IFERROR(INDEX(고객사!$H$5:$H$104,MATCH($B1218,고객사!$A$5:$A$104,0)),"")="자사 차량 운행"),"차량 미배정",""))</f>
        <v/>
      </c>
      <c r="N1218" s="22" t="str">
        <f aca="false">IF($B1218="","",IFERROR(INDEX(고객사!$J$5:$J$104,MATCH($B1218,고객사!$A$5:$A$104,0)),0))</f>
        <v/>
      </c>
      <c r="O1218" s="22" t="str">
        <f aca="false">IF($B1218="","",G1218*N1218)</f>
        <v/>
      </c>
      <c r="P1218" s="22" t="str">
        <f aca="false">IF($B1218="","",IFERROR(INDEX(고객사!$K$5:$K$104,MATCH($B1218,고객사!$A$5:$A$104,0)),0))</f>
        <v/>
      </c>
      <c r="Q1218" s="22" t="str">
        <f aca="false">IF($B1218="","",G1218*P1218)</f>
        <v/>
      </c>
      <c r="R1218" s="22" t="str">
        <f aca="false">IF($B1218="","",O1218-Q1218-L1218)</f>
        <v/>
      </c>
      <c r="S1218" s="21" t="str">
        <f aca="false">IF(OR($B1218="",N(O1218)=0),"",R1218/O1218)</f>
        <v/>
      </c>
      <c r="T1218" s="14"/>
      <c r="U1218" s="19" t="n">
        <f aca="false">IF(OR($B1218="",$A1218=""),0,IF(COUNTIFS($A$5:$A1218,$A1218,$B$5:$B1218,$B1218)=1,1,0))</f>
        <v>0</v>
      </c>
    </row>
    <row r="1219" customFormat="false" ht="15" hidden="false" customHeight="false" outlineLevel="0" collapsed="false">
      <c r="A1219" s="17"/>
      <c r="B1219" s="13"/>
      <c r="C1219" s="20" t="str">
        <f aca="false">IF($B1219="","",IFERROR(INDEX(고객사!$B$5:$B$104,MATCH($B1219,고객사!$A$5:$A$104,0)),"코드 확인"))</f>
        <v/>
      </c>
      <c r="D1219" s="15"/>
      <c r="E1219" s="15"/>
      <c r="F1219" s="16"/>
      <c r="G1219" s="16"/>
      <c r="H1219" s="21" t="str">
        <f aca="false">IF(OR($B1219="",F1219=0),"",G1219/F1219)</f>
        <v/>
      </c>
      <c r="I1219" s="22" t="str">
        <f aca="false">IF($B1219="","",MAX(F1219-G1219,0))</f>
        <v/>
      </c>
      <c r="J1219" s="23" t="str">
        <f aca="false">IF($B1219="","",IFERROR(INDEX(고객사!$G$5:$G$104,MATCH($B1219,고객사!$A$5:$A$104,0)),""))</f>
        <v/>
      </c>
      <c r="K1219" s="16"/>
      <c r="L1219" s="22" t="str">
        <f aca="false">IF($B1219="","",K1219*IFERROR(INDEX(고객사!$L$5:$L$104,MATCH($B1219,고객사!$A$5:$A$104,0)),0))</f>
        <v/>
      </c>
      <c r="M1219" s="23" t="str">
        <f aca="false">IF($B1219="","",IF(AND(J1219="N",G1219&gt;0,K1219=0,IFERROR(INDEX(고객사!$H$5:$H$104,MATCH($B1219,고객사!$A$5:$A$104,0)),"")="자사 차량 운행"),"차량 미배정",""))</f>
        <v/>
      </c>
      <c r="N1219" s="22" t="str">
        <f aca="false">IF($B1219="","",IFERROR(INDEX(고객사!$J$5:$J$104,MATCH($B1219,고객사!$A$5:$A$104,0)),0))</f>
        <v/>
      </c>
      <c r="O1219" s="22" t="str">
        <f aca="false">IF($B1219="","",G1219*N1219)</f>
        <v/>
      </c>
      <c r="P1219" s="22" t="str">
        <f aca="false">IF($B1219="","",IFERROR(INDEX(고객사!$K$5:$K$104,MATCH($B1219,고객사!$A$5:$A$104,0)),0))</f>
        <v/>
      </c>
      <c r="Q1219" s="22" t="str">
        <f aca="false">IF($B1219="","",G1219*P1219)</f>
        <v/>
      </c>
      <c r="R1219" s="22" t="str">
        <f aca="false">IF($B1219="","",O1219-Q1219-L1219)</f>
        <v/>
      </c>
      <c r="S1219" s="21" t="str">
        <f aca="false">IF(OR($B1219="",N(O1219)=0),"",R1219/O1219)</f>
        <v/>
      </c>
      <c r="T1219" s="14"/>
      <c r="U1219" s="19" t="n">
        <f aca="false">IF(OR($B1219="",$A1219=""),0,IF(COUNTIFS($A$5:$A1219,$A1219,$B$5:$B1219,$B1219)=1,1,0))</f>
        <v>0</v>
      </c>
    </row>
    <row r="1220" customFormat="false" ht="15" hidden="false" customHeight="false" outlineLevel="0" collapsed="false">
      <c r="A1220" s="17"/>
      <c r="B1220" s="13"/>
      <c r="C1220" s="20" t="str">
        <f aca="false">IF($B1220="","",IFERROR(INDEX(고객사!$B$5:$B$104,MATCH($B1220,고객사!$A$5:$A$104,0)),"코드 확인"))</f>
        <v/>
      </c>
      <c r="D1220" s="15"/>
      <c r="E1220" s="15"/>
      <c r="F1220" s="16"/>
      <c r="G1220" s="16"/>
      <c r="H1220" s="21" t="str">
        <f aca="false">IF(OR($B1220="",F1220=0),"",G1220/F1220)</f>
        <v/>
      </c>
      <c r="I1220" s="22" t="str">
        <f aca="false">IF($B1220="","",MAX(F1220-G1220,0))</f>
        <v/>
      </c>
      <c r="J1220" s="23" t="str">
        <f aca="false">IF($B1220="","",IFERROR(INDEX(고객사!$G$5:$G$104,MATCH($B1220,고객사!$A$5:$A$104,0)),""))</f>
        <v/>
      </c>
      <c r="K1220" s="16"/>
      <c r="L1220" s="22" t="str">
        <f aca="false">IF($B1220="","",K1220*IFERROR(INDEX(고객사!$L$5:$L$104,MATCH($B1220,고객사!$A$5:$A$104,0)),0))</f>
        <v/>
      </c>
      <c r="M1220" s="23" t="str">
        <f aca="false">IF($B1220="","",IF(AND(J1220="N",G1220&gt;0,K1220=0,IFERROR(INDEX(고객사!$H$5:$H$104,MATCH($B1220,고객사!$A$5:$A$104,0)),"")="자사 차량 운행"),"차량 미배정",""))</f>
        <v/>
      </c>
      <c r="N1220" s="22" t="str">
        <f aca="false">IF($B1220="","",IFERROR(INDEX(고객사!$J$5:$J$104,MATCH($B1220,고객사!$A$5:$A$104,0)),0))</f>
        <v/>
      </c>
      <c r="O1220" s="22" t="str">
        <f aca="false">IF($B1220="","",G1220*N1220)</f>
        <v/>
      </c>
      <c r="P1220" s="22" t="str">
        <f aca="false">IF($B1220="","",IFERROR(INDEX(고객사!$K$5:$K$104,MATCH($B1220,고객사!$A$5:$A$104,0)),0))</f>
        <v/>
      </c>
      <c r="Q1220" s="22" t="str">
        <f aca="false">IF($B1220="","",G1220*P1220)</f>
        <v/>
      </c>
      <c r="R1220" s="22" t="str">
        <f aca="false">IF($B1220="","",O1220-Q1220-L1220)</f>
        <v/>
      </c>
      <c r="S1220" s="21" t="str">
        <f aca="false">IF(OR($B1220="",N(O1220)=0),"",R1220/O1220)</f>
        <v/>
      </c>
      <c r="T1220" s="14"/>
      <c r="U1220" s="19" t="n">
        <f aca="false">IF(OR($B1220="",$A1220=""),0,IF(COUNTIFS($A$5:$A1220,$A1220,$B$5:$B1220,$B1220)=1,1,0))</f>
        <v>0</v>
      </c>
    </row>
    <row r="1221" customFormat="false" ht="15" hidden="false" customHeight="false" outlineLevel="0" collapsed="false">
      <c r="A1221" s="17"/>
      <c r="B1221" s="13"/>
      <c r="C1221" s="20" t="str">
        <f aca="false">IF($B1221="","",IFERROR(INDEX(고객사!$B$5:$B$104,MATCH($B1221,고객사!$A$5:$A$104,0)),"코드 확인"))</f>
        <v/>
      </c>
      <c r="D1221" s="15"/>
      <c r="E1221" s="15"/>
      <c r="F1221" s="16"/>
      <c r="G1221" s="16"/>
      <c r="H1221" s="21" t="str">
        <f aca="false">IF(OR($B1221="",F1221=0),"",G1221/F1221)</f>
        <v/>
      </c>
      <c r="I1221" s="22" t="str">
        <f aca="false">IF($B1221="","",MAX(F1221-G1221,0))</f>
        <v/>
      </c>
      <c r="J1221" s="23" t="str">
        <f aca="false">IF($B1221="","",IFERROR(INDEX(고객사!$G$5:$G$104,MATCH($B1221,고객사!$A$5:$A$104,0)),""))</f>
        <v/>
      </c>
      <c r="K1221" s="16"/>
      <c r="L1221" s="22" t="str">
        <f aca="false">IF($B1221="","",K1221*IFERROR(INDEX(고객사!$L$5:$L$104,MATCH($B1221,고객사!$A$5:$A$104,0)),0))</f>
        <v/>
      </c>
      <c r="M1221" s="23" t="str">
        <f aca="false">IF($B1221="","",IF(AND(J1221="N",G1221&gt;0,K1221=0,IFERROR(INDEX(고객사!$H$5:$H$104,MATCH($B1221,고객사!$A$5:$A$104,0)),"")="자사 차량 운행"),"차량 미배정",""))</f>
        <v/>
      </c>
      <c r="N1221" s="22" t="str">
        <f aca="false">IF($B1221="","",IFERROR(INDEX(고객사!$J$5:$J$104,MATCH($B1221,고객사!$A$5:$A$104,0)),0))</f>
        <v/>
      </c>
      <c r="O1221" s="22" t="str">
        <f aca="false">IF($B1221="","",G1221*N1221)</f>
        <v/>
      </c>
      <c r="P1221" s="22" t="str">
        <f aca="false">IF($B1221="","",IFERROR(INDEX(고객사!$K$5:$K$104,MATCH($B1221,고객사!$A$5:$A$104,0)),0))</f>
        <v/>
      </c>
      <c r="Q1221" s="22" t="str">
        <f aca="false">IF($B1221="","",G1221*P1221)</f>
        <v/>
      </c>
      <c r="R1221" s="22" t="str">
        <f aca="false">IF($B1221="","",O1221-Q1221-L1221)</f>
        <v/>
      </c>
      <c r="S1221" s="21" t="str">
        <f aca="false">IF(OR($B1221="",N(O1221)=0),"",R1221/O1221)</f>
        <v/>
      </c>
      <c r="T1221" s="14"/>
      <c r="U1221" s="19" t="n">
        <f aca="false">IF(OR($B1221="",$A1221=""),0,IF(COUNTIFS($A$5:$A1221,$A1221,$B$5:$B1221,$B1221)=1,1,0))</f>
        <v>0</v>
      </c>
    </row>
    <row r="1222" customFormat="false" ht="15" hidden="false" customHeight="false" outlineLevel="0" collapsed="false">
      <c r="A1222" s="17"/>
      <c r="B1222" s="13"/>
      <c r="C1222" s="20" t="str">
        <f aca="false">IF($B1222="","",IFERROR(INDEX(고객사!$B$5:$B$104,MATCH($B1222,고객사!$A$5:$A$104,0)),"코드 확인"))</f>
        <v/>
      </c>
      <c r="D1222" s="15"/>
      <c r="E1222" s="15"/>
      <c r="F1222" s="16"/>
      <c r="G1222" s="16"/>
      <c r="H1222" s="21" t="str">
        <f aca="false">IF(OR($B1222="",F1222=0),"",G1222/F1222)</f>
        <v/>
      </c>
      <c r="I1222" s="22" t="str">
        <f aca="false">IF($B1222="","",MAX(F1222-G1222,0))</f>
        <v/>
      </c>
      <c r="J1222" s="23" t="str">
        <f aca="false">IF($B1222="","",IFERROR(INDEX(고객사!$G$5:$G$104,MATCH($B1222,고객사!$A$5:$A$104,0)),""))</f>
        <v/>
      </c>
      <c r="K1222" s="16"/>
      <c r="L1222" s="22" t="str">
        <f aca="false">IF($B1222="","",K1222*IFERROR(INDEX(고객사!$L$5:$L$104,MATCH($B1222,고객사!$A$5:$A$104,0)),0))</f>
        <v/>
      </c>
      <c r="M1222" s="23" t="str">
        <f aca="false">IF($B1222="","",IF(AND(J1222="N",G1222&gt;0,K1222=0,IFERROR(INDEX(고객사!$H$5:$H$104,MATCH($B1222,고객사!$A$5:$A$104,0)),"")="자사 차량 운행"),"차량 미배정",""))</f>
        <v/>
      </c>
      <c r="N1222" s="22" t="str">
        <f aca="false">IF($B1222="","",IFERROR(INDEX(고객사!$J$5:$J$104,MATCH($B1222,고객사!$A$5:$A$104,0)),0))</f>
        <v/>
      </c>
      <c r="O1222" s="22" t="str">
        <f aca="false">IF($B1222="","",G1222*N1222)</f>
        <v/>
      </c>
      <c r="P1222" s="22" t="str">
        <f aca="false">IF($B1222="","",IFERROR(INDEX(고객사!$K$5:$K$104,MATCH($B1222,고객사!$A$5:$A$104,0)),0))</f>
        <v/>
      </c>
      <c r="Q1222" s="22" t="str">
        <f aca="false">IF($B1222="","",G1222*P1222)</f>
        <v/>
      </c>
      <c r="R1222" s="22" t="str">
        <f aca="false">IF($B1222="","",O1222-Q1222-L1222)</f>
        <v/>
      </c>
      <c r="S1222" s="21" t="str">
        <f aca="false">IF(OR($B1222="",N(O1222)=0),"",R1222/O1222)</f>
        <v/>
      </c>
      <c r="T1222" s="14"/>
      <c r="U1222" s="19" t="n">
        <f aca="false">IF(OR($B1222="",$A1222=""),0,IF(COUNTIFS($A$5:$A1222,$A1222,$B$5:$B1222,$B1222)=1,1,0))</f>
        <v>0</v>
      </c>
    </row>
    <row r="1223" customFormat="false" ht="15" hidden="false" customHeight="false" outlineLevel="0" collapsed="false">
      <c r="A1223" s="17"/>
      <c r="B1223" s="13"/>
      <c r="C1223" s="20" t="str">
        <f aca="false">IF($B1223="","",IFERROR(INDEX(고객사!$B$5:$B$104,MATCH($B1223,고객사!$A$5:$A$104,0)),"코드 확인"))</f>
        <v/>
      </c>
      <c r="D1223" s="15"/>
      <c r="E1223" s="15"/>
      <c r="F1223" s="16"/>
      <c r="G1223" s="16"/>
      <c r="H1223" s="21" t="str">
        <f aca="false">IF(OR($B1223="",F1223=0),"",G1223/F1223)</f>
        <v/>
      </c>
      <c r="I1223" s="22" t="str">
        <f aca="false">IF($B1223="","",MAX(F1223-G1223,0))</f>
        <v/>
      </c>
      <c r="J1223" s="23" t="str">
        <f aca="false">IF($B1223="","",IFERROR(INDEX(고객사!$G$5:$G$104,MATCH($B1223,고객사!$A$5:$A$104,0)),""))</f>
        <v/>
      </c>
      <c r="K1223" s="16"/>
      <c r="L1223" s="22" t="str">
        <f aca="false">IF($B1223="","",K1223*IFERROR(INDEX(고객사!$L$5:$L$104,MATCH($B1223,고객사!$A$5:$A$104,0)),0))</f>
        <v/>
      </c>
      <c r="M1223" s="23" t="str">
        <f aca="false">IF($B1223="","",IF(AND(J1223="N",G1223&gt;0,K1223=0,IFERROR(INDEX(고객사!$H$5:$H$104,MATCH($B1223,고객사!$A$5:$A$104,0)),"")="자사 차량 운행"),"차량 미배정",""))</f>
        <v/>
      </c>
      <c r="N1223" s="22" t="str">
        <f aca="false">IF($B1223="","",IFERROR(INDEX(고객사!$J$5:$J$104,MATCH($B1223,고객사!$A$5:$A$104,0)),0))</f>
        <v/>
      </c>
      <c r="O1223" s="22" t="str">
        <f aca="false">IF($B1223="","",G1223*N1223)</f>
        <v/>
      </c>
      <c r="P1223" s="22" t="str">
        <f aca="false">IF($B1223="","",IFERROR(INDEX(고객사!$K$5:$K$104,MATCH($B1223,고객사!$A$5:$A$104,0)),0))</f>
        <v/>
      </c>
      <c r="Q1223" s="22" t="str">
        <f aca="false">IF($B1223="","",G1223*P1223)</f>
        <v/>
      </c>
      <c r="R1223" s="22" t="str">
        <f aca="false">IF($B1223="","",O1223-Q1223-L1223)</f>
        <v/>
      </c>
      <c r="S1223" s="21" t="str">
        <f aca="false">IF(OR($B1223="",N(O1223)=0),"",R1223/O1223)</f>
        <v/>
      </c>
      <c r="T1223" s="14"/>
      <c r="U1223" s="19" t="n">
        <f aca="false">IF(OR($B1223="",$A1223=""),0,IF(COUNTIFS($A$5:$A1223,$A1223,$B$5:$B1223,$B1223)=1,1,0))</f>
        <v>0</v>
      </c>
    </row>
    <row r="1224" customFormat="false" ht="15" hidden="false" customHeight="false" outlineLevel="0" collapsed="false">
      <c r="A1224" s="17"/>
      <c r="B1224" s="13"/>
      <c r="C1224" s="20" t="str">
        <f aca="false">IF($B1224="","",IFERROR(INDEX(고객사!$B$5:$B$104,MATCH($B1224,고객사!$A$5:$A$104,0)),"코드 확인"))</f>
        <v/>
      </c>
      <c r="D1224" s="15"/>
      <c r="E1224" s="15"/>
      <c r="F1224" s="16"/>
      <c r="G1224" s="16"/>
      <c r="H1224" s="21" t="str">
        <f aca="false">IF(OR($B1224="",F1224=0),"",G1224/F1224)</f>
        <v/>
      </c>
      <c r="I1224" s="22" t="str">
        <f aca="false">IF($B1224="","",MAX(F1224-G1224,0))</f>
        <v/>
      </c>
      <c r="J1224" s="23" t="str">
        <f aca="false">IF($B1224="","",IFERROR(INDEX(고객사!$G$5:$G$104,MATCH($B1224,고객사!$A$5:$A$104,0)),""))</f>
        <v/>
      </c>
      <c r="K1224" s="16"/>
      <c r="L1224" s="22" t="str">
        <f aca="false">IF($B1224="","",K1224*IFERROR(INDEX(고객사!$L$5:$L$104,MATCH($B1224,고객사!$A$5:$A$104,0)),0))</f>
        <v/>
      </c>
      <c r="M1224" s="23" t="str">
        <f aca="false">IF($B1224="","",IF(AND(J1224="N",G1224&gt;0,K1224=0,IFERROR(INDEX(고객사!$H$5:$H$104,MATCH($B1224,고객사!$A$5:$A$104,0)),"")="자사 차량 운행"),"차량 미배정",""))</f>
        <v/>
      </c>
      <c r="N1224" s="22" t="str">
        <f aca="false">IF($B1224="","",IFERROR(INDEX(고객사!$J$5:$J$104,MATCH($B1224,고객사!$A$5:$A$104,0)),0))</f>
        <v/>
      </c>
      <c r="O1224" s="22" t="str">
        <f aca="false">IF($B1224="","",G1224*N1224)</f>
        <v/>
      </c>
      <c r="P1224" s="22" t="str">
        <f aca="false">IF($B1224="","",IFERROR(INDEX(고객사!$K$5:$K$104,MATCH($B1224,고객사!$A$5:$A$104,0)),0))</f>
        <v/>
      </c>
      <c r="Q1224" s="22" t="str">
        <f aca="false">IF($B1224="","",G1224*P1224)</f>
        <v/>
      </c>
      <c r="R1224" s="22" t="str">
        <f aca="false">IF($B1224="","",O1224-Q1224-L1224)</f>
        <v/>
      </c>
      <c r="S1224" s="21" t="str">
        <f aca="false">IF(OR($B1224="",N(O1224)=0),"",R1224/O1224)</f>
        <v/>
      </c>
      <c r="T1224" s="14"/>
      <c r="U1224" s="19" t="n">
        <f aca="false">IF(OR($B1224="",$A1224=""),0,IF(COUNTIFS($A$5:$A1224,$A1224,$B$5:$B1224,$B1224)=1,1,0))</f>
        <v>0</v>
      </c>
    </row>
    <row r="1225" customFormat="false" ht="15" hidden="false" customHeight="false" outlineLevel="0" collapsed="false">
      <c r="A1225" s="17"/>
      <c r="B1225" s="13"/>
      <c r="C1225" s="20" t="str">
        <f aca="false">IF($B1225="","",IFERROR(INDEX(고객사!$B$5:$B$104,MATCH($B1225,고객사!$A$5:$A$104,0)),"코드 확인"))</f>
        <v/>
      </c>
      <c r="D1225" s="15"/>
      <c r="E1225" s="15"/>
      <c r="F1225" s="16"/>
      <c r="G1225" s="16"/>
      <c r="H1225" s="21" t="str">
        <f aca="false">IF(OR($B1225="",F1225=0),"",G1225/F1225)</f>
        <v/>
      </c>
      <c r="I1225" s="22" t="str">
        <f aca="false">IF($B1225="","",MAX(F1225-G1225,0))</f>
        <v/>
      </c>
      <c r="J1225" s="23" t="str">
        <f aca="false">IF($B1225="","",IFERROR(INDEX(고객사!$G$5:$G$104,MATCH($B1225,고객사!$A$5:$A$104,0)),""))</f>
        <v/>
      </c>
      <c r="K1225" s="16"/>
      <c r="L1225" s="22" t="str">
        <f aca="false">IF($B1225="","",K1225*IFERROR(INDEX(고객사!$L$5:$L$104,MATCH($B1225,고객사!$A$5:$A$104,0)),0))</f>
        <v/>
      </c>
      <c r="M1225" s="23" t="str">
        <f aca="false">IF($B1225="","",IF(AND(J1225="N",G1225&gt;0,K1225=0,IFERROR(INDEX(고객사!$H$5:$H$104,MATCH($B1225,고객사!$A$5:$A$104,0)),"")="자사 차량 운행"),"차량 미배정",""))</f>
        <v/>
      </c>
      <c r="N1225" s="22" t="str">
        <f aca="false">IF($B1225="","",IFERROR(INDEX(고객사!$J$5:$J$104,MATCH($B1225,고객사!$A$5:$A$104,0)),0))</f>
        <v/>
      </c>
      <c r="O1225" s="22" t="str">
        <f aca="false">IF($B1225="","",G1225*N1225)</f>
        <v/>
      </c>
      <c r="P1225" s="22" t="str">
        <f aca="false">IF($B1225="","",IFERROR(INDEX(고객사!$K$5:$K$104,MATCH($B1225,고객사!$A$5:$A$104,0)),0))</f>
        <v/>
      </c>
      <c r="Q1225" s="22" t="str">
        <f aca="false">IF($B1225="","",G1225*P1225)</f>
        <v/>
      </c>
      <c r="R1225" s="22" t="str">
        <f aca="false">IF($B1225="","",O1225-Q1225-L1225)</f>
        <v/>
      </c>
      <c r="S1225" s="21" t="str">
        <f aca="false">IF(OR($B1225="",N(O1225)=0),"",R1225/O1225)</f>
        <v/>
      </c>
      <c r="T1225" s="14"/>
      <c r="U1225" s="19" t="n">
        <f aca="false">IF(OR($B1225="",$A1225=""),0,IF(COUNTIFS($A$5:$A1225,$A1225,$B$5:$B1225,$B1225)=1,1,0))</f>
        <v>0</v>
      </c>
    </row>
    <row r="1226" customFormat="false" ht="15" hidden="false" customHeight="false" outlineLevel="0" collapsed="false">
      <c r="A1226" s="17"/>
      <c r="B1226" s="13"/>
      <c r="C1226" s="20" t="str">
        <f aca="false">IF($B1226="","",IFERROR(INDEX(고객사!$B$5:$B$104,MATCH($B1226,고객사!$A$5:$A$104,0)),"코드 확인"))</f>
        <v/>
      </c>
      <c r="D1226" s="15"/>
      <c r="E1226" s="15"/>
      <c r="F1226" s="16"/>
      <c r="G1226" s="16"/>
      <c r="H1226" s="21" t="str">
        <f aca="false">IF(OR($B1226="",F1226=0),"",G1226/F1226)</f>
        <v/>
      </c>
      <c r="I1226" s="22" t="str">
        <f aca="false">IF($B1226="","",MAX(F1226-G1226,0))</f>
        <v/>
      </c>
      <c r="J1226" s="23" t="str">
        <f aca="false">IF($B1226="","",IFERROR(INDEX(고객사!$G$5:$G$104,MATCH($B1226,고객사!$A$5:$A$104,0)),""))</f>
        <v/>
      </c>
      <c r="K1226" s="16"/>
      <c r="L1226" s="22" t="str">
        <f aca="false">IF($B1226="","",K1226*IFERROR(INDEX(고객사!$L$5:$L$104,MATCH($B1226,고객사!$A$5:$A$104,0)),0))</f>
        <v/>
      </c>
      <c r="M1226" s="23" t="str">
        <f aca="false">IF($B1226="","",IF(AND(J1226="N",G1226&gt;0,K1226=0,IFERROR(INDEX(고객사!$H$5:$H$104,MATCH($B1226,고객사!$A$5:$A$104,0)),"")="자사 차량 운행"),"차량 미배정",""))</f>
        <v/>
      </c>
      <c r="N1226" s="22" t="str">
        <f aca="false">IF($B1226="","",IFERROR(INDEX(고객사!$J$5:$J$104,MATCH($B1226,고객사!$A$5:$A$104,0)),0))</f>
        <v/>
      </c>
      <c r="O1226" s="22" t="str">
        <f aca="false">IF($B1226="","",G1226*N1226)</f>
        <v/>
      </c>
      <c r="P1226" s="22" t="str">
        <f aca="false">IF($B1226="","",IFERROR(INDEX(고객사!$K$5:$K$104,MATCH($B1226,고객사!$A$5:$A$104,0)),0))</f>
        <v/>
      </c>
      <c r="Q1226" s="22" t="str">
        <f aca="false">IF($B1226="","",G1226*P1226)</f>
        <v/>
      </c>
      <c r="R1226" s="22" t="str">
        <f aca="false">IF($B1226="","",O1226-Q1226-L1226)</f>
        <v/>
      </c>
      <c r="S1226" s="21" t="str">
        <f aca="false">IF(OR($B1226="",N(O1226)=0),"",R1226/O1226)</f>
        <v/>
      </c>
      <c r="T1226" s="14"/>
      <c r="U1226" s="19" t="n">
        <f aca="false">IF(OR($B1226="",$A1226=""),0,IF(COUNTIFS($A$5:$A1226,$A1226,$B$5:$B1226,$B1226)=1,1,0))</f>
        <v>0</v>
      </c>
    </row>
    <row r="1227" customFormat="false" ht="15" hidden="false" customHeight="false" outlineLevel="0" collapsed="false">
      <c r="A1227" s="17"/>
      <c r="B1227" s="13"/>
      <c r="C1227" s="20" t="str">
        <f aca="false">IF($B1227="","",IFERROR(INDEX(고객사!$B$5:$B$104,MATCH($B1227,고객사!$A$5:$A$104,0)),"코드 확인"))</f>
        <v/>
      </c>
      <c r="D1227" s="15"/>
      <c r="E1227" s="15"/>
      <c r="F1227" s="16"/>
      <c r="G1227" s="16"/>
      <c r="H1227" s="21" t="str">
        <f aca="false">IF(OR($B1227="",F1227=0),"",G1227/F1227)</f>
        <v/>
      </c>
      <c r="I1227" s="22" t="str">
        <f aca="false">IF($B1227="","",MAX(F1227-G1227,0))</f>
        <v/>
      </c>
      <c r="J1227" s="23" t="str">
        <f aca="false">IF($B1227="","",IFERROR(INDEX(고객사!$G$5:$G$104,MATCH($B1227,고객사!$A$5:$A$104,0)),""))</f>
        <v/>
      </c>
      <c r="K1227" s="16"/>
      <c r="L1227" s="22" t="str">
        <f aca="false">IF($B1227="","",K1227*IFERROR(INDEX(고객사!$L$5:$L$104,MATCH($B1227,고객사!$A$5:$A$104,0)),0))</f>
        <v/>
      </c>
      <c r="M1227" s="23" t="str">
        <f aca="false">IF($B1227="","",IF(AND(J1227="N",G1227&gt;0,K1227=0,IFERROR(INDEX(고객사!$H$5:$H$104,MATCH($B1227,고객사!$A$5:$A$104,0)),"")="자사 차량 운행"),"차량 미배정",""))</f>
        <v/>
      </c>
      <c r="N1227" s="22" t="str">
        <f aca="false">IF($B1227="","",IFERROR(INDEX(고객사!$J$5:$J$104,MATCH($B1227,고객사!$A$5:$A$104,0)),0))</f>
        <v/>
      </c>
      <c r="O1227" s="22" t="str">
        <f aca="false">IF($B1227="","",G1227*N1227)</f>
        <v/>
      </c>
      <c r="P1227" s="22" t="str">
        <f aca="false">IF($B1227="","",IFERROR(INDEX(고객사!$K$5:$K$104,MATCH($B1227,고객사!$A$5:$A$104,0)),0))</f>
        <v/>
      </c>
      <c r="Q1227" s="22" t="str">
        <f aca="false">IF($B1227="","",G1227*P1227)</f>
        <v/>
      </c>
      <c r="R1227" s="22" t="str">
        <f aca="false">IF($B1227="","",O1227-Q1227-L1227)</f>
        <v/>
      </c>
      <c r="S1227" s="21" t="str">
        <f aca="false">IF(OR($B1227="",N(O1227)=0),"",R1227/O1227)</f>
        <v/>
      </c>
      <c r="T1227" s="14"/>
      <c r="U1227" s="19" t="n">
        <f aca="false">IF(OR($B1227="",$A1227=""),0,IF(COUNTIFS($A$5:$A1227,$A1227,$B$5:$B1227,$B1227)=1,1,0))</f>
        <v>0</v>
      </c>
    </row>
    <row r="1228" customFormat="false" ht="15" hidden="false" customHeight="false" outlineLevel="0" collapsed="false">
      <c r="A1228" s="17"/>
      <c r="B1228" s="13"/>
      <c r="C1228" s="20" t="str">
        <f aca="false">IF($B1228="","",IFERROR(INDEX(고객사!$B$5:$B$104,MATCH($B1228,고객사!$A$5:$A$104,0)),"코드 확인"))</f>
        <v/>
      </c>
      <c r="D1228" s="15"/>
      <c r="E1228" s="15"/>
      <c r="F1228" s="16"/>
      <c r="G1228" s="16"/>
      <c r="H1228" s="21" t="str">
        <f aca="false">IF(OR($B1228="",F1228=0),"",G1228/F1228)</f>
        <v/>
      </c>
      <c r="I1228" s="22" t="str">
        <f aca="false">IF($B1228="","",MAX(F1228-G1228,0))</f>
        <v/>
      </c>
      <c r="J1228" s="23" t="str">
        <f aca="false">IF($B1228="","",IFERROR(INDEX(고객사!$G$5:$G$104,MATCH($B1228,고객사!$A$5:$A$104,0)),""))</f>
        <v/>
      </c>
      <c r="K1228" s="16"/>
      <c r="L1228" s="22" t="str">
        <f aca="false">IF($B1228="","",K1228*IFERROR(INDEX(고객사!$L$5:$L$104,MATCH($B1228,고객사!$A$5:$A$104,0)),0))</f>
        <v/>
      </c>
      <c r="M1228" s="23" t="str">
        <f aca="false">IF($B1228="","",IF(AND(J1228="N",G1228&gt;0,K1228=0,IFERROR(INDEX(고객사!$H$5:$H$104,MATCH($B1228,고객사!$A$5:$A$104,0)),"")="자사 차량 운행"),"차량 미배정",""))</f>
        <v/>
      </c>
      <c r="N1228" s="22" t="str">
        <f aca="false">IF($B1228="","",IFERROR(INDEX(고객사!$J$5:$J$104,MATCH($B1228,고객사!$A$5:$A$104,0)),0))</f>
        <v/>
      </c>
      <c r="O1228" s="22" t="str">
        <f aca="false">IF($B1228="","",G1228*N1228)</f>
        <v/>
      </c>
      <c r="P1228" s="22" t="str">
        <f aca="false">IF($B1228="","",IFERROR(INDEX(고객사!$K$5:$K$104,MATCH($B1228,고객사!$A$5:$A$104,0)),0))</f>
        <v/>
      </c>
      <c r="Q1228" s="22" t="str">
        <f aca="false">IF($B1228="","",G1228*P1228)</f>
        <v/>
      </c>
      <c r="R1228" s="22" t="str">
        <f aca="false">IF($B1228="","",O1228-Q1228-L1228)</f>
        <v/>
      </c>
      <c r="S1228" s="21" t="str">
        <f aca="false">IF(OR($B1228="",N(O1228)=0),"",R1228/O1228)</f>
        <v/>
      </c>
      <c r="T1228" s="14"/>
      <c r="U1228" s="19" t="n">
        <f aca="false">IF(OR($B1228="",$A1228=""),0,IF(COUNTIFS($A$5:$A1228,$A1228,$B$5:$B1228,$B1228)=1,1,0))</f>
        <v>0</v>
      </c>
    </row>
    <row r="1229" customFormat="false" ht="15" hidden="false" customHeight="false" outlineLevel="0" collapsed="false">
      <c r="A1229" s="17"/>
      <c r="B1229" s="13"/>
      <c r="C1229" s="20" t="str">
        <f aca="false">IF($B1229="","",IFERROR(INDEX(고객사!$B$5:$B$104,MATCH($B1229,고객사!$A$5:$A$104,0)),"코드 확인"))</f>
        <v/>
      </c>
      <c r="D1229" s="15"/>
      <c r="E1229" s="15"/>
      <c r="F1229" s="16"/>
      <c r="G1229" s="16"/>
      <c r="H1229" s="21" t="str">
        <f aca="false">IF(OR($B1229="",F1229=0),"",G1229/F1229)</f>
        <v/>
      </c>
      <c r="I1229" s="22" t="str">
        <f aca="false">IF($B1229="","",MAX(F1229-G1229,0))</f>
        <v/>
      </c>
      <c r="J1229" s="23" t="str">
        <f aca="false">IF($B1229="","",IFERROR(INDEX(고객사!$G$5:$G$104,MATCH($B1229,고객사!$A$5:$A$104,0)),""))</f>
        <v/>
      </c>
      <c r="K1229" s="16"/>
      <c r="L1229" s="22" t="str">
        <f aca="false">IF($B1229="","",K1229*IFERROR(INDEX(고객사!$L$5:$L$104,MATCH($B1229,고객사!$A$5:$A$104,0)),0))</f>
        <v/>
      </c>
      <c r="M1229" s="23" t="str">
        <f aca="false">IF($B1229="","",IF(AND(J1229="N",G1229&gt;0,K1229=0,IFERROR(INDEX(고객사!$H$5:$H$104,MATCH($B1229,고객사!$A$5:$A$104,0)),"")="자사 차량 운행"),"차량 미배정",""))</f>
        <v/>
      </c>
      <c r="N1229" s="22" t="str">
        <f aca="false">IF($B1229="","",IFERROR(INDEX(고객사!$J$5:$J$104,MATCH($B1229,고객사!$A$5:$A$104,0)),0))</f>
        <v/>
      </c>
      <c r="O1229" s="22" t="str">
        <f aca="false">IF($B1229="","",G1229*N1229)</f>
        <v/>
      </c>
      <c r="P1229" s="22" t="str">
        <f aca="false">IF($B1229="","",IFERROR(INDEX(고객사!$K$5:$K$104,MATCH($B1229,고객사!$A$5:$A$104,0)),0))</f>
        <v/>
      </c>
      <c r="Q1229" s="22" t="str">
        <f aca="false">IF($B1229="","",G1229*P1229)</f>
        <v/>
      </c>
      <c r="R1229" s="22" t="str">
        <f aca="false">IF($B1229="","",O1229-Q1229-L1229)</f>
        <v/>
      </c>
      <c r="S1229" s="21" t="str">
        <f aca="false">IF(OR($B1229="",N(O1229)=0),"",R1229/O1229)</f>
        <v/>
      </c>
      <c r="T1229" s="14"/>
      <c r="U1229" s="19" t="n">
        <f aca="false">IF(OR($B1229="",$A1229=""),0,IF(COUNTIFS($A$5:$A1229,$A1229,$B$5:$B1229,$B1229)=1,1,0))</f>
        <v>0</v>
      </c>
    </row>
    <row r="1230" customFormat="false" ht="15" hidden="false" customHeight="false" outlineLevel="0" collapsed="false">
      <c r="A1230" s="17"/>
      <c r="B1230" s="13"/>
      <c r="C1230" s="20" t="str">
        <f aca="false">IF($B1230="","",IFERROR(INDEX(고객사!$B$5:$B$104,MATCH($B1230,고객사!$A$5:$A$104,0)),"코드 확인"))</f>
        <v/>
      </c>
      <c r="D1230" s="15"/>
      <c r="E1230" s="15"/>
      <c r="F1230" s="16"/>
      <c r="G1230" s="16"/>
      <c r="H1230" s="21" t="str">
        <f aca="false">IF(OR($B1230="",F1230=0),"",G1230/F1230)</f>
        <v/>
      </c>
      <c r="I1230" s="22" t="str">
        <f aca="false">IF($B1230="","",MAX(F1230-G1230,0))</f>
        <v/>
      </c>
      <c r="J1230" s="23" t="str">
        <f aca="false">IF($B1230="","",IFERROR(INDEX(고객사!$G$5:$G$104,MATCH($B1230,고객사!$A$5:$A$104,0)),""))</f>
        <v/>
      </c>
      <c r="K1230" s="16"/>
      <c r="L1230" s="22" t="str">
        <f aca="false">IF($B1230="","",K1230*IFERROR(INDEX(고객사!$L$5:$L$104,MATCH($B1230,고객사!$A$5:$A$104,0)),0))</f>
        <v/>
      </c>
      <c r="M1230" s="23" t="str">
        <f aca="false">IF($B1230="","",IF(AND(J1230="N",G1230&gt;0,K1230=0,IFERROR(INDEX(고객사!$H$5:$H$104,MATCH($B1230,고객사!$A$5:$A$104,0)),"")="자사 차량 운행"),"차량 미배정",""))</f>
        <v/>
      </c>
      <c r="N1230" s="22" t="str">
        <f aca="false">IF($B1230="","",IFERROR(INDEX(고객사!$J$5:$J$104,MATCH($B1230,고객사!$A$5:$A$104,0)),0))</f>
        <v/>
      </c>
      <c r="O1230" s="22" t="str">
        <f aca="false">IF($B1230="","",G1230*N1230)</f>
        <v/>
      </c>
      <c r="P1230" s="22" t="str">
        <f aca="false">IF($B1230="","",IFERROR(INDEX(고객사!$K$5:$K$104,MATCH($B1230,고객사!$A$5:$A$104,0)),0))</f>
        <v/>
      </c>
      <c r="Q1230" s="22" t="str">
        <f aca="false">IF($B1230="","",G1230*P1230)</f>
        <v/>
      </c>
      <c r="R1230" s="22" t="str">
        <f aca="false">IF($B1230="","",O1230-Q1230-L1230)</f>
        <v/>
      </c>
      <c r="S1230" s="21" t="str">
        <f aca="false">IF(OR($B1230="",N(O1230)=0),"",R1230/O1230)</f>
        <v/>
      </c>
      <c r="T1230" s="14"/>
      <c r="U1230" s="19" t="n">
        <f aca="false">IF(OR($B1230="",$A1230=""),0,IF(COUNTIFS($A$5:$A1230,$A1230,$B$5:$B1230,$B1230)=1,1,0))</f>
        <v>0</v>
      </c>
    </row>
    <row r="1231" customFormat="false" ht="15" hidden="false" customHeight="false" outlineLevel="0" collapsed="false">
      <c r="A1231" s="17"/>
      <c r="B1231" s="13"/>
      <c r="C1231" s="20" t="str">
        <f aca="false">IF($B1231="","",IFERROR(INDEX(고객사!$B$5:$B$104,MATCH($B1231,고객사!$A$5:$A$104,0)),"코드 확인"))</f>
        <v/>
      </c>
      <c r="D1231" s="15"/>
      <c r="E1231" s="15"/>
      <c r="F1231" s="16"/>
      <c r="G1231" s="16"/>
      <c r="H1231" s="21" t="str">
        <f aca="false">IF(OR($B1231="",F1231=0),"",G1231/F1231)</f>
        <v/>
      </c>
      <c r="I1231" s="22" t="str">
        <f aca="false">IF($B1231="","",MAX(F1231-G1231,0))</f>
        <v/>
      </c>
      <c r="J1231" s="23" t="str">
        <f aca="false">IF($B1231="","",IFERROR(INDEX(고객사!$G$5:$G$104,MATCH($B1231,고객사!$A$5:$A$104,0)),""))</f>
        <v/>
      </c>
      <c r="K1231" s="16"/>
      <c r="L1231" s="22" t="str">
        <f aca="false">IF($B1231="","",K1231*IFERROR(INDEX(고객사!$L$5:$L$104,MATCH($B1231,고객사!$A$5:$A$104,0)),0))</f>
        <v/>
      </c>
      <c r="M1231" s="23" t="str">
        <f aca="false">IF($B1231="","",IF(AND(J1231="N",G1231&gt;0,K1231=0,IFERROR(INDEX(고객사!$H$5:$H$104,MATCH($B1231,고객사!$A$5:$A$104,0)),"")="자사 차량 운행"),"차량 미배정",""))</f>
        <v/>
      </c>
      <c r="N1231" s="22" t="str">
        <f aca="false">IF($B1231="","",IFERROR(INDEX(고객사!$J$5:$J$104,MATCH($B1231,고객사!$A$5:$A$104,0)),0))</f>
        <v/>
      </c>
      <c r="O1231" s="22" t="str">
        <f aca="false">IF($B1231="","",G1231*N1231)</f>
        <v/>
      </c>
      <c r="P1231" s="22" t="str">
        <f aca="false">IF($B1231="","",IFERROR(INDEX(고객사!$K$5:$K$104,MATCH($B1231,고객사!$A$5:$A$104,0)),0))</f>
        <v/>
      </c>
      <c r="Q1231" s="22" t="str">
        <f aca="false">IF($B1231="","",G1231*P1231)</f>
        <v/>
      </c>
      <c r="R1231" s="22" t="str">
        <f aca="false">IF($B1231="","",O1231-Q1231-L1231)</f>
        <v/>
      </c>
      <c r="S1231" s="21" t="str">
        <f aca="false">IF(OR($B1231="",N(O1231)=0),"",R1231/O1231)</f>
        <v/>
      </c>
      <c r="T1231" s="14"/>
      <c r="U1231" s="19" t="n">
        <f aca="false">IF(OR($B1231="",$A1231=""),0,IF(COUNTIFS($A$5:$A1231,$A1231,$B$5:$B1231,$B1231)=1,1,0))</f>
        <v>0</v>
      </c>
    </row>
    <row r="1232" customFormat="false" ht="15" hidden="false" customHeight="false" outlineLevel="0" collapsed="false">
      <c r="A1232" s="17"/>
      <c r="B1232" s="13"/>
      <c r="C1232" s="20" t="str">
        <f aca="false">IF($B1232="","",IFERROR(INDEX(고객사!$B$5:$B$104,MATCH($B1232,고객사!$A$5:$A$104,0)),"코드 확인"))</f>
        <v/>
      </c>
      <c r="D1232" s="15"/>
      <c r="E1232" s="15"/>
      <c r="F1232" s="16"/>
      <c r="G1232" s="16"/>
      <c r="H1232" s="21" t="str">
        <f aca="false">IF(OR($B1232="",F1232=0),"",G1232/F1232)</f>
        <v/>
      </c>
      <c r="I1232" s="22" t="str">
        <f aca="false">IF($B1232="","",MAX(F1232-G1232,0))</f>
        <v/>
      </c>
      <c r="J1232" s="23" t="str">
        <f aca="false">IF($B1232="","",IFERROR(INDEX(고객사!$G$5:$G$104,MATCH($B1232,고객사!$A$5:$A$104,0)),""))</f>
        <v/>
      </c>
      <c r="K1232" s="16"/>
      <c r="L1232" s="22" t="str">
        <f aca="false">IF($B1232="","",K1232*IFERROR(INDEX(고객사!$L$5:$L$104,MATCH($B1232,고객사!$A$5:$A$104,0)),0))</f>
        <v/>
      </c>
      <c r="M1232" s="23" t="str">
        <f aca="false">IF($B1232="","",IF(AND(J1232="N",G1232&gt;0,K1232=0,IFERROR(INDEX(고객사!$H$5:$H$104,MATCH($B1232,고객사!$A$5:$A$104,0)),"")="자사 차량 운행"),"차량 미배정",""))</f>
        <v/>
      </c>
      <c r="N1232" s="22" t="str">
        <f aca="false">IF($B1232="","",IFERROR(INDEX(고객사!$J$5:$J$104,MATCH($B1232,고객사!$A$5:$A$104,0)),0))</f>
        <v/>
      </c>
      <c r="O1232" s="22" t="str">
        <f aca="false">IF($B1232="","",G1232*N1232)</f>
        <v/>
      </c>
      <c r="P1232" s="22" t="str">
        <f aca="false">IF($B1232="","",IFERROR(INDEX(고객사!$K$5:$K$104,MATCH($B1232,고객사!$A$5:$A$104,0)),0))</f>
        <v/>
      </c>
      <c r="Q1232" s="22" t="str">
        <f aca="false">IF($B1232="","",G1232*P1232)</f>
        <v/>
      </c>
      <c r="R1232" s="22" t="str">
        <f aca="false">IF($B1232="","",O1232-Q1232-L1232)</f>
        <v/>
      </c>
      <c r="S1232" s="21" t="str">
        <f aca="false">IF(OR($B1232="",N(O1232)=0),"",R1232/O1232)</f>
        <v/>
      </c>
      <c r="T1232" s="14"/>
      <c r="U1232" s="19" t="n">
        <f aca="false">IF(OR($B1232="",$A1232=""),0,IF(COUNTIFS($A$5:$A1232,$A1232,$B$5:$B1232,$B1232)=1,1,0))</f>
        <v>0</v>
      </c>
    </row>
    <row r="1233" customFormat="false" ht="15" hidden="false" customHeight="false" outlineLevel="0" collapsed="false">
      <c r="A1233" s="17"/>
      <c r="B1233" s="13"/>
      <c r="C1233" s="20" t="str">
        <f aca="false">IF($B1233="","",IFERROR(INDEX(고객사!$B$5:$B$104,MATCH($B1233,고객사!$A$5:$A$104,0)),"코드 확인"))</f>
        <v/>
      </c>
      <c r="D1233" s="15"/>
      <c r="E1233" s="15"/>
      <c r="F1233" s="16"/>
      <c r="G1233" s="16"/>
      <c r="H1233" s="21" t="str">
        <f aca="false">IF(OR($B1233="",F1233=0),"",G1233/F1233)</f>
        <v/>
      </c>
      <c r="I1233" s="22" t="str">
        <f aca="false">IF($B1233="","",MAX(F1233-G1233,0))</f>
        <v/>
      </c>
      <c r="J1233" s="23" t="str">
        <f aca="false">IF($B1233="","",IFERROR(INDEX(고객사!$G$5:$G$104,MATCH($B1233,고객사!$A$5:$A$104,0)),""))</f>
        <v/>
      </c>
      <c r="K1233" s="16"/>
      <c r="L1233" s="22" t="str">
        <f aca="false">IF($B1233="","",K1233*IFERROR(INDEX(고객사!$L$5:$L$104,MATCH($B1233,고객사!$A$5:$A$104,0)),0))</f>
        <v/>
      </c>
      <c r="M1233" s="23" t="str">
        <f aca="false">IF($B1233="","",IF(AND(J1233="N",G1233&gt;0,K1233=0,IFERROR(INDEX(고객사!$H$5:$H$104,MATCH($B1233,고객사!$A$5:$A$104,0)),"")="자사 차량 운행"),"차량 미배정",""))</f>
        <v/>
      </c>
      <c r="N1233" s="22" t="str">
        <f aca="false">IF($B1233="","",IFERROR(INDEX(고객사!$J$5:$J$104,MATCH($B1233,고객사!$A$5:$A$104,0)),0))</f>
        <v/>
      </c>
      <c r="O1233" s="22" t="str">
        <f aca="false">IF($B1233="","",G1233*N1233)</f>
        <v/>
      </c>
      <c r="P1233" s="22" t="str">
        <f aca="false">IF($B1233="","",IFERROR(INDEX(고객사!$K$5:$K$104,MATCH($B1233,고객사!$A$5:$A$104,0)),0))</f>
        <v/>
      </c>
      <c r="Q1233" s="22" t="str">
        <f aca="false">IF($B1233="","",G1233*P1233)</f>
        <v/>
      </c>
      <c r="R1233" s="22" t="str">
        <f aca="false">IF($B1233="","",O1233-Q1233-L1233)</f>
        <v/>
      </c>
      <c r="S1233" s="21" t="str">
        <f aca="false">IF(OR($B1233="",N(O1233)=0),"",R1233/O1233)</f>
        <v/>
      </c>
      <c r="T1233" s="14"/>
      <c r="U1233" s="19" t="n">
        <f aca="false">IF(OR($B1233="",$A1233=""),0,IF(COUNTIFS($A$5:$A1233,$A1233,$B$5:$B1233,$B1233)=1,1,0))</f>
        <v>0</v>
      </c>
    </row>
    <row r="1234" customFormat="false" ht="15" hidden="false" customHeight="false" outlineLevel="0" collapsed="false">
      <c r="A1234" s="17"/>
      <c r="B1234" s="13"/>
      <c r="C1234" s="20" t="str">
        <f aca="false">IF($B1234="","",IFERROR(INDEX(고객사!$B$5:$B$104,MATCH($B1234,고객사!$A$5:$A$104,0)),"코드 확인"))</f>
        <v/>
      </c>
      <c r="D1234" s="15"/>
      <c r="E1234" s="15"/>
      <c r="F1234" s="16"/>
      <c r="G1234" s="16"/>
      <c r="H1234" s="21" t="str">
        <f aca="false">IF(OR($B1234="",F1234=0),"",G1234/F1234)</f>
        <v/>
      </c>
      <c r="I1234" s="22" t="str">
        <f aca="false">IF($B1234="","",MAX(F1234-G1234,0))</f>
        <v/>
      </c>
      <c r="J1234" s="23" t="str">
        <f aca="false">IF($B1234="","",IFERROR(INDEX(고객사!$G$5:$G$104,MATCH($B1234,고객사!$A$5:$A$104,0)),""))</f>
        <v/>
      </c>
      <c r="K1234" s="16"/>
      <c r="L1234" s="22" t="str">
        <f aca="false">IF($B1234="","",K1234*IFERROR(INDEX(고객사!$L$5:$L$104,MATCH($B1234,고객사!$A$5:$A$104,0)),0))</f>
        <v/>
      </c>
      <c r="M1234" s="23" t="str">
        <f aca="false">IF($B1234="","",IF(AND(J1234="N",G1234&gt;0,K1234=0,IFERROR(INDEX(고객사!$H$5:$H$104,MATCH($B1234,고객사!$A$5:$A$104,0)),"")="자사 차량 운행"),"차량 미배정",""))</f>
        <v/>
      </c>
      <c r="N1234" s="22" t="str">
        <f aca="false">IF($B1234="","",IFERROR(INDEX(고객사!$J$5:$J$104,MATCH($B1234,고객사!$A$5:$A$104,0)),0))</f>
        <v/>
      </c>
      <c r="O1234" s="22" t="str">
        <f aca="false">IF($B1234="","",G1234*N1234)</f>
        <v/>
      </c>
      <c r="P1234" s="22" t="str">
        <f aca="false">IF($B1234="","",IFERROR(INDEX(고객사!$K$5:$K$104,MATCH($B1234,고객사!$A$5:$A$104,0)),0))</f>
        <v/>
      </c>
      <c r="Q1234" s="22" t="str">
        <f aca="false">IF($B1234="","",G1234*P1234)</f>
        <v/>
      </c>
      <c r="R1234" s="22" t="str">
        <f aca="false">IF($B1234="","",O1234-Q1234-L1234)</f>
        <v/>
      </c>
      <c r="S1234" s="21" t="str">
        <f aca="false">IF(OR($B1234="",N(O1234)=0),"",R1234/O1234)</f>
        <v/>
      </c>
      <c r="T1234" s="14"/>
      <c r="U1234" s="19" t="n">
        <f aca="false">IF(OR($B1234="",$A1234=""),0,IF(COUNTIFS($A$5:$A1234,$A1234,$B$5:$B1234,$B1234)=1,1,0))</f>
        <v>0</v>
      </c>
    </row>
    <row r="1235" customFormat="false" ht="15" hidden="false" customHeight="false" outlineLevel="0" collapsed="false">
      <c r="A1235" s="17"/>
      <c r="B1235" s="13"/>
      <c r="C1235" s="20" t="str">
        <f aca="false">IF($B1235="","",IFERROR(INDEX(고객사!$B$5:$B$104,MATCH($B1235,고객사!$A$5:$A$104,0)),"코드 확인"))</f>
        <v/>
      </c>
      <c r="D1235" s="15"/>
      <c r="E1235" s="15"/>
      <c r="F1235" s="16"/>
      <c r="G1235" s="16"/>
      <c r="H1235" s="21" t="str">
        <f aca="false">IF(OR($B1235="",F1235=0),"",G1235/F1235)</f>
        <v/>
      </c>
      <c r="I1235" s="22" t="str">
        <f aca="false">IF($B1235="","",MAX(F1235-G1235,0))</f>
        <v/>
      </c>
      <c r="J1235" s="23" t="str">
        <f aca="false">IF($B1235="","",IFERROR(INDEX(고객사!$G$5:$G$104,MATCH($B1235,고객사!$A$5:$A$104,0)),""))</f>
        <v/>
      </c>
      <c r="K1235" s="16"/>
      <c r="L1235" s="22" t="str">
        <f aca="false">IF($B1235="","",K1235*IFERROR(INDEX(고객사!$L$5:$L$104,MATCH($B1235,고객사!$A$5:$A$104,0)),0))</f>
        <v/>
      </c>
      <c r="M1235" s="23" t="str">
        <f aca="false">IF($B1235="","",IF(AND(J1235="N",G1235&gt;0,K1235=0,IFERROR(INDEX(고객사!$H$5:$H$104,MATCH($B1235,고객사!$A$5:$A$104,0)),"")="자사 차량 운행"),"차량 미배정",""))</f>
        <v/>
      </c>
      <c r="N1235" s="22" t="str">
        <f aca="false">IF($B1235="","",IFERROR(INDEX(고객사!$J$5:$J$104,MATCH($B1235,고객사!$A$5:$A$104,0)),0))</f>
        <v/>
      </c>
      <c r="O1235" s="22" t="str">
        <f aca="false">IF($B1235="","",G1235*N1235)</f>
        <v/>
      </c>
      <c r="P1235" s="22" t="str">
        <f aca="false">IF($B1235="","",IFERROR(INDEX(고객사!$K$5:$K$104,MATCH($B1235,고객사!$A$5:$A$104,0)),0))</f>
        <v/>
      </c>
      <c r="Q1235" s="22" t="str">
        <f aca="false">IF($B1235="","",G1235*P1235)</f>
        <v/>
      </c>
      <c r="R1235" s="22" t="str">
        <f aca="false">IF($B1235="","",O1235-Q1235-L1235)</f>
        <v/>
      </c>
      <c r="S1235" s="21" t="str">
        <f aca="false">IF(OR($B1235="",N(O1235)=0),"",R1235/O1235)</f>
        <v/>
      </c>
      <c r="T1235" s="14"/>
      <c r="U1235" s="19" t="n">
        <f aca="false">IF(OR($B1235="",$A1235=""),0,IF(COUNTIFS($A$5:$A1235,$A1235,$B$5:$B1235,$B1235)=1,1,0))</f>
        <v>0</v>
      </c>
    </row>
    <row r="1236" customFormat="false" ht="15" hidden="false" customHeight="false" outlineLevel="0" collapsed="false">
      <c r="A1236" s="17"/>
      <c r="B1236" s="13"/>
      <c r="C1236" s="20" t="str">
        <f aca="false">IF($B1236="","",IFERROR(INDEX(고객사!$B$5:$B$104,MATCH($B1236,고객사!$A$5:$A$104,0)),"코드 확인"))</f>
        <v/>
      </c>
      <c r="D1236" s="15"/>
      <c r="E1236" s="15"/>
      <c r="F1236" s="16"/>
      <c r="G1236" s="16"/>
      <c r="H1236" s="21" t="str">
        <f aca="false">IF(OR($B1236="",F1236=0),"",G1236/F1236)</f>
        <v/>
      </c>
      <c r="I1236" s="22" t="str">
        <f aca="false">IF($B1236="","",MAX(F1236-G1236,0))</f>
        <v/>
      </c>
      <c r="J1236" s="23" t="str">
        <f aca="false">IF($B1236="","",IFERROR(INDEX(고객사!$G$5:$G$104,MATCH($B1236,고객사!$A$5:$A$104,0)),""))</f>
        <v/>
      </c>
      <c r="K1236" s="16"/>
      <c r="L1236" s="22" t="str">
        <f aca="false">IF($B1236="","",K1236*IFERROR(INDEX(고객사!$L$5:$L$104,MATCH($B1236,고객사!$A$5:$A$104,0)),0))</f>
        <v/>
      </c>
      <c r="M1236" s="23" t="str">
        <f aca="false">IF($B1236="","",IF(AND(J1236="N",G1236&gt;0,K1236=0,IFERROR(INDEX(고객사!$H$5:$H$104,MATCH($B1236,고객사!$A$5:$A$104,0)),"")="자사 차량 운행"),"차량 미배정",""))</f>
        <v/>
      </c>
      <c r="N1236" s="22" t="str">
        <f aca="false">IF($B1236="","",IFERROR(INDEX(고객사!$J$5:$J$104,MATCH($B1236,고객사!$A$5:$A$104,0)),0))</f>
        <v/>
      </c>
      <c r="O1236" s="22" t="str">
        <f aca="false">IF($B1236="","",G1236*N1236)</f>
        <v/>
      </c>
      <c r="P1236" s="22" t="str">
        <f aca="false">IF($B1236="","",IFERROR(INDEX(고객사!$K$5:$K$104,MATCH($B1236,고객사!$A$5:$A$104,0)),0))</f>
        <v/>
      </c>
      <c r="Q1236" s="22" t="str">
        <f aca="false">IF($B1236="","",G1236*P1236)</f>
        <v/>
      </c>
      <c r="R1236" s="22" t="str">
        <f aca="false">IF($B1236="","",O1236-Q1236-L1236)</f>
        <v/>
      </c>
      <c r="S1236" s="21" t="str">
        <f aca="false">IF(OR($B1236="",N(O1236)=0),"",R1236/O1236)</f>
        <v/>
      </c>
      <c r="T1236" s="14"/>
      <c r="U1236" s="19" t="n">
        <f aca="false">IF(OR($B1236="",$A1236=""),0,IF(COUNTIFS($A$5:$A1236,$A1236,$B$5:$B1236,$B1236)=1,1,0))</f>
        <v>0</v>
      </c>
    </row>
    <row r="1237" customFormat="false" ht="15" hidden="false" customHeight="false" outlineLevel="0" collapsed="false">
      <c r="A1237" s="17"/>
      <c r="B1237" s="13"/>
      <c r="C1237" s="20" t="str">
        <f aca="false">IF($B1237="","",IFERROR(INDEX(고객사!$B$5:$B$104,MATCH($B1237,고객사!$A$5:$A$104,0)),"코드 확인"))</f>
        <v/>
      </c>
      <c r="D1237" s="15"/>
      <c r="E1237" s="15"/>
      <c r="F1237" s="16"/>
      <c r="G1237" s="16"/>
      <c r="H1237" s="21" t="str">
        <f aca="false">IF(OR($B1237="",F1237=0),"",G1237/F1237)</f>
        <v/>
      </c>
      <c r="I1237" s="22" t="str">
        <f aca="false">IF($B1237="","",MAX(F1237-G1237,0))</f>
        <v/>
      </c>
      <c r="J1237" s="23" t="str">
        <f aca="false">IF($B1237="","",IFERROR(INDEX(고객사!$G$5:$G$104,MATCH($B1237,고객사!$A$5:$A$104,0)),""))</f>
        <v/>
      </c>
      <c r="K1237" s="16"/>
      <c r="L1237" s="22" t="str">
        <f aca="false">IF($B1237="","",K1237*IFERROR(INDEX(고객사!$L$5:$L$104,MATCH($B1237,고객사!$A$5:$A$104,0)),0))</f>
        <v/>
      </c>
      <c r="M1237" s="23" t="str">
        <f aca="false">IF($B1237="","",IF(AND(J1237="N",G1237&gt;0,K1237=0,IFERROR(INDEX(고객사!$H$5:$H$104,MATCH($B1237,고객사!$A$5:$A$104,0)),"")="자사 차량 운행"),"차량 미배정",""))</f>
        <v/>
      </c>
      <c r="N1237" s="22" t="str">
        <f aca="false">IF($B1237="","",IFERROR(INDEX(고객사!$J$5:$J$104,MATCH($B1237,고객사!$A$5:$A$104,0)),0))</f>
        <v/>
      </c>
      <c r="O1237" s="22" t="str">
        <f aca="false">IF($B1237="","",G1237*N1237)</f>
        <v/>
      </c>
      <c r="P1237" s="22" t="str">
        <f aca="false">IF($B1237="","",IFERROR(INDEX(고객사!$K$5:$K$104,MATCH($B1237,고객사!$A$5:$A$104,0)),0))</f>
        <v/>
      </c>
      <c r="Q1237" s="22" t="str">
        <f aca="false">IF($B1237="","",G1237*P1237)</f>
        <v/>
      </c>
      <c r="R1237" s="22" t="str">
        <f aca="false">IF($B1237="","",O1237-Q1237-L1237)</f>
        <v/>
      </c>
      <c r="S1237" s="21" t="str">
        <f aca="false">IF(OR($B1237="",N(O1237)=0),"",R1237/O1237)</f>
        <v/>
      </c>
      <c r="T1237" s="14"/>
      <c r="U1237" s="19" t="n">
        <f aca="false">IF(OR($B1237="",$A1237=""),0,IF(COUNTIFS($A$5:$A1237,$A1237,$B$5:$B1237,$B1237)=1,1,0))</f>
        <v>0</v>
      </c>
    </row>
    <row r="1238" customFormat="false" ht="15" hidden="false" customHeight="false" outlineLevel="0" collapsed="false">
      <c r="A1238" s="17"/>
      <c r="B1238" s="13"/>
      <c r="C1238" s="20" t="str">
        <f aca="false">IF($B1238="","",IFERROR(INDEX(고객사!$B$5:$B$104,MATCH($B1238,고객사!$A$5:$A$104,0)),"코드 확인"))</f>
        <v/>
      </c>
      <c r="D1238" s="15"/>
      <c r="E1238" s="15"/>
      <c r="F1238" s="16"/>
      <c r="G1238" s="16"/>
      <c r="H1238" s="21" t="str">
        <f aca="false">IF(OR($B1238="",F1238=0),"",G1238/F1238)</f>
        <v/>
      </c>
      <c r="I1238" s="22" t="str">
        <f aca="false">IF($B1238="","",MAX(F1238-G1238,0))</f>
        <v/>
      </c>
      <c r="J1238" s="23" t="str">
        <f aca="false">IF($B1238="","",IFERROR(INDEX(고객사!$G$5:$G$104,MATCH($B1238,고객사!$A$5:$A$104,0)),""))</f>
        <v/>
      </c>
      <c r="K1238" s="16"/>
      <c r="L1238" s="22" t="str">
        <f aca="false">IF($B1238="","",K1238*IFERROR(INDEX(고객사!$L$5:$L$104,MATCH($B1238,고객사!$A$5:$A$104,0)),0))</f>
        <v/>
      </c>
      <c r="M1238" s="23" t="str">
        <f aca="false">IF($B1238="","",IF(AND(J1238="N",G1238&gt;0,K1238=0,IFERROR(INDEX(고객사!$H$5:$H$104,MATCH($B1238,고객사!$A$5:$A$104,0)),"")="자사 차량 운행"),"차량 미배정",""))</f>
        <v/>
      </c>
      <c r="N1238" s="22" t="str">
        <f aca="false">IF($B1238="","",IFERROR(INDEX(고객사!$J$5:$J$104,MATCH($B1238,고객사!$A$5:$A$104,0)),0))</f>
        <v/>
      </c>
      <c r="O1238" s="22" t="str">
        <f aca="false">IF($B1238="","",G1238*N1238)</f>
        <v/>
      </c>
      <c r="P1238" s="22" t="str">
        <f aca="false">IF($B1238="","",IFERROR(INDEX(고객사!$K$5:$K$104,MATCH($B1238,고객사!$A$5:$A$104,0)),0))</f>
        <v/>
      </c>
      <c r="Q1238" s="22" t="str">
        <f aca="false">IF($B1238="","",G1238*P1238)</f>
        <v/>
      </c>
      <c r="R1238" s="22" t="str">
        <f aca="false">IF($B1238="","",O1238-Q1238-L1238)</f>
        <v/>
      </c>
      <c r="S1238" s="21" t="str">
        <f aca="false">IF(OR($B1238="",N(O1238)=0),"",R1238/O1238)</f>
        <v/>
      </c>
      <c r="T1238" s="14"/>
      <c r="U1238" s="19" t="n">
        <f aca="false">IF(OR($B1238="",$A1238=""),0,IF(COUNTIFS($A$5:$A1238,$A1238,$B$5:$B1238,$B1238)=1,1,0))</f>
        <v>0</v>
      </c>
    </row>
    <row r="1239" customFormat="false" ht="15" hidden="false" customHeight="false" outlineLevel="0" collapsed="false">
      <c r="A1239" s="17"/>
      <c r="B1239" s="13"/>
      <c r="C1239" s="20" t="str">
        <f aca="false">IF($B1239="","",IFERROR(INDEX(고객사!$B$5:$B$104,MATCH($B1239,고객사!$A$5:$A$104,0)),"코드 확인"))</f>
        <v/>
      </c>
      <c r="D1239" s="15"/>
      <c r="E1239" s="15"/>
      <c r="F1239" s="16"/>
      <c r="G1239" s="16"/>
      <c r="H1239" s="21" t="str">
        <f aca="false">IF(OR($B1239="",F1239=0),"",G1239/F1239)</f>
        <v/>
      </c>
      <c r="I1239" s="22" t="str">
        <f aca="false">IF($B1239="","",MAX(F1239-G1239,0))</f>
        <v/>
      </c>
      <c r="J1239" s="23" t="str">
        <f aca="false">IF($B1239="","",IFERROR(INDEX(고객사!$G$5:$G$104,MATCH($B1239,고객사!$A$5:$A$104,0)),""))</f>
        <v/>
      </c>
      <c r="K1239" s="16"/>
      <c r="L1239" s="22" t="str">
        <f aca="false">IF($B1239="","",K1239*IFERROR(INDEX(고객사!$L$5:$L$104,MATCH($B1239,고객사!$A$5:$A$104,0)),0))</f>
        <v/>
      </c>
      <c r="M1239" s="23" t="str">
        <f aca="false">IF($B1239="","",IF(AND(J1239="N",G1239&gt;0,K1239=0,IFERROR(INDEX(고객사!$H$5:$H$104,MATCH($B1239,고객사!$A$5:$A$104,0)),"")="자사 차량 운행"),"차량 미배정",""))</f>
        <v/>
      </c>
      <c r="N1239" s="22" t="str">
        <f aca="false">IF($B1239="","",IFERROR(INDEX(고객사!$J$5:$J$104,MATCH($B1239,고객사!$A$5:$A$104,0)),0))</f>
        <v/>
      </c>
      <c r="O1239" s="22" t="str">
        <f aca="false">IF($B1239="","",G1239*N1239)</f>
        <v/>
      </c>
      <c r="P1239" s="22" t="str">
        <f aca="false">IF($B1239="","",IFERROR(INDEX(고객사!$K$5:$K$104,MATCH($B1239,고객사!$A$5:$A$104,0)),0))</f>
        <v/>
      </c>
      <c r="Q1239" s="22" t="str">
        <f aca="false">IF($B1239="","",G1239*P1239)</f>
        <v/>
      </c>
      <c r="R1239" s="22" t="str">
        <f aca="false">IF($B1239="","",O1239-Q1239-L1239)</f>
        <v/>
      </c>
      <c r="S1239" s="21" t="str">
        <f aca="false">IF(OR($B1239="",N(O1239)=0),"",R1239/O1239)</f>
        <v/>
      </c>
      <c r="T1239" s="14"/>
      <c r="U1239" s="19" t="n">
        <f aca="false">IF(OR($B1239="",$A1239=""),0,IF(COUNTIFS($A$5:$A1239,$A1239,$B$5:$B1239,$B1239)=1,1,0))</f>
        <v>0</v>
      </c>
    </row>
    <row r="1240" customFormat="false" ht="15" hidden="false" customHeight="false" outlineLevel="0" collapsed="false">
      <c r="A1240" s="17"/>
      <c r="B1240" s="13"/>
      <c r="C1240" s="20" t="str">
        <f aca="false">IF($B1240="","",IFERROR(INDEX(고객사!$B$5:$B$104,MATCH($B1240,고객사!$A$5:$A$104,0)),"코드 확인"))</f>
        <v/>
      </c>
      <c r="D1240" s="15"/>
      <c r="E1240" s="15"/>
      <c r="F1240" s="16"/>
      <c r="G1240" s="16"/>
      <c r="H1240" s="21" t="str">
        <f aca="false">IF(OR($B1240="",F1240=0),"",G1240/F1240)</f>
        <v/>
      </c>
      <c r="I1240" s="22" t="str">
        <f aca="false">IF($B1240="","",MAX(F1240-G1240,0))</f>
        <v/>
      </c>
      <c r="J1240" s="23" t="str">
        <f aca="false">IF($B1240="","",IFERROR(INDEX(고객사!$G$5:$G$104,MATCH($B1240,고객사!$A$5:$A$104,0)),""))</f>
        <v/>
      </c>
      <c r="K1240" s="16"/>
      <c r="L1240" s="22" t="str">
        <f aca="false">IF($B1240="","",K1240*IFERROR(INDEX(고객사!$L$5:$L$104,MATCH($B1240,고객사!$A$5:$A$104,0)),0))</f>
        <v/>
      </c>
      <c r="M1240" s="23" t="str">
        <f aca="false">IF($B1240="","",IF(AND(J1240="N",G1240&gt;0,K1240=0,IFERROR(INDEX(고객사!$H$5:$H$104,MATCH($B1240,고객사!$A$5:$A$104,0)),"")="자사 차량 운행"),"차량 미배정",""))</f>
        <v/>
      </c>
      <c r="N1240" s="22" t="str">
        <f aca="false">IF($B1240="","",IFERROR(INDEX(고객사!$J$5:$J$104,MATCH($B1240,고객사!$A$5:$A$104,0)),0))</f>
        <v/>
      </c>
      <c r="O1240" s="22" t="str">
        <f aca="false">IF($B1240="","",G1240*N1240)</f>
        <v/>
      </c>
      <c r="P1240" s="22" t="str">
        <f aca="false">IF($B1240="","",IFERROR(INDEX(고객사!$K$5:$K$104,MATCH($B1240,고객사!$A$5:$A$104,0)),0))</f>
        <v/>
      </c>
      <c r="Q1240" s="22" t="str">
        <f aca="false">IF($B1240="","",G1240*P1240)</f>
        <v/>
      </c>
      <c r="R1240" s="22" t="str">
        <f aca="false">IF($B1240="","",O1240-Q1240-L1240)</f>
        <v/>
      </c>
      <c r="S1240" s="21" t="str">
        <f aca="false">IF(OR($B1240="",N(O1240)=0),"",R1240/O1240)</f>
        <v/>
      </c>
      <c r="T1240" s="14"/>
      <c r="U1240" s="19" t="n">
        <f aca="false">IF(OR($B1240="",$A1240=""),0,IF(COUNTIFS($A$5:$A1240,$A1240,$B$5:$B1240,$B1240)=1,1,0))</f>
        <v>0</v>
      </c>
    </row>
    <row r="1241" customFormat="false" ht="15" hidden="false" customHeight="false" outlineLevel="0" collapsed="false">
      <c r="A1241" s="17"/>
      <c r="B1241" s="13"/>
      <c r="C1241" s="20" t="str">
        <f aca="false">IF($B1241="","",IFERROR(INDEX(고객사!$B$5:$B$104,MATCH($B1241,고객사!$A$5:$A$104,0)),"코드 확인"))</f>
        <v/>
      </c>
      <c r="D1241" s="15"/>
      <c r="E1241" s="15"/>
      <c r="F1241" s="16"/>
      <c r="G1241" s="16"/>
      <c r="H1241" s="21" t="str">
        <f aca="false">IF(OR($B1241="",F1241=0),"",G1241/F1241)</f>
        <v/>
      </c>
      <c r="I1241" s="22" t="str">
        <f aca="false">IF($B1241="","",MAX(F1241-G1241,0))</f>
        <v/>
      </c>
      <c r="J1241" s="23" t="str">
        <f aca="false">IF($B1241="","",IFERROR(INDEX(고객사!$G$5:$G$104,MATCH($B1241,고객사!$A$5:$A$104,0)),""))</f>
        <v/>
      </c>
      <c r="K1241" s="16"/>
      <c r="L1241" s="22" t="str">
        <f aca="false">IF($B1241="","",K1241*IFERROR(INDEX(고객사!$L$5:$L$104,MATCH($B1241,고객사!$A$5:$A$104,0)),0))</f>
        <v/>
      </c>
      <c r="M1241" s="23" t="str">
        <f aca="false">IF($B1241="","",IF(AND(J1241="N",G1241&gt;0,K1241=0,IFERROR(INDEX(고객사!$H$5:$H$104,MATCH($B1241,고객사!$A$5:$A$104,0)),"")="자사 차량 운행"),"차량 미배정",""))</f>
        <v/>
      </c>
      <c r="N1241" s="22" t="str">
        <f aca="false">IF($B1241="","",IFERROR(INDEX(고객사!$J$5:$J$104,MATCH($B1241,고객사!$A$5:$A$104,0)),0))</f>
        <v/>
      </c>
      <c r="O1241" s="22" t="str">
        <f aca="false">IF($B1241="","",G1241*N1241)</f>
        <v/>
      </c>
      <c r="P1241" s="22" t="str">
        <f aca="false">IF($B1241="","",IFERROR(INDEX(고객사!$K$5:$K$104,MATCH($B1241,고객사!$A$5:$A$104,0)),0))</f>
        <v/>
      </c>
      <c r="Q1241" s="22" t="str">
        <f aca="false">IF($B1241="","",G1241*P1241)</f>
        <v/>
      </c>
      <c r="R1241" s="22" t="str">
        <f aca="false">IF($B1241="","",O1241-Q1241-L1241)</f>
        <v/>
      </c>
      <c r="S1241" s="21" t="str">
        <f aca="false">IF(OR($B1241="",N(O1241)=0),"",R1241/O1241)</f>
        <v/>
      </c>
      <c r="T1241" s="14"/>
      <c r="U1241" s="19" t="n">
        <f aca="false">IF(OR($B1241="",$A1241=""),0,IF(COUNTIFS($A$5:$A1241,$A1241,$B$5:$B1241,$B1241)=1,1,0))</f>
        <v>0</v>
      </c>
    </row>
    <row r="1242" customFormat="false" ht="15" hidden="false" customHeight="false" outlineLevel="0" collapsed="false">
      <c r="A1242" s="17"/>
      <c r="B1242" s="13"/>
      <c r="C1242" s="20" t="str">
        <f aca="false">IF($B1242="","",IFERROR(INDEX(고객사!$B$5:$B$104,MATCH($B1242,고객사!$A$5:$A$104,0)),"코드 확인"))</f>
        <v/>
      </c>
      <c r="D1242" s="15"/>
      <c r="E1242" s="15"/>
      <c r="F1242" s="16"/>
      <c r="G1242" s="16"/>
      <c r="H1242" s="21" t="str">
        <f aca="false">IF(OR($B1242="",F1242=0),"",G1242/F1242)</f>
        <v/>
      </c>
      <c r="I1242" s="22" t="str">
        <f aca="false">IF($B1242="","",MAX(F1242-G1242,0))</f>
        <v/>
      </c>
      <c r="J1242" s="23" t="str">
        <f aca="false">IF($B1242="","",IFERROR(INDEX(고객사!$G$5:$G$104,MATCH($B1242,고객사!$A$5:$A$104,0)),""))</f>
        <v/>
      </c>
      <c r="K1242" s="16"/>
      <c r="L1242" s="22" t="str">
        <f aca="false">IF($B1242="","",K1242*IFERROR(INDEX(고객사!$L$5:$L$104,MATCH($B1242,고객사!$A$5:$A$104,0)),0))</f>
        <v/>
      </c>
      <c r="M1242" s="23" t="str">
        <f aca="false">IF($B1242="","",IF(AND(J1242="N",G1242&gt;0,K1242=0,IFERROR(INDEX(고객사!$H$5:$H$104,MATCH($B1242,고객사!$A$5:$A$104,0)),"")="자사 차량 운행"),"차량 미배정",""))</f>
        <v/>
      </c>
      <c r="N1242" s="22" t="str">
        <f aca="false">IF($B1242="","",IFERROR(INDEX(고객사!$J$5:$J$104,MATCH($B1242,고객사!$A$5:$A$104,0)),0))</f>
        <v/>
      </c>
      <c r="O1242" s="22" t="str">
        <f aca="false">IF($B1242="","",G1242*N1242)</f>
        <v/>
      </c>
      <c r="P1242" s="22" t="str">
        <f aca="false">IF($B1242="","",IFERROR(INDEX(고객사!$K$5:$K$104,MATCH($B1242,고객사!$A$5:$A$104,0)),0))</f>
        <v/>
      </c>
      <c r="Q1242" s="22" t="str">
        <f aca="false">IF($B1242="","",G1242*P1242)</f>
        <v/>
      </c>
      <c r="R1242" s="22" t="str">
        <f aca="false">IF($B1242="","",O1242-Q1242-L1242)</f>
        <v/>
      </c>
      <c r="S1242" s="21" t="str">
        <f aca="false">IF(OR($B1242="",N(O1242)=0),"",R1242/O1242)</f>
        <v/>
      </c>
      <c r="T1242" s="14"/>
      <c r="U1242" s="19" t="n">
        <f aca="false">IF(OR($B1242="",$A1242=""),0,IF(COUNTIFS($A$5:$A1242,$A1242,$B$5:$B1242,$B1242)=1,1,0))</f>
        <v>0</v>
      </c>
    </row>
    <row r="1243" customFormat="false" ht="15" hidden="false" customHeight="false" outlineLevel="0" collapsed="false">
      <c r="A1243" s="17"/>
      <c r="B1243" s="13"/>
      <c r="C1243" s="20" t="str">
        <f aca="false">IF($B1243="","",IFERROR(INDEX(고객사!$B$5:$B$104,MATCH($B1243,고객사!$A$5:$A$104,0)),"코드 확인"))</f>
        <v/>
      </c>
      <c r="D1243" s="15"/>
      <c r="E1243" s="15"/>
      <c r="F1243" s="16"/>
      <c r="G1243" s="16"/>
      <c r="H1243" s="21" t="str">
        <f aca="false">IF(OR($B1243="",F1243=0),"",G1243/F1243)</f>
        <v/>
      </c>
      <c r="I1243" s="22" t="str">
        <f aca="false">IF($B1243="","",MAX(F1243-G1243,0))</f>
        <v/>
      </c>
      <c r="J1243" s="23" t="str">
        <f aca="false">IF($B1243="","",IFERROR(INDEX(고객사!$G$5:$G$104,MATCH($B1243,고객사!$A$5:$A$104,0)),""))</f>
        <v/>
      </c>
      <c r="K1243" s="16"/>
      <c r="L1243" s="22" t="str">
        <f aca="false">IF($B1243="","",K1243*IFERROR(INDEX(고객사!$L$5:$L$104,MATCH($B1243,고객사!$A$5:$A$104,0)),0))</f>
        <v/>
      </c>
      <c r="M1243" s="23" t="str">
        <f aca="false">IF($B1243="","",IF(AND(J1243="N",G1243&gt;0,K1243=0,IFERROR(INDEX(고객사!$H$5:$H$104,MATCH($B1243,고객사!$A$5:$A$104,0)),"")="자사 차량 운행"),"차량 미배정",""))</f>
        <v/>
      </c>
      <c r="N1243" s="22" t="str">
        <f aca="false">IF($B1243="","",IFERROR(INDEX(고객사!$J$5:$J$104,MATCH($B1243,고객사!$A$5:$A$104,0)),0))</f>
        <v/>
      </c>
      <c r="O1243" s="22" t="str">
        <f aca="false">IF($B1243="","",G1243*N1243)</f>
        <v/>
      </c>
      <c r="P1243" s="22" t="str">
        <f aca="false">IF($B1243="","",IFERROR(INDEX(고객사!$K$5:$K$104,MATCH($B1243,고객사!$A$5:$A$104,0)),0))</f>
        <v/>
      </c>
      <c r="Q1243" s="22" t="str">
        <f aca="false">IF($B1243="","",G1243*P1243)</f>
        <v/>
      </c>
      <c r="R1243" s="22" t="str">
        <f aca="false">IF($B1243="","",O1243-Q1243-L1243)</f>
        <v/>
      </c>
      <c r="S1243" s="21" t="str">
        <f aca="false">IF(OR($B1243="",N(O1243)=0),"",R1243/O1243)</f>
        <v/>
      </c>
      <c r="T1243" s="14"/>
      <c r="U1243" s="19" t="n">
        <f aca="false">IF(OR($B1243="",$A1243=""),0,IF(COUNTIFS($A$5:$A1243,$A1243,$B$5:$B1243,$B1243)=1,1,0))</f>
        <v>0</v>
      </c>
    </row>
    <row r="1244" customFormat="false" ht="15" hidden="false" customHeight="false" outlineLevel="0" collapsed="false">
      <c r="A1244" s="17"/>
      <c r="B1244" s="13"/>
      <c r="C1244" s="20" t="str">
        <f aca="false">IF($B1244="","",IFERROR(INDEX(고객사!$B$5:$B$104,MATCH($B1244,고객사!$A$5:$A$104,0)),"코드 확인"))</f>
        <v/>
      </c>
      <c r="D1244" s="15"/>
      <c r="E1244" s="15"/>
      <c r="F1244" s="16"/>
      <c r="G1244" s="16"/>
      <c r="H1244" s="21" t="str">
        <f aca="false">IF(OR($B1244="",F1244=0),"",G1244/F1244)</f>
        <v/>
      </c>
      <c r="I1244" s="22" t="str">
        <f aca="false">IF($B1244="","",MAX(F1244-G1244,0))</f>
        <v/>
      </c>
      <c r="J1244" s="23" t="str">
        <f aca="false">IF($B1244="","",IFERROR(INDEX(고객사!$G$5:$G$104,MATCH($B1244,고객사!$A$5:$A$104,0)),""))</f>
        <v/>
      </c>
      <c r="K1244" s="16"/>
      <c r="L1244" s="22" t="str">
        <f aca="false">IF($B1244="","",K1244*IFERROR(INDEX(고객사!$L$5:$L$104,MATCH($B1244,고객사!$A$5:$A$104,0)),0))</f>
        <v/>
      </c>
      <c r="M1244" s="23" t="str">
        <f aca="false">IF($B1244="","",IF(AND(J1244="N",G1244&gt;0,K1244=0,IFERROR(INDEX(고객사!$H$5:$H$104,MATCH($B1244,고객사!$A$5:$A$104,0)),"")="자사 차량 운행"),"차량 미배정",""))</f>
        <v/>
      </c>
      <c r="N1244" s="22" t="str">
        <f aca="false">IF($B1244="","",IFERROR(INDEX(고객사!$J$5:$J$104,MATCH($B1244,고객사!$A$5:$A$104,0)),0))</f>
        <v/>
      </c>
      <c r="O1244" s="22" t="str">
        <f aca="false">IF($B1244="","",G1244*N1244)</f>
        <v/>
      </c>
      <c r="P1244" s="22" t="str">
        <f aca="false">IF($B1244="","",IFERROR(INDEX(고객사!$K$5:$K$104,MATCH($B1244,고객사!$A$5:$A$104,0)),0))</f>
        <v/>
      </c>
      <c r="Q1244" s="22" t="str">
        <f aca="false">IF($B1244="","",G1244*P1244)</f>
        <v/>
      </c>
      <c r="R1244" s="22" t="str">
        <f aca="false">IF($B1244="","",O1244-Q1244-L1244)</f>
        <v/>
      </c>
      <c r="S1244" s="21" t="str">
        <f aca="false">IF(OR($B1244="",N(O1244)=0),"",R1244/O1244)</f>
        <v/>
      </c>
      <c r="T1244" s="14"/>
      <c r="U1244" s="19" t="n">
        <f aca="false">IF(OR($B1244="",$A1244=""),0,IF(COUNTIFS($A$5:$A1244,$A1244,$B$5:$B1244,$B1244)=1,1,0))</f>
        <v>0</v>
      </c>
    </row>
    <row r="1245" customFormat="false" ht="15" hidden="false" customHeight="false" outlineLevel="0" collapsed="false">
      <c r="A1245" s="17"/>
      <c r="B1245" s="13"/>
      <c r="C1245" s="20" t="str">
        <f aca="false">IF($B1245="","",IFERROR(INDEX(고객사!$B$5:$B$104,MATCH($B1245,고객사!$A$5:$A$104,0)),"코드 확인"))</f>
        <v/>
      </c>
      <c r="D1245" s="15"/>
      <c r="E1245" s="15"/>
      <c r="F1245" s="16"/>
      <c r="G1245" s="16"/>
      <c r="H1245" s="21" t="str">
        <f aca="false">IF(OR($B1245="",F1245=0),"",G1245/F1245)</f>
        <v/>
      </c>
      <c r="I1245" s="22" t="str">
        <f aca="false">IF($B1245="","",MAX(F1245-G1245,0))</f>
        <v/>
      </c>
      <c r="J1245" s="23" t="str">
        <f aca="false">IF($B1245="","",IFERROR(INDEX(고객사!$G$5:$G$104,MATCH($B1245,고객사!$A$5:$A$104,0)),""))</f>
        <v/>
      </c>
      <c r="K1245" s="16"/>
      <c r="L1245" s="22" t="str">
        <f aca="false">IF($B1245="","",K1245*IFERROR(INDEX(고객사!$L$5:$L$104,MATCH($B1245,고객사!$A$5:$A$104,0)),0))</f>
        <v/>
      </c>
      <c r="M1245" s="23" t="str">
        <f aca="false">IF($B1245="","",IF(AND(J1245="N",G1245&gt;0,K1245=0,IFERROR(INDEX(고객사!$H$5:$H$104,MATCH($B1245,고객사!$A$5:$A$104,0)),"")="자사 차량 운행"),"차량 미배정",""))</f>
        <v/>
      </c>
      <c r="N1245" s="22" t="str">
        <f aca="false">IF($B1245="","",IFERROR(INDEX(고객사!$J$5:$J$104,MATCH($B1245,고객사!$A$5:$A$104,0)),0))</f>
        <v/>
      </c>
      <c r="O1245" s="22" t="str">
        <f aca="false">IF($B1245="","",G1245*N1245)</f>
        <v/>
      </c>
      <c r="P1245" s="22" t="str">
        <f aca="false">IF($B1245="","",IFERROR(INDEX(고객사!$K$5:$K$104,MATCH($B1245,고객사!$A$5:$A$104,0)),0))</f>
        <v/>
      </c>
      <c r="Q1245" s="22" t="str">
        <f aca="false">IF($B1245="","",G1245*P1245)</f>
        <v/>
      </c>
      <c r="R1245" s="22" t="str">
        <f aca="false">IF($B1245="","",O1245-Q1245-L1245)</f>
        <v/>
      </c>
      <c r="S1245" s="21" t="str">
        <f aca="false">IF(OR($B1245="",N(O1245)=0),"",R1245/O1245)</f>
        <v/>
      </c>
      <c r="T1245" s="14"/>
      <c r="U1245" s="19" t="n">
        <f aca="false">IF(OR($B1245="",$A1245=""),0,IF(COUNTIFS($A$5:$A1245,$A1245,$B$5:$B1245,$B1245)=1,1,0))</f>
        <v>0</v>
      </c>
    </row>
    <row r="1246" customFormat="false" ht="15" hidden="false" customHeight="false" outlineLevel="0" collapsed="false">
      <c r="A1246" s="17"/>
      <c r="B1246" s="13"/>
      <c r="C1246" s="20" t="str">
        <f aca="false">IF($B1246="","",IFERROR(INDEX(고객사!$B$5:$B$104,MATCH($B1246,고객사!$A$5:$A$104,0)),"코드 확인"))</f>
        <v/>
      </c>
      <c r="D1246" s="15"/>
      <c r="E1246" s="15"/>
      <c r="F1246" s="16"/>
      <c r="G1246" s="16"/>
      <c r="H1246" s="21" t="str">
        <f aca="false">IF(OR($B1246="",F1246=0),"",G1246/F1246)</f>
        <v/>
      </c>
      <c r="I1246" s="22" t="str">
        <f aca="false">IF($B1246="","",MAX(F1246-G1246,0))</f>
        <v/>
      </c>
      <c r="J1246" s="23" t="str">
        <f aca="false">IF($B1246="","",IFERROR(INDEX(고객사!$G$5:$G$104,MATCH($B1246,고객사!$A$5:$A$104,0)),""))</f>
        <v/>
      </c>
      <c r="K1246" s="16"/>
      <c r="L1246" s="22" t="str">
        <f aca="false">IF($B1246="","",K1246*IFERROR(INDEX(고객사!$L$5:$L$104,MATCH($B1246,고객사!$A$5:$A$104,0)),0))</f>
        <v/>
      </c>
      <c r="M1246" s="23" t="str">
        <f aca="false">IF($B1246="","",IF(AND(J1246="N",G1246&gt;0,K1246=0,IFERROR(INDEX(고객사!$H$5:$H$104,MATCH($B1246,고객사!$A$5:$A$104,0)),"")="자사 차량 운행"),"차량 미배정",""))</f>
        <v/>
      </c>
      <c r="N1246" s="22" t="str">
        <f aca="false">IF($B1246="","",IFERROR(INDEX(고객사!$J$5:$J$104,MATCH($B1246,고객사!$A$5:$A$104,0)),0))</f>
        <v/>
      </c>
      <c r="O1246" s="22" t="str">
        <f aca="false">IF($B1246="","",G1246*N1246)</f>
        <v/>
      </c>
      <c r="P1246" s="22" t="str">
        <f aca="false">IF($B1246="","",IFERROR(INDEX(고객사!$K$5:$K$104,MATCH($B1246,고객사!$A$5:$A$104,0)),0))</f>
        <v/>
      </c>
      <c r="Q1246" s="22" t="str">
        <f aca="false">IF($B1246="","",G1246*P1246)</f>
        <v/>
      </c>
      <c r="R1246" s="22" t="str">
        <f aca="false">IF($B1246="","",O1246-Q1246-L1246)</f>
        <v/>
      </c>
      <c r="S1246" s="21" t="str">
        <f aca="false">IF(OR($B1246="",N(O1246)=0),"",R1246/O1246)</f>
        <v/>
      </c>
      <c r="T1246" s="14"/>
      <c r="U1246" s="19" t="n">
        <f aca="false">IF(OR($B1246="",$A1246=""),0,IF(COUNTIFS($A$5:$A1246,$A1246,$B$5:$B1246,$B1246)=1,1,0))</f>
        <v>0</v>
      </c>
    </row>
    <row r="1247" customFormat="false" ht="15" hidden="false" customHeight="false" outlineLevel="0" collapsed="false">
      <c r="A1247" s="17"/>
      <c r="B1247" s="13"/>
      <c r="C1247" s="20" t="str">
        <f aca="false">IF($B1247="","",IFERROR(INDEX(고객사!$B$5:$B$104,MATCH($B1247,고객사!$A$5:$A$104,0)),"코드 확인"))</f>
        <v/>
      </c>
      <c r="D1247" s="15"/>
      <c r="E1247" s="15"/>
      <c r="F1247" s="16"/>
      <c r="G1247" s="16"/>
      <c r="H1247" s="21" t="str">
        <f aca="false">IF(OR($B1247="",F1247=0),"",G1247/F1247)</f>
        <v/>
      </c>
      <c r="I1247" s="22" t="str">
        <f aca="false">IF($B1247="","",MAX(F1247-G1247,0))</f>
        <v/>
      </c>
      <c r="J1247" s="23" t="str">
        <f aca="false">IF($B1247="","",IFERROR(INDEX(고객사!$G$5:$G$104,MATCH($B1247,고객사!$A$5:$A$104,0)),""))</f>
        <v/>
      </c>
      <c r="K1247" s="16"/>
      <c r="L1247" s="22" t="str">
        <f aca="false">IF($B1247="","",K1247*IFERROR(INDEX(고객사!$L$5:$L$104,MATCH($B1247,고객사!$A$5:$A$104,0)),0))</f>
        <v/>
      </c>
      <c r="M1247" s="23" t="str">
        <f aca="false">IF($B1247="","",IF(AND(J1247="N",G1247&gt;0,K1247=0,IFERROR(INDEX(고객사!$H$5:$H$104,MATCH($B1247,고객사!$A$5:$A$104,0)),"")="자사 차량 운행"),"차량 미배정",""))</f>
        <v/>
      </c>
      <c r="N1247" s="22" t="str">
        <f aca="false">IF($B1247="","",IFERROR(INDEX(고객사!$J$5:$J$104,MATCH($B1247,고객사!$A$5:$A$104,0)),0))</f>
        <v/>
      </c>
      <c r="O1247" s="22" t="str">
        <f aca="false">IF($B1247="","",G1247*N1247)</f>
        <v/>
      </c>
      <c r="P1247" s="22" t="str">
        <f aca="false">IF($B1247="","",IFERROR(INDEX(고객사!$K$5:$K$104,MATCH($B1247,고객사!$A$5:$A$104,0)),0))</f>
        <v/>
      </c>
      <c r="Q1247" s="22" t="str">
        <f aca="false">IF($B1247="","",G1247*P1247)</f>
        <v/>
      </c>
      <c r="R1247" s="22" t="str">
        <f aca="false">IF($B1247="","",O1247-Q1247-L1247)</f>
        <v/>
      </c>
      <c r="S1247" s="21" t="str">
        <f aca="false">IF(OR($B1247="",N(O1247)=0),"",R1247/O1247)</f>
        <v/>
      </c>
      <c r="T1247" s="14"/>
      <c r="U1247" s="19" t="n">
        <f aca="false">IF(OR($B1247="",$A1247=""),0,IF(COUNTIFS($A$5:$A1247,$A1247,$B$5:$B1247,$B1247)=1,1,0))</f>
        <v>0</v>
      </c>
    </row>
    <row r="1248" customFormat="false" ht="15" hidden="false" customHeight="false" outlineLevel="0" collapsed="false">
      <c r="A1248" s="17"/>
      <c r="B1248" s="13"/>
      <c r="C1248" s="20" t="str">
        <f aca="false">IF($B1248="","",IFERROR(INDEX(고객사!$B$5:$B$104,MATCH($B1248,고객사!$A$5:$A$104,0)),"코드 확인"))</f>
        <v/>
      </c>
      <c r="D1248" s="15"/>
      <c r="E1248" s="15"/>
      <c r="F1248" s="16"/>
      <c r="G1248" s="16"/>
      <c r="H1248" s="21" t="str">
        <f aca="false">IF(OR($B1248="",F1248=0),"",G1248/F1248)</f>
        <v/>
      </c>
      <c r="I1248" s="22" t="str">
        <f aca="false">IF($B1248="","",MAX(F1248-G1248,0))</f>
        <v/>
      </c>
      <c r="J1248" s="23" t="str">
        <f aca="false">IF($B1248="","",IFERROR(INDEX(고객사!$G$5:$G$104,MATCH($B1248,고객사!$A$5:$A$104,0)),""))</f>
        <v/>
      </c>
      <c r="K1248" s="16"/>
      <c r="L1248" s="22" t="str">
        <f aca="false">IF($B1248="","",K1248*IFERROR(INDEX(고객사!$L$5:$L$104,MATCH($B1248,고객사!$A$5:$A$104,0)),0))</f>
        <v/>
      </c>
      <c r="M1248" s="23" t="str">
        <f aca="false">IF($B1248="","",IF(AND(J1248="N",G1248&gt;0,K1248=0,IFERROR(INDEX(고객사!$H$5:$H$104,MATCH($B1248,고객사!$A$5:$A$104,0)),"")="자사 차량 운행"),"차량 미배정",""))</f>
        <v/>
      </c>
      <c r="N1248" s="22" t="str">
        <f aca="false">IF($B1248="","",IFERROR(INDEX(고객사!$J$5:$J$104,MATCH($B1248,고객사!$A$5:$A$104,0)),0))</f>
        <v/>
      </c>
      <c r="O1248" s="22" t="str">
        <f aca="false">IF($B1248="","",G1248*N1248)</f>
        <v/>
      </c>
      <c r="P1248" s="22" t="str">
        <f aca="false">IF($B1248="","",IFERROR(INDEX(고객사!$K$5:$K$104,MATCH($B1248,고객사!$A$5:$A$104,0)),0))</f>
        <v/>
      </c>
      <c r="Q1248" s="22" t="str">
        <f aca="false">IF($B1248="","",G1248*P1248)</f>
        <v/>
      </c>
      <c r="R1248" s="22" t="str">
        <f aca="false">IF($B1248="","",O1248-Q1248-L1248)</f>
        <v/>
      </c>
      <c r="S1248" s="21" t="str">
        <f aca="false">IF(OR($B1248="",N(O1248)=0),"",R1248/O1248)</f>
        <v/>
      </c>
      <c r="T1248" s="14"/>
      <c r="U1248" s="19" t="n">
        <f aca="false">IF(OR($B1248="",$A1248=""),0,IF(COUNTIFS($A$5:$A1248,$A1248,$B$5:$B1248,$B1248)=1,1,0))</f>
        <v>0</v>
      </c>
    </row>
    <row r="1249" customFormat="false" ht="15" hidden="false" customHeight="false" outlineLevel="0" collapsed="false">
      <c r="A1249" s="17"/>
      <c r="B1249" s="13"/>
      <c r="C1249" s="20" t="str">
        <f aca="false">IF($B1249="","",IFERROR(INDEX(고객사!$B$5:$B$104,MATCH($B1249,고객사!$A$5:$A$104,0)),"코드 확인"))</f>
        <v/>
      </c>
      <c r="D1249" s="15"/>
      <c r="E1249" s="15"/>
      <c r="F1249" s="16"/>
      <c r="G1249" s="16"/>
      <c r="H1249" s="21" t="str">
        <f aca="false">IF(OR($B1249="",F1249=0),"",G1249/F1249)</f>
        <v/>
      </c>
      <c r="I1249" s="22" t="str">
        <f aca="false">IF($B1249="","",MAX(F1249-G1249,0))</f>
        <v/>
      </c>
      <c r="J1249" s="23" t="str">
        <f aca="false">IF($B1249="","",IFERROR(INDEX(고객사!$G$5:$G$104,MATCH($B1249,고객사!$A$5:$A$104,0)),""))</f>
        <v/>
      </c>
      <c r="K1249" s="16"/>
      <c r="L1249" s="22" t="str">
        <f aca="false">IF($B1249="","",K1249*IFERROR(INDEX(고객사!$L$5:$L$104,MATCH($B1249,고객사!$A$5:$A$104,0)),0))</f>
        <v/>
      </c>
      <c r="M1249" s="23" t="str">
        <f aca="false">IF($B1249="","",IF(AND(J1249="N",G1249&gt;0,K1249=0,IFERROR(INDEX(고객사!$H$5:$H$104,MATCH($B1249,고객사!$A$5:$A$104,0)),"")="자사 차량 운행"),"차량 미배정",""))</f>
        <v/>
      </c>
      <c r="N1249" s="22" t="str">
        <f aca="false">IF($B1249="","",IFERROR(INDEX(고객사!$J$5:$J$104,MATCH($B1249,고객사!$A$5:$A$104,0)),0))</f>
        <v/>
      </c>
      <c r="O1249" s="22" t="str">
        <f aca="false">IF($B1249="","",G1249*N1249)</f>
        <v/>
      </c>
      <c r="P1249" s="22" t="str">
        <f aca="false">IF($B1249="","",IFERROR(INDEX(고객사!$K$5:$K$104,MATCH($B1249,고객사!$A$5:$A$104,0)),0))</f>
        <v/>
      </c>
      <c r="Q1249" s="22" t="str">
        <f aca="false">IF($B1249="","",G1249*P1249)</f>
        <v/>
      </c>
      <c r="R1249" s="22" t="str">
        <f aca="false">IF($B1249="","",O1249-Q1249-L1249)</f>
        <v/>
      </c>
      <c r="S1249" s="21" t="str">
        <f aca="false">IF(OR($B1249="",N(O1249)=0),"",R1249/O1249)</f>
        <v/>
      </c>
      <c r="T1249" s="14"/>
      <c r="U1249" s="19" t="n">
        <f aca="false">IF(OR($B1249="",$A1249=""),0,IF(COUNTIFS($A$5:$A1249,$A1249,$B$5:$B1249,$B1249)=1,1,0))</f>
        <v>0</v>
      </c>
    </row>
    <row r="1250" customFormat="false" ht="15" hidden="false" customHeight="false" outlineLevel="0" collapsed="false">
      <c r="A1250" s="17"/>
      <c r="B1250" s="13"/>
      <c r="C1250" s="20" t="str">
        <f aca="false">IF($B1250="","",IFERROR(INDEX(고객사!$B$5:$B$104,MATCH($B1250,고객사!$A$5:$A$104,0)),"코드 확인"))</f>
        <v/>
      </c>
      <c r="D1250" s="15"/>
      <c r="E1250" s="15"/>
      <c r="F1250" s="16"/>
      <c r="G1250" s="16"/>
      <c r="H1250" s="21" t="str">
        <f aca="false">IF(OR($B1250="",F1250=0),"",G1250/F1250)</f>
        <v/>
      </c>
      <c r="I1250" s="22" t="str">
        <f aca="false">IF($B1250="","",MAX(F1250-G1250,0))</f>
        <v/>
      </c>
      <c r="J1250" s="23" t="str">
        <f aca="false">IF($B1250="","",IFERROR(INDEX(고객사!$G$5:$G$104,MATCH($B1250,고객사!$A$5:$A$104,0)),""))</f>
        <v/>
      </c>
      <c r="K1250" s="16"/>
      <c r="L1250" s="22" t="str">
        <f aca="false">IF($B1250="","",K1250*IFERROR(INDEX(고객사!$L$5:$L$104,MATCH($B1250,고객사!$A$5:$A$104,0)),0))</f>
        <v/>
      </c>
      <c r="M1250" s="23" t="str">
        <f aca="false">IF($B1250="","",IF(AND(J1250="N",G1250&gt;0,K1250=0,IFERROR(INDEX(고객사!$H$5:$H$104,MATCH($B1250,고객사!$A$5:$A$104,0)),"")="자사 차량 운행"),"차량 미배정",""))</f>
        <v/>
      </c>
      <c r="N1250" s="22" t="str">
        <f aca="false">IF($B1250="","",IFERROR(INDEX(고객사!$J$5:$J$104,MATCH($B1250,고객사!$A$5:$A$104,0)),0))</f>
        <v/>
      </c>
      <c r="O1250" s="22" t="str">
        <f aca="false">IF($B1250="","",G1250*N1250)</f>
        <v/>
      </c>
      <c r="P1250" s="22" t="str">
        <f aca="false">IF($B1250="","",IFERROR(INDEX(고객사!$K$5:$K$104,MATCH($B1250,고객사!$A$5:$A$104,0)),0))</f>
        <v/>
      </c>
      <c r="Q1250" s="22" t="str">
        <f aca="false">IF($B1250="","",G1250*P1250)</f>
        <v/>
      </c>
      <c r="R1250" s="22" t="str">
        <f aca="false">IF($B1250="","",O1250-Q1250-L1250)</f>
        <v/>
      </c>
      <c r="S1250" s="21" t="str">
        <f aca="false">IF(OR($B1250="",N(O1250)=0),"",R1250/O1250)</f>
        <v/>
      </c>
      <c r="T1250" s="14"/>
      <c r="U1250" s="19" t="n">
        <f aca="false">IF(OR($B1250="",$A1250=""),0,IF(COUNTIFS($A$5:$A1250,$A1250,$B$5:$B1250,$B1250)=1,1,0))</f>
        <v>0</v>
      </c>
    </row>
    <row r="1251" customFormat="false" ht="15" hidden="false" customHeight="false" outlineLevel="0" collapsed="false">
      <c r="A1251" s="17"/>
      <c r="B1251" s="13"/>
      <c r="C1251" s="20" t="str">
        <f aca="false">IF($B1251="","",IFERROR(INDEX(고객사!$B$5:$B$104,MATCH($B1251,고객사!$A$5:$A$104,0)),"코드 확인"))</f>
        <v/>
      </c>
      <c r="D1251" s="15"/>
      <c r="E1251" s="15"/>
      <c r="F1251" s="16"/>
      <c r="G1251" s="16"/>
      <c r="H1251" s="21" t="str">
        <f aca="false">IF(OR($B1251="",F1251=0),"",G1251/F1251)</f>
        <v/>
      </c>
      <c r="I1251" s="22" t="str">
        <f aca="false">IF($B1251="","",MAX(F1251-G1251,0))</f>
        <v/>
      </c>
      <c r="J1251" s="23" t="str">
        <f aca="false">IF($B1251="","",IFERROR(INDEX(고객사!$G$5:$G$104,MATCH($B1251,고객사!$A$5:$A$104,0)),""))</f>
        <v/>
      </c>
      <c r="K1251" s="16"/>
      <c r="L1251" s="22" t="str">
        <f aca="false">IF($B1251="","",K1251*IFERROR(INDEX(고객사!$L$5:$L$104,MATCH($B1251,고객사!$A$5:$A$104,0)),0))</f>
        <v/>
      </c>
      <c r="M1251" s="23" t="str">
        <f aca="false">IF($B1251="","",IF(AND(J1251="N",G1251&gt;0,K1251=0,IFERROR(INDEX(고객사!$H$5:$H$104,MATCH($B1251,고객사!$A$5:$A$104,0)),"")="자사 차량 운행"),"차량 미배정",""))</f>
        <v/>
      </c>
      <c r="N1251" s="22" t="str">
        <f aca="false">IF($B1251="","",IFERROR(INDEX(고객사!$J$5:$J$104,MATCH($B1251,고객사!$A$5:$A$104,0)),0))</f>
        <v/>
      </c>
      <c r="O1251" s="22" t="str">
        <f aca="false">IF($B1251="","",G1251*N1251)</f>
        <v/>
      </c>
      <c r="P1251" s="22" t="str">
        <f aca="false">IF($B1251="","",IFERROR(INDEX(고객사!$K$5:$K$104,MATCH($B1251,고객사!$A$5:$A$104,0)),0))</f>
        <v/>
      </c>
      <c r="Q1251" s="22" t="str">
        <f aca="false">IF($B1251="","",G1251*P1251)</f>
        <v/>
      </c>
      <c r="R1251" s="22" t="str">
        <f aca="false">IF($B1251="","",O1251-Q1251-L1251)</f>
        <v/>
      </c>
      <c r="S1251" s="21" t="str">
        <f aca="false">IF(OR($B1251="",N(O1251)=0),"",R1251/O1251)</f>
        <v/>
      </c>
      <c r="T1251" s="14"/>
      <c r="U1251" s="19" t="n">
        <f aca="false">IF(OR($B1251="",$A1251=""),0,IF(COUNTIFS($A$5:$A1251,$A1251,$B$5:$B1251,$B1251)=1,1,0))</f>
        <v>0</v>
      </c>
    </row>
    <row r="1252" customFormat="false" ht="15" hidden="false" customHeight="false" outlineLevel="0" collapsed="false">
      <c r="A1252" s="17"/>
      <c r="B1252" s="13"/>
      <c r="C1252" s="20" t="str">
        <f aca="false">IF($B1252="","",IFERROR(INDEX(고객사!$B$5:$B$104,MATCH($B1252,고객사!$A$5:$A$104,0)),"코드 확인"))</f>
        <v/>
      </c>
      <c r="D1252" s="15"/>
      <c r="E1252" s="15"/>
      <c r="F1252" s="16"/>
      <c r="G1252" s="16"/>
      <c r="H1252" s="21" t="str">
        <f aca="false">IF(OR($B1252="",F1252=0),"",G1252/F1252)</f>
        <v/>
      </c>
      <c r="I1252" s="22" t="str">
        <f aca="false">IF($B1252="","",MAX(F1252-G1252,0))</f>
        <v/>
      </c>
      <c r="J1252" s="23" t="str">
        <f aca="false">IF($B1252="","",IFERROR(INDEX(고객사!$G$5:$G$104,MATCH($B1252,고객사!$A$5:$A$104,0)),""))</f>
        <v/>
      </c>
      <c r="K1252" s="16"/>
      <c r="L1252" s="22" t="str">
        <f aca="false">IF($B1252="","",K1252*IFERROR(INDEX(고객사!$L$5:$L$104,MATCH($B1252,고객사!$A$5:$A$104,0)),0))</f>
        <v/>
      </c>
      <c r="M1252" s="23" t="str">
        <f aca="false">IF($B1252="","",IF(AND(J1252="N",G1252&gt;0,K1252=0,IFERROR(INDEX(고객사!$H$5:$H$104,MATCH($B1252,고객사!$A$5:$A$104,0)),"")="자사 차량 운행"),"차량 미배정",""))</f>
        <v/>
      </c>
      <c r="N1252" s="22" t="str">
        <f aca="false">IF($B1252="","",IFERROR(INDEX(고객사!$J$5:$J$104,MATCH($B1252,고객사!$A$5:$A$104,0)),0))</f>
        <v/>
      </c>
      <c r="O1252" s="22" t="str">
        <f aca="false">IF($B1252="","",G1252*N1252)</f>
        <v/>
      </c>
      <c r="P1252" s="22" t="str">
        <f aca="false">IF($B1252="","",IFERROR(INDEX(고객사!$K$5:$K$104,MATCH($B1252,고객사!$A$5:$A$104,0)),0))</f>
        <v/>
      </c>
      <c r="Q1252" s="22" t="str">
        <f aca="false">IF($B1252="","",G1252*P1252)</f>
        <v/>
      </c>
      <c r="R1252" s="22" t="str">
        <f aca="false">IF($B1252="","",O1252-Q1252-L1252)</f>
        <v/>
      </c>
      <c r="S1252" s="21" t="str">
        <f aca="false">IF(OR($B1252="",N(O1252)=0),"",R1252/O1252)</f>
        <v/>
      </c>
      <c r="T1252" s="14"/>
      <c r="U1252" s="19" t="n">
        <f aca="false">IF(OR($B1252="",$A1252=""),0,IF(COUNTIFS($A$5:$A1252,$A1252,$B$5:$B1252,$B1252)=1,1,0))</f>
        <v>0</v>
      </c>
    </row>
    <row r="1253" customFormat="false" ht="15" hidden="false" customHeight="false" outlineLevel="0" collapsed="false">
      <c r="A1253" s="17"/>
      <c r="B1253" s="13"/>
      <c r="C1253" s="20" t="str">
        <f aca="false">IF($B1253="","",IFERROR(INDEX(고객사!$B$5:$B$104,MATCH($B1253,고객사!$A$5:$A$104,0)),"코드 확인"))</f>
        <v/>
      </c>
      <c r="D1253" s="15"/>
      <c r="E1253" s="15"/>
      <c r="F1253" s="16"/>
      <c r="G1253" s="16"/>
      <c r="H1253" s="21" t="str">
        <f aca="false">IF(OR($B1253="",F1253=0),"",G1253/F1253)</f>
        <v/>
      </c>
      <c r="I1253" s="22" t="str">
        <f aca="false">IF($B1253="","",MAX(F1253-G1253,0))</f>
        <v/>
      </c>
      <c r="J1253" s="23" t="str">
        <f aca="false">IF($B1253="","",IFERROR(INDEX(고객사!$G$5:$G$104,MATCH($B1253,고객사!$A$5:$A$104,0)),""))</f>
        <v/>
      </c>
      <c r="K1253" s="16"/>
      <c r="L1253" s="22" t="str">
        <f aca="false">IF($B1253="","",K1253*IFERROR(INDEX(고객사!$L$5:$L$104,MATCH($B1253,고객사!$A$5:$A$104,0)),0))</f>
        <v/>
      </c>
      <c r="M1253" s="23" t="str">
        <f aca="false">IF($B1253="","",IF(AND(J1253="N",G1253&gt;0,K1253=0,IFERROR(INDEX(고객사!$H$5:$H$104,MATCH($B1253,고객사!$A$5:$A$104,0)),"")="자사 차량 운행"),"차량 미배정",""))</f>
        <v/>
      </c>
      <c r="N1253" s="22" t="str">
        <f aca="false">IF($B1253="","",IFERROR(INDEX(고객사!$J$5:$J$104,MATCH($B1253,고객사!$A$5:$A$104,0)),0))</f>
        <v/>
      </c>
      <c r="O1253" s="22" t="str">
        <f aca="false">IF($B1253="","",G1253*N1253)</f>
        <v/>
      </c>
      <c r="P1253" s="22" t="str">
        <f aca="false">IF($B1253="","",IFERROR(INDEX(고객사!$K$5:$K$104,MATCH($B1253,고객사!$A$5:$A$104,0)),0))</f>
        <v/>
      </c>
      <c r="Q1253" s="22" t="str">
        <f aca="false">IF($B1253="","",G1253*P1253)</f>
        <v/>
      </c>
      <c r="R1253" s="22" t="str">
        <f aca="false">IF($B1253="","",O1253-Q1253-L1253)</f>
        <v/>
      </c>
      <c r="S1253" s="21" t="str">
        <f aca="false">IF(OR($B1253="",N(O1253)=0),"",R1253/O1253)</f>
        <v/>
      </c>
      <c r="T1253" s="14"/>
      <c r="U1253" s="19" t="n">
        <f aca="false">IF(OR($B1253="",$A1253=""),0,IF(COUNTIFS($A$5:$A1253,$A1253,$B$5:$B1253,$B1253)=1,1,0))</f>
        <v>0</v>
      </c>
    </row>
    <row r="1254" customFormat="false" ht="15" hidden="false" customHeight="false" outlineLevel="0" collapsed="false">
      <c r="A1254" s="17"/>
      <c r="B1254" s="13"/>
      <c r="C1254" s="20" t="str">
        <f aca="false">IF($B1254="","",IFERROR(INDEX(고객사!$B$5:$B$104,MATCH($B1254,고객사!$A$5:$A$104,0)),"코드 확인"))</f>
        <v/>
      </c>
      <c r="D1254" s="15"/>
      <c r="E1254" s="15"/>
      <c r="F1254" s="16"/>
      <c r="G1254" s="16"/>
      <c r="H1254" s="21" t="str">
        <f aca="false">IF(OR($B1254="",F1254=0),"",G1254/F1254)</f>
        <v/>
      </c>
      <c r="I1254" s="22" t="str">
        <f aca="false">IF($B1254="","",MAX(F1254-G1254,0))</f>
        <v/>
      </c>
      <c r="J1254" s="23" t="str">
        <f aca="false">IF($B1254="","",IFERROR(INDEX(고객사!$G$5:$G$104,MATCH($B1254,고객사!$A$5:$A$104,0)),""))</f>
        <v/>
      </c>
      <c r="K1254" s="16"/>
      <c r="L1254" s="22" t="str">
        <f aca="false">IF($B1254="","",K1254*IFERROR(INDEX(고객사!$L$5:$L$104,MATCH($B1254,고객사!$A$5:$A$104,0)),0))</f>
        <v/>
      </c>
      <c r="M1254" s="23" t="str">
        <f aca="false">IF($B1254="","",IF(AND(J1254="N",G1254&gt;0,K1254=0,IFERROR(INDEX(고객사!$H$5:$H$104,MATCH($B1254,고객사!$A$5:$A$104,0)),"")="자사 차량 운행"),"차량 미배정",""))</f>
        <v/>
      </c>
      <c r="N1254" s="22" t="str">
        <f aca="false">IF($B1254="","",IFERROR(INDEX(고객사!$J$5:$J$104,MATCH($B1254,고객사!$A$5:$A$104,0)),0))</f>
        <v/>
      </c>
      <c r="O1254" s="22" t="str">
        <f aca="false">IF($B1254="","",G1254*N1254)</f>
        <v/>
      </c>
      <c r="P1254" s="22" t="str">
        <f aca="false">IF($B1254="","",IFERROR(INDEX(고객사!$K$5:$K$104,MATCH($B1254,고객사!$A$5:$A$104,0)),0))</f>
        <v/>
      </c>
      <c r="Q1254" s="22" t="str">
        <f aca="false">IF($B1254="","",G1254*P1254)</f>
        <v/>
      </c>
      <c r="R1254" s="22" t="str">
        <f aca="false">IF($B1254="","",O1254-Q1254-L1254)</f>
        <v/>
      </c>
      <c r="S1254" s="21" t="str">
        <f aca="false">IF(OR($B1254="",N(O1254)=0),"",R1254/O1254)</f>
        <v/>
      </c>
      <c r="T1254" s="14"/>
      <c r="U1254" s="19" t="n">
        <f aca="false">IF(OR($B1254="",$A1254=""),0,IF(COUNTIFS($A$5:$A1254,$A1254,$B$5:$B1254,$B1254)=1,1,0))</f>
        <v>0</v>
      </c>
    </row>
    <row r="1255" customFormat="false" ht="15" hidden="false" customHeight="false" outlineLevel="0" collapsed="false">
      <c r="A1255" s="17"/>
      <c r="B1255" s="13"/>
      <c r="C1255" s="20" t="str">
        <f aca="false">IF($B1255="","",IFERROR(INDEX(고객사!$B$5:$B$104,MATCH($B1255,고객사!$A$5:$A$104,0)),"코드 확인"))</f>
        <v/>
      </c>
      <c r="D1255" s="15"/>
      <c r="E1255" s="15"/>
      <c r="F1255" s="16"/>
      <c r="G1255" s="16"/>
      <c r="H1255" s="21" t="str">
        <f aca="false">IF(OR($B1255="",F1255=0),"",G1255/F1255)</f>
        <v/>
      </c>
      <c r="I1255" s="22" t="str">
        <f aca="false">IF($B1255="","",MAX(F1255-G1255,0))</f>
        <v/>
      </c>
      <c r="J1255" s="23" t="str">
        <f aca="false">IF($B1255="","",IFERROR(INDEX(고객사!$G$5:$G$104,MATCH($B1255,고객사!$A$5:$A$104,0)),""))</f>
        <v/>
      </c>
      <c r="K1255" s="16"/>
      <c r="L1255" s="22" t="str">
        <f aca="false">IF($B1255="","",K1255*IFERROR(INDEX(고객사!$L$5:$L$104,MATCH($B1255,고객사!$A$5:$A$104,0)),0))</f>
        <v/>
      </c>
      <c r="M1255" s="23" t="str">
        <f aca="false">IF($B1255="","",IF(AND(J1255="N",G1255&gt;0,K1255=0,IFERROR(INDEX(고객사!$H$5:$H$104,MATCH($B1255,고객사!$A$5:$A$104,0)),"")="자사 차량 운행"),"차량 미배정",""))</f>
        <v/>
      </c>
      <c r="N1255" s="22" t="str">
        <f aca="false">IF($B1255="","",IFERROR(INDEX(고객사!$J$5:$J$104,MATCH($B1255,고객사!$A$5:$A$104,0)),0))</f>
        <v/>
      </c>
      <c r="O1255" s="22" t="str">
        <f aca="false">IF($B1255="","",G1255*N1255)</f>
        <v/>
      </c>
      <c r="P1255" s="22" t="str">
        <f aca="false">IF($B1255="","",IFERROR(INDEX(고객사!$K$5:$K$104,MATCH($B1255,고객사!$A$5:$A$104,0)),0))</f>
        <v/>
      </c>
      <c r="Q1255" s="22" t="str">
        <f aca="false">IF($B1255="","",G1255*P1255)</f>
        <v/>
      </c>
      <c r="R1255" s="22" t="str">
        <f aca="false">IF($B1255="","",O1255-Q1255-L1255)</f>
        <v/>
      </c>
      <c r="S1255" s="21" t="str">
        <f aca="false">IF(OR($B1255="",N(O1255)=0),"",R1255/O1255)</f>
        <v/>
      </c>
      <c r="T1255" s="14"/>
      <c r="U1255" s="19" t="n">
        <f aca="false">IF(OR($B1255="",$A1255=""),0,IF(COUNTIFS($A$5:$A1255,$A1255,$B$5:$B1255,$B1255)=1,1,0))</f>
        <v>0</v>
      </c>
    </row>
    <row r="1256" customFormat="false" ht="15" hidden="false" customHeight="false" outlineLevel="0" collapsed="false">
      <c r="A1256" s="17"/>
      <c r="B1256" s="13"/>
      <c r="C1256" s="20" t="str">
        <f aca="false">IF($B1256="","",IFERROR(INDEX(고객사!$B$5:$B$104,MATCH($B1256,고객사!$A$5:$A$104,0)),"코드 확인"))</f>
        <v/>
      </c>
      <c r="D1256" s="15"/>
      <c r="E1256" s="15"/>
      <c r="F1256" s="16"/>
      <c r="G1256" s="16"/>
      <c r="H1256" s="21" t="str">
        <f aca="false">IF(OR($B1256="",F1256=0),"",G1256/F1256)</f>
        <v/>
      </c>
      <c r="I1256" s="22" t="str">
        <f aca="false">IF($B1256="","",MAX(F1256-G1256,0))</f>
        <v/>
      </c>
      <c r="J1256" s="23" t="str">
        <f aca="false">IF($B1256="","",IFERROR(INDEX(고객사!$G$5:$G$104,MATCH($B1256,고객사!$A$5:$A$104,0)),""))</f>
        <v/>
      </c>
      <c r="K1256" s="16"/>
      <c r="L1256" s="22" t="str">
        <f aca="false">IF($B1256="","",K1256*IFERROR(INDEX(고객사!$L$5:$L$104,MATCH($B1256,고객사!$A$5:$A$104,0)),0))</f>
        <v/>
      </c>
      <c r="M1256" s="23" t="str">
        <f aca="false">IF($B1256="","",IF(AND(J1256="N",G1256&gt;0,K1256=0,IFERROR(INDEX(고객사!$H$5:$H$104,MATCH($B1256,고객사!$A$5:$A$104,0)),"")="자사 차량 운행"),"차량 미배정",""))</f>
        <v/>
      </c>
      <c r="N1256" s="22" t="str">
        <f aca="false">IF($B1256="","",IFERROR(INDEX(고객사!$J$5:$J$104,MATCH($B1256,고객사!$A$5:$A$104,0)),0))</f>
        <v/>
      </c>
      <c r="O1256" s="22" t="str">
        <f aca="false">IF($B1256="","",G1256*N1256)</f>
        <v/>
      </c>
      <c r="P1256" s="22" t="str">
        <f aca="false">IF($B1256="","",IFERROR(INDEX(고객사!$K$5:$K$104,MATCH($B1256,고객사!$A$5:$A$104,0)),0))</f>
        <v/>
      </c>
      <c r="Q1256" s="22" t="str">
        <f aca="false">IF($B1256="","",G1256*P1256)</f>
        <v/>
      </c>
      <c r="R1256" s="22" t="str">
        <f aca="false">IF($B1256="","",O1256-Q1256-L1256)</f>
        <v/>
      </c>
      <c r="S1256" s="21" t="str">
        <f aca="false">IF(OR($B1256="",N(O1256)=0),"",R1256/O1256)</f>
        <v/>
      </c>
      <c r="T1256" s="14"/>
      <c r="U1256" s="19" t="n">
        <f aca="false">IF(OR($B1256="",$A1256=""),0,IF(COUNTIFS($A$5:$A1256,$A1256,$B$5:$B1256,$B1256)=1,1,0))</f>
        <v>0</v>
      </c>
    </row>
    <row r="1257" customFormat="false" ht="15" hidden="false" customHeight="false" outlineLevel="0" collapsed="false">
      <c r="A1257" s="17"/>
      <c r="B1257" s="13"/>
      <c r="C1257" s="20" t="str">
        <f aca="false">IF($B1257="","",IFERROR(INDEX(고객사!$B$5:$B$104,MATCH($B1257,고객사!$A$5:$A$104,0)),"코드 확인"))</f>
        <v/>
      </c>
      <c r="D1257" s="15"/>
      <c r="E1257" s="15"/>
      <c r="F1257" s="16"/>
      <c r="G1257" s="16"/>
      <c r="H1257" s="21" t="str">
        <f aca="false">IF(OR($B1257="",F1257=0),"",G1257/F1257)</f>
        <v/>
      </c>
      <c r="I1257" s="22" t="str">
        <f aca="false">IF($B1257="","",MAX(F1257-G1257,0))</f>
        <v/>
      </c>
      <c r="J1257" s="23" t="str">
        <f aca="false">IF($B1257="","",IFERROR(INDEX(고객사!$G$5:$G$104,MATCH($B1257,고객사!$A$5:$A$104,0)),""))</f>
        <v/>
      </c>
      <c r="K1257" s="16"/>
      <c r="L1257" s="22" t="str">
        <f aca="false">IF($B1257="","",K1257*IFERROR(INDEX(고객사!$L$5:$L$104,MATCH($B1257,고객사!$A$5:$A$104,0)),0))</f>
        <v/>
      </c>
      <c r="M1257" s="23" t="str">
        <f aca="false">IF($B1257="","",IF(AND(J1257="N",G1257&gt;0,K1257=0,IFERROR(INDEX(고객사!$H$5:$H$104,MATCH($B1257,고객사!$A$5:$A$104,0)),"")="자사 차량 운행"),"차량 미배정",""))</f>
        <v/>
      </c>
      <c r="N1257" s="22" t="str">
        <f aca="false">IF($B1257="","",IFERROR(INDEX(고객사!$J$5:$J$104,MATCH($B1257,고객사!$A$5:$A$104,0)),0))</f>
        <v/>
      </c>
      <c r="O1257" s="22" t="str">
        <f aca="false">IF($B1257="","",G1257*N1257)</f>
        <v/>
      </c>
      <c r="P1257" s="22" t="str">
        <f aca="false">IF($B1257="","",IFERROR(INDEX(고객사!$K$5:$K$104,MATCH($B1257,고객사!$A$5:$A$104,0)),0))</f>
        <v/>
      </c>
      <c r="Q1257" s="22" t="str">
        <f aca="false">IF($B1257="","",G1257*P1257)</f>
        <v/>
      </c>
      <c r="R1257" s="22" t="str">
        <f aca="false">IF($B1257="","",O1257-Q1257-L1257)</f>
        <v/>
      </c>
      <c r="S1257" s="21" t="str">
        <f aca="false">IF(OR($B1257="",N(O1257)=0),"",R1257/O1257)</f>
        <v/>
      </c>
      <c r="T1257" s="14"/>
      <c r="U1257" s="19" t="n">
        <f aca="false">IF(OR($B1257="",$A1257=""),0,IF(COUNTIFS($A$5:$A1257,$A1257,$B$5:$B1257,$B1257)=1,1,0))</f>
        <v>0</v>
      </c>
    </row>
    <row r="1258" customFormat="false" ht="15" hidden="false" customHeight="false" outlineLevel="0" collapsed="false">
      <c r="A1258" s="17"/>
      <c r="B1258" s="13"/>
      <c r="C1258" s="20" t="str">
        <f aca="false">IF($B1258="","",IFERROR(INDEX(고객사!$B$5:$B$104,MATCH($B1258,고객사!$A$5:$A$104,0)),"코드 확인"))</f>
        <v/>
      </c>
      <c r="D1258" s="15"/>
      <c r="E1258" s="15"/>
      <c r="F1258" s="16"/>
      <c r="G1258" s="16"/>
      <c r="H1258" s="21" t="str">
        <f aca="false">IF(OR($B1258="",F1258=0),"",G1258/F1258)</f>
        <v/>
      </c>
      <c r="I1258" s="22" t="str">
        <f aca="false">IF($B1258="","",MAX(F1258-G1258,0))</f>
        <v/>
      </c>
      <c r="J1258" s="23" t="str">
        <f aca="false">IF($B1258="","",IFERROR(INDEX(고객사!$G$5:$G$104,MATCH($B1258,고객사!$A$5:$A$104,0)),""))</f>
        <v/>
      </c>
      <c r="K1258" s="16"/>
      <c r="L1258" s="22" t="str">
        <f aca="false">IF($B1258="","",K1258*IFERROR(INDEX(고객사!$L$5:$L$104,MATCH($B1258,고객사!$A$5:$A$104,0)),0))</f>
        <v/>
      </c>
      <c r="M1258" s="23" t="str">
        <f aca="false">IF($B1258="","",IF(AND(J1258="N",G1258&gt;0,K1258=0,IFERROR(INDEX(고객사!$H$5:$H$104,MATCH($B1258,고객사!$A$5:$A$104,0)),"")="자사 차량 운행"),"차량 미배정",""))</f>
        <v/>
      </c>
      <c r="N1258" s="22" t="str">
        <f aca="false">IF($B1258="","",IFERROR(INDEX(고객사!$J$5:$J$104,MATCH($B1258,고객사!$A$5:$A$104,0)),0))</f>
        <v/>
      </c>
      <c r="O1258" s="22" t="str">
        <f aca="false">IF($B1258="","",G1258*N1258)</f>
        <v/>
      </c>
      <c r="P1258" s="22" t="str">
        <f aca="false">IF($B1258="","",IFERROR(INDEX(고객사!$K$5:$K$104,MATCH($B1258,고객사!$A$5:$A$104,0)),0))</f>
        <v/>
      </c>
      <c r="Q1258" s="22" t="str">
        <f aca="false">IF($B1258="","",G1258*P1258)</f>
        <v/>
      </c>
      <c r="R1258" s="22" t="str">
        <f aca="false">IF($B1258="","",O1258-Q1258-L1258)</f>
        <v/>
      </c>
      <c r="S1258" s="21" t="str">
        <f aca="false">IF(OR($B1258="",N(O1258)=0),"",R1258/O1258)</f>
        <v/>
      </c>
      <c r="T1258" s="14"/>
      <c r="U1258" s="19" t="n">
        <f aca="false">IF(OR($B1258="",$A1258=""),0,IF(COUNTIFS($A$5:$A1258,$A1258,$B$5:$B1258,$B1258)=1,1,0))</f>
        <v>0</v>
      </c>
    </row>
    <row r="1259" customFormat="false" ht="15" hidden="false" customHeight="false" outlineLevel="0" collapsed="false">
      <c r="A1259" s="17"/>
      <c r="B1259" s="13"/>
      <c r="C1259" s="20" t="str">
        <f aca="false">IF($B1259="","",IFERROR(INDEX(고객사!$B$5:$B$104,MATCH($B1259,고객사!$A$5:$A$104,0)),"코드 확인"))</f>
        <v/>
      </c>
      <c r="D1259" s="15"/>
      <c r="E1259" s="15"/>
      <c r="F1259" s="16"/>
      <c r="G1259" s="16"/>
      <c r="H1259" s="21" t="str">
        <f aca="false">IF(OR($B1259="",F1259=0),"",G1259/F1259)</f>
        <v/>
      </c>
      <c r="I1259" s="22" t="str">
        <f aca="false">IF($B1259="","",MAX(F1259-G1259,0))</f>
        <v/>
      </c>
      <c r="J1259" s="23" t="str">
        <f aca="false">IF($B1259="","",IFERROR(INDEX(고객사!$G$5:$G$104,MATCH($B1259,고객사!$A$5:$A$104,0)),""))</f>
        <v/>
      </c>
      <c r="K1259" s="16"/>
      <c r="L1259" s="22" t="str">
        <f aca="false">IF($B1259="","",K1259*IFERROR(INDEX(고객사!$L$5:$L$104,MATCH($B1259,고객사!$A$5:$A$104,0)),0))</f>
        <v/>
      </c>
      <c r="M1259" s="23" t="str">
        <f aca="false">IF($B1259="","",IF(AND(J1259="N",G1259&gt;0,K1259=0,IFERROR(INDEX(고객사!$H$5:$H$104,MATCH($B1259,고객사!$A$5:$A$104,0)),"")="자사 차량 운행"),"차량 미배정",""))</f>
        <v/>
      </c>
      <c r="N1259" s="22" t="str">
        <f aca="false">IF($B1259="","",IFERROR(INDEX(고객사!$J$5:$J$104,MATCH($B1259,고객사!$A$5:$A$104,0)),0))</f>
        <v/>
      </c>
      <c r="O1259" s="22" t="str">
        <f aca="false">IF($B1259="","",G1259*N1259)</f>
        <v/>
      </c>
      <c r="P1259" s="22" t="str">
        <f aca="false">IF($B1259="","",IFERROR(INDEX(고객사!$K$5:$K$104,MATCH($B1259,고객사!$A$5:$A$104,0)),0))</f>
        <v/>
      </c>
      <c r="Q1259" s="22" t="str">
        <f aca="false">IF($B1259="","",G1259*P1259)</f>
        <v/>
      </c>
      <c r="R1259" s="22" t="str">
        <f aca="false">IF($B1259="","",O1259-Q1259-L1259)</f>
        <v/>
      </c>
      <c r="S1259" s="21" t="str">
        <f aca="false">IF(OR($B1259="",N(O1259)=0),"",R1259/O1259)</f>
        <v/>
      </c>
      <c r="T1259" s="14"/>
      <c r="U1259" s="19" t="n">
        <f aca="false">IF(OR($B1259="",$A1259=""),0,IF(COUNTIFS($A$5:$A1259,$A1259,$B$5:$B1259,$B1259)=1,1,0))</f>
        <v>0</v>
      </c>
    </row>
    <row r="1260" customFormat="false" ht="15" hidden="false" customHeight="false" outlineLevel="0" collapsed="false">
      <c r="A1260" s="17"/>
      <c r="B1260" s="13"/>
      <c r="C1260" s="20" t="str">
        <f aca="false">IF($B1260="","",IFERROR(INDEX(고객사!$B$5:$B$104,MATCH($B1260,고객사!$A$5:$A$104,0)),"코드 확인"))</f>
        <v/>
      </c>
      <c r="D1260" s="15"/>
      <c r="E1260" s="15"/>
      <c r="F1260" s="16"/>
      <c r="G1260" s="16"/>
      <c r="H1260" s="21" t="str">
        <f aca="false">IF(OR($B1260="",F1260=0),"",G1260/F1260)</f>
        <v/>
      </c>
      <c r="I1260" s="22" t="str">
        <f aca="false">IF($B1260="","",MAX(F1260-G1260,0))</f>
        <v/>
      </c>
      <c r="J1260" s="23" t="str">
        <f aca="false">IF($B1260="","",IFERROR(INDEX(고객사!$G$5:$G$104,MATCH($B1260,고객사!$A$5:$A$104,0)),""))</f>
        <v/>
      </c>
      <c r="K1260" s="16"/>
      <c r="L1260" s="22" t="str">
        <f aca="false">IF($B1260="","",K1260*IFERROR(INDEX(고객사!$L$5:$L$104,MATCH($B1260,고객사!$A$5:$A$104,0)),0))</f>
        <v/>
      </c>
      <c r="M1260" s="23" t="str">
        <f aca="false">IF($B1260="","",IF(AND(J1260="N",G1260&gt;0,K1260=0,IFERROR(INDEX(고객사!$H$5:$H$104,MATCH($B1260,고객사!$A$5:$A$104,0)),"")="자사 차량 운행"),"차량 미배정",""))</f>
        <v/>
      </c>
      <c r="N1260" s="22" t="str">
        <f aca="false">IF($B1260="","",IFERROR(INDEX(고객사!$J$5:$J$104,MATCH($B1260,고객사!$A$5:$A$104,0)),0))</f>
        <v/>
      </c>
      <c r="O1260" s="22" t="str">
        <f aca="false">IF($B1260="","",G1260*N1260)</f>
        <v/>
      </c>
      <c r="P1260" s="22" t="str">
        <f aca="false">IF($B1260="","",IFERROR(INDEX(고객사!$K$5:$K$104,MATCH($B1260,고객사!$A$5:$A$104,0)),0))</f>
        <v/>
      </c>
      <c r="Q1260" s="22" t="str">
        <f aca="false">IF($B1260="","",G1260*P1260)</f>
        <v/>
      </c>
      <c r="R1260" s="22" t="str">
        <f aca="false">IF($B1260="","",O1260-Q1260-L1260)</f>
        <v/>
      </c>
      <c r="S1260" s="21" t="str">
        <f aca="false">IF(OR($B1260="",N(O1260)=0),"",R1260/O1260)</f>
        <v/>
      </c>
      <c r="T1260" s="14"/>
      <c r="U1260" s="19" t="n">
        <f aca="false">IF(OR($B1260="",$A1260=""),0,IF(COUNTIFS($A$5:$A1260,$A1260,$B$5:$B1260,$B1260)=1,1,0))</f>
        <v>0</v>
      </c>
    </row>
    <row r="1261" customFormat="false" ht="15" hidden="false" customHeight="false" outlineLevel="0" collapsed="false">
      <c r="A1261" s="17"/>
      <c r="B1261" s="13"/>
      <c r="C1261" s="20" t="str">
        <f aca="false">IF($B1261="","",IFERROR(INDEX(고객사!$B$5:$B$104,MATCH($B1261,고객사!$A$5:$A$104,0)),"코드 확인"))</f>
        <v/>
      </c>
      <c r="D1261" s="15"/>
      <c r="E1261" s="15"/>
      <c r="F1261" s="16"/>
      <c r="G1261" s="16"/>
      <c r="H1261" s="21" t="str">
        <f aca="false">IF(OR($B1261="",F1261=0),"",G1261/F1261)</f>
        <v/>
      </c>
      <c r="I1261" s="22" t="str">
        <f aca="false">IF($B1261="","",MAX(F1261-G1261,0))</f>
        <v/>
      </c>
      <c r="J1261" s="23" t="str">
        <f aca="false">IF($B1261="","",IFERROR(INDEX(고객사!$G$5:$G$104,MATCH($B1261,고객사!$A$5:$A$104,0)),""))</f>
        <v/>
      </c>
      <c r="K1261" s="16"/>
      <c r="L1261" s="22" t="str">
        <f aca="false">IF($B1261="","",K1261*IFERROR(INDEX(고객사!$L$5:$L$104,MATCH($B1261,고객사!$A$5:$A$104,0)),0))</f>
        <v/>
      </c>
      <c r="M1261" s="23" t="str">
        <f aca="false">IF($B1261="","",IF(AND(J1261="N",G1261&gt;0,K1261=0,IFERROR(INDEX(고객사!$H$5:$H$104,MATCH($B1261,고객사!$A$5:$A$104,0)),"")="자사 차량 운행"),"차량 미배정",""))</f>
        <v/>
      </c>
      <c r="N1261" s="22" t="str">
        <f aca="false">IF($B1261="","",IFERROR(INDEX(고객사!$J$5:$J$104,MATCH($B1261,고객사!$A$5:$A$104,0)),0))</f>
        <v/>
      </c>
      <c r="O1261" s="22" t="str">
        <f aca="false">IF($B1261="","",G1261*N1261)</f>
        <v/>
      </c>
      <c r="P1261" s="22" t="str">
        <f aca="false">IF($B1261="","",IFERROR(INDEX(고객사!$K$5:$K$104,MATCH($B1261,고객사!$A$5:$A$104,0)),0))</f>
        <v/>
      </c>
      <c r="Q1261" s="22" t="str">
        <f aca="false">IF($B1261="","",G1261*P1261)</f>
        <v/>
      </c>
      <c r="R1261" s="22" t="str">
        <f aca="false">IF($B1261="","",O1261-Q1261-L1261)</f>
        <v/>
      </c>
      <c r="S1261" s="21" t="str">
        <f aca="false">IF(OR($B1261="",N(O1261)=0),"",R1261/O1261)</f>
        <v/>
      </c>
      <c r="T1261" s="14"/>
      <c r="U1261" s="19" t="n">
        <f aca="false">IF(OR($B1261="",$A1261=""),0,IF(COUNTIFS($A$5:$A1261,$A1261,$B$5:$B1261,$B1261)=1,1,0))</f>
        <v>0</v>
      </c>
    </row>
    <row r="1262" customFormat="false" ht="15" hidden="false" customHeight="false" outlineLevel="0" collapsed="false">
      <c r="A1262" s="17"/>
      <c r="B1262" s="13"/>
      <c r="C1262" s="20" t="str">
        <f aca="false">IF($B1262="","",IFERROR(INDEX(고객사!$B$5:$B$104,MATCH($B1262,고객사!$A$5:$A$104,0)),"코드 확인"))</f>
        <v/>
      </c>
      <c r="D1262" s="15"/>
      <c r="E1262" s="15"/>
      <c r="F1262" s="16"/>
      <c r="G1262" s="16"/>
      <c r="H1262" s="21" t="str">
        <f aca="false">IF(OR($B1262="",F1262=0),"",G1262/F1262)</f>
        <v/>
      </c>
      <c r="I1262" s="22" t="str">
        <f aca="false">IF($B1262="","",MAX(F1262-G1262,0))</f>
        <v/>
      </c>
      <c r="J1262" s="23" t="str">
        <f aca="false">IF($B1262="","",IFERROR(INDEX(고객사!$G$5:$G$104,MATCH($B1262,고객사!$A$5:$A$104,0)),""))</f>
        <v/>
      </c>
      <c r="K1262" s="16"/>
      <c r="L1262" s="22" t="str">
        <f aca="false">IF($B1262="","",K1262*IFERROR(INDEX(고객사!$L$5:$L$104,MATCH($B1262,고객사!$A$5:$A$104,0)),0))</f>
        <v/>
      </c>
      <c r="M1262" s="23" t="str">
        <f aca="false">IF($B1262="","",IF(AND(J1262="N",G1262&gt;0,K1262=0,IFERROR(INDEX(고객사!$H$5:$H$104,MATCH($B1262,고객사!$A$5:$A$104,0)),"")="자사 차량 운행"),"차량 미배정",""))</f>
        <v/>
      </c>
      <c r="N1262" s="22" t="str">
        <f aca="false">IF($B1262="","",IFERROR(INDEX(고객사!$J$5:$J$104,MATCH($B1262,고객사!$A$5:$A$104,0)),0))</f>
        <v/>
      </c>
      <c r="O1262" s="22" t="str">
        <f aca="false">IF($B1262="","",G1262*N1262)</f>
        <v/>
      </c>
      <c r="P1262" s="22" t="str">
        <f aca="false">IF($B1262="","",IFERROR(INDEX(고객사!$K$5:$K$104,MATCH($B1262,고객사!$A$5:$A$104,0)),0))</f>
        <v/>
      </c>
      <c r="Q1262" s="22" t="str">
        <f aca="false">IF($B1262="","",G1262*P1262)</f>
        <v/>
      </c>
      <c r="R1262" s="22" t="str">
        <f aca="false">IF($B1262="","",O1262-Q1262-L1262)</f>
        <v/>
      </c>
      <c r="S1262" s="21" t="str">
        <f aca="false">IF(OR($B1262="",N(O1262)=0),"",R1262/O1262)</f>
        <v/>
      </c>
      <c r="T1262" s="14"/>
      <c r="U1262" s="19" t="n">
        <f aca="false">IF(OR($B1262="",$A1262=""),0,IF(COUNTIFS($A$5:$A1262,$A1262,$B$5:$B1262,$B1262)=1,1,0))</f>
        <v>0</v>
      </c>
    </row>
    <row r="1263" customFormat="false" ht="15" hidden="false" customHeight="false" outlineLevel="0" collapsed="false">
      <c r="A1263" s="17"/>
      <c r="B1263" s="13"/>
      <c r="C1263" s="20" t="str">
        <f aca="false">IF($B1263="","",IFERROR(INDEX(고객사!$B$5:$B$104,MATCH($B1263,고객사!$A$5:$A$104,0)),"코드 확인"))</f>
        <v/>
      </c>
      <c r="D1263" s="15"/>
      <c r="E1263" s="15"/>
      <c r="F1263" s="16"/>
      <c r="G1263" s="16"/>
      <c r="H1263" s="21" t="str">
        <f aca="false">IF(OR($B1263="",F1263=0),"",G1263/F1263)</f>
        <v/>
      </c>
      <c r="I1263" s="22" t="str">
        <f aca="false">IF($B1263="","",MAX(F1263-G1263,0))</f>
        <v/>
      </c>
      <c r="J1263" s="23" t="str">
        <f aca="false">IF($B1263="","",IFERROR(INDEX(고객사!$G$5:$G$104,MATCH($B1263,고객사!$A$5:$A$104,0)),""))</f>
        <v/>
      </c>
      <c r="K1263" s="16"/>
      <c r="L1263" s="22" t="str">
        <f aca="false">IF($B1263="","",K1263*IFERROR(INDEX(고객사!$L$5:$L$104,MATCH($B1263,고객사!$A$5:$A$104,0)),0))</f>
        <v/>
      </c>
      <c r="M1263" s="23" t="str">
        <f aca="false">IF($B1263="","",IF(AND(J1263="N",G1263&gt;0,K1263=0,IFERROR(INDEX(고객사!$H$5:$H$104,MATCH($B1263,고객사!$A$5:$A$104,0)),"")="자사 차량 운행"),"차량 미배정",""))</f>
        <v/>
      </c>
      <c r="N1263" s="22" t="str">
        <f aca="false">IF($B1263="","",IFERROR(INDEX(고객사!$J$5:$J$104,MATCH($B1263,고객사!$A$5:$A$104,0)),0))</f>
        <v/>
      </c>
      <c r="O1263" s="22" t="str">
        <f aca="false">IF($B1263="","",G1263*N1263)</f>
        <v/>
      </c>
      <c r="P1263" s="22" t="str">
        <f aca="false">IF($B1263="","",IFERROR(INDEX(고객사!$K$5:$K$104,MATCH($B1263,고객사!$A$5:$A$104,0)),0))</f>
        <v/>
      </c>
      <c r="Q1263" s="22" t="str">
        <f aca="false">IF($B1263="","",G1263*P1263)</f>
        <v/>
      </c>
      <c r="R1263" s="22" t="str">
        <f aca="false">IF($B1263="","",O1263-Q1263-L1263)</f>
        <v/>
      </c>
      <c r="S1263" s="21" t="str">
        <f aca="false">IF(OR($B1263="",N(O1263)=0),"",R1263/O1263)</f>
        <v/>
      </c>
      <c r="T1263" s="14"/>
      <c r="U1263" s="19" t="n">
        <f aca="false">IF(OR($B1263="",$A1263=""),0,IF(COUNTIFS($A$5:$A1263,$A1263,$B$5:$B1263,$B1263)=1,1,0))</f>
        <v>0</v>
      </c>
    </row>
    <row r="1264" customFormat="false" ht="15" hidden="false" customHeight="false" outlineLevel="0" collapsed="false">
      <c r="A1264" s="17"/>
      <c r="B1264" s="13"/>
      <c r="C1264" s="20" t="str">
        <f aca="false">IF($B1264="","",IFERROR(INDEX(고객사!$B$5:$B$104,MATCH($B1264,고객사!$A$5:$A$104,0)),"코드 확인"))</f>
        <v/>
      </c>
      <c r="D1264" s="15"/>
      <c r="E1264" s="15"/>
      <c r="F1264" s="16"/>
      <c r="G1264" s="16"/>
      <c r="H1264" s="21" t="str">
        <f aca="false">IF(OR($B1264="",F1264=0),"",G1264/F1264)</f>
        <v/>
      </c>
      <c r="I1264" s="22" t="str">
        <f aca="false">IF($B1264="","",MAX(F1264-G1264,0))</f>
        <v/>
      </c>
      <c r="J1264" s="23" t="str">
        <f aca="false">IF($B1264="","",IFERROR(INDEX(고객사!$G$5:$G$104,MATCH($B1264,고객사!$A$5:$A$104,0)),""))</f>
        <v/>
      </c>
      <c r="K1264" s="16"/>
      <c r="L1264" s="22" t="str">
        <f aca="false">IF($B1264="","",K1264*IFERROR(INDEX(고객사!$L$5:$L$104,MATCH($B1264,고객사!$A$5:$A$104,0)),0))</f>
        <v/>
      </c>
      <c r="M1264" s="23" t="str">
        <f aca="false">IF($B1264="","",IF(AND(J1264="N",G1264&gt;0,K1264=0,IFERROR(INDEX(고객사!$H$5:$H$104,MATCH($B1264,고객사!$A$5:$A$104,0)),"")="자사 차량 운행"),"차량 미배정",""))</f>
        <v/>
      </c>
      <c r="N1264" s="22" t="str">
        <f aca="false">IF($B1264="","",IFERROR(INDEX(고객사!$J$5:$J$104,MATCH($B1264,고객사!$A$5:$A$104,0)),0))</f>
        <v/>
      </c>
      <c r="O1264" s="22" t="str">
        <f aca="false">IF($B1264="","",G1264*N1264)</f>
        <v/>
      </c>
      <c r="P1264" s="22" t="str">
        <f aca="false">IF($B1264="","",IFERROR(INDEX(고객사!$K$5:$K$104,MATCH($B1264,고객사!$A$5:$A$104,0)),0))</f>
        <v/>
      </c>
      <c r="Q1264" s="22" t="str">
        <f aca="false">IF($B1264="","",G1264*P1264)</f>
        <v/>
      </c>
      <c r="R1264" s="22" t="str">
        <f aca="false">IF($B1264="","",O1264-Q1264-L1264)</f>
        <v/>
      </c>
      <c r="S1264" s="21" t="str">
        <f aca="false">IF(OR($B1264="",N(O1264)=0),"",R1264/O1264)</f>
        <v/>
      </c>
      <c r="T1264" s="14"/>
      <c r="U1264" s="19" t="n">
        <f aca="false">IF(OR($B1264="",$A1264=""),0,IF(COUNTIFS($A$5:$A1264,$A1264,$B$5:$B1264,$B1264)=1,1,0))</f>
        <v>0</v>
      </c>
    </row>
    <row r="1265" customFormat="false" ht="15" hidden="false" customHeight="false" outlineLevel="0" collapsed="false">
      <c r="A1265" s="17"/>
      <c r="B1265" s="13"/>
      <c r="C1265" s="20" t="str">
        <f aca="false">IF($B1265="","",IFERROR(INDEX(고객사!$B$5:$B$104,MATCH($B1265,고객사!$A$5:$A$104,0)),"코드 확인"))</f>
        <v/>
      </c>
      <c r="D1265" s="15"/>
      <c r="E1265" s="15"/>
      <c r="F1265" s="16"/>
      <c r="G1265" s="16"/>
      <c r="H1265" s="21" t="str">
        <f aca="false">IF(OR($B1265="",F1265=0),"",G1265/F1265)</f>
        <v/>
      </c>
      <c r="I1265" s="22" t="str">
        <f aca="false">IF($B1265="","",MAX(F1265-G1265,0))</f>
        <v/>
      </c>
      <c r="J1265" s="23" t="str">
        <f aca="false">IF($B1265="","",IFERROR(INDEX(고객사!$G$5:$G$104,MATCH($B1265,고객사!$A$5:$A$104,0)),""))</f>
        <v/>
      </c>
      <c r="K1265" s="16"/>
      <c r="L1265" s="22" t="str">
        <f aca="false">IF($B1265="","",K1265*IFERROR(INDEX(고객사!$L$5:$L$104,MATCH($B1265,고객사!$A$5:$A$104,0)),0))</f>
        <v/>
      </c>
      <c r="M1265" s="23" t="str">
        <f aca="false">IF($B1265="","",IF(AND(J1265="N",G1265&gt;0,K1265=0,IFERROR(INDEX(고객사!$H$5:$H$104,MATCH($B1265,고객사!$A$5:$A$104,0)),"")="자사 차량 운행"),"차량 미배정",""))</f>
        <v/>
      </c>
      <c r="N1265" s="22" t="str">
        <f aca="false">IF($B1265="","",IFERROR(INDEX(고객사!$J$5:$J$104,MATCH($B1265,고객사!$A$5:$A$104,0)),0))</f>
        <v/>
      </c>
      <c r="O1265" s="22" t="str">
        <f aca="false">IF($B1265="","",G1265*N1265)</f>
        <v/>
      </c>
      <c r="P1265" s="22" t="str">
        <f aca="false">IF($B1265="","",IFERROR(INDEX(고객사!$K$5:$K$104,MATCH($B1265,고객사!$A$5:$A$104,0)),0))</f>
        <v/>
      </c>
      <c r="Q1265" s="22" t="str">
        <f aca="false">IF($B1265="","",G1265*P1265)</f>
        <v/>
      </c>
      <c r="R1265" s="22" t="str">
        <f aca="false">IF($B1265="","",O1265-Q1265-L1265)</f>
        <v/>
      </c>
      <c r="S1265" s="21" t="str">
        <f aca="false">IF(OR($B1265="",N(O1265)=0),"",R1265/O1265)</f>
        <v/>
      </c>
      <c r="T1265" s="14"/>
      <c r="U1265" s="19" t="n">
        <f aca="false">IF(OR($B1265="",$A1265=""),0,IF(COUNTIFS($A$5:$A1265,$A1265,$B$5:$B1265,$B1265)=1,1,0))</f>
        <v>0</v>
      </c>
    </row>
    <row r="1266" customFormat="false" ht="15" hidden="false" customHeight="false" outlineLevel="0" collapsed="false">
      <c r="A1266" s="17"/>
      <c r="B1266" s="13"/>
      <c r="C1266" s="20" t="str">
        <f aca="false">IF($B1266="","",IFERROR(INDEX(고객사!$B$5:$B$104,MATCH($B1266,고객사!$A$5:$A$104,0)),"코드 확인"))</f>
        <v/>
      </c>
      <c r="D1266" s="15"/>
      <c r="E1266" s="15"/>
      <c r="F1266" s="16"/>
      <c r="G1266" s="16"/>
      <c r="H1266" s="21" t="str">
        <f aca="false">IF(OR($B1266="",F1266=0),"",G1266/F1266)</f>
        <v/>
      </c>
      <c r="I1266" s="22" t="str">
        <f aca="false">IF($B1266="","",MAX(F1266-G1266,0))</f>
        <v/>
      </c>
      <c r="J1266" s="23" t="str">
        <f aca="false">IF($B1266="","",IFERROR(INDEX(고객사!$G$5:$G$104,MATCH($B1266,고객사!$A$5:$A$104,0)),""))</f>
        <v/>
      </c>
      <c r="K1266" s="16"/>
      <c r="L1266" s="22" t="str">
        <f aca="false">IF($B1266="","",K1266*IFERROR(INDEX(고객사!$L$5:$L$104,MATCH($B1266,고객사!$A$5:$A$104,0)),0))</f>
        <v/>
      </c>
      <c r="M1266" s="23" t="str">
        <f aca="false">IF($B1266="","",IF(AND(J1266="N",G1266&gt;0,K1266=0,IFERROR(INDEX(고객사!$H$5:$H$104,MATCH($B1266,고객사!$A$5:$A$104,0)),"")="자사 차량 운행"),"차량 미배정",""))</f>
        <v/>
      </c>
      <c r="N1266" s="22" t="str">
        <f aca="false">IF($B1266="","",IFERROR(INDEX(고객사!$J$5:$J$104,MATCH($B1266,고객사!$A$5:$A$104,0)),0))</f>
        <v/>
      </c>
      <c r="O1266" s="22" t="str">
        <f aca="false">IF($B1266="","",G1266*N1266)</f>
        <v/>
      </c>
      <c r="P1266" s="22" t="str">
        <f aca="false">IF($B1266="","",IFERROR(INDEX(고객사!$K$5:$K$104,MATCH($B1266,고객사!$A$5:$A$104,0)),0))</f>
        <v/>
      </c>
      <c r="Q1266" s="22" t="str">
        <f aca="false">IF($B1266="","",G1266*P1266)</f>
        <v/>
      </c>
      <c r="R1266" s="22" t="str">
        <f aca="false">IF($B1266="","",O1266-Q1266-L1266)</f>
        <v/>
      </c>
      <c r="S1266" s="21" t="str">
        <f aca="false">IF(OR($B1266="",N(O1266)=0),"",R1266/O1266)</f>
        <v/>
      </c>
      <c r="T1266" s="14"/>
      <c r="U1266" s="19" t="n">
        <f aca="false">IF(OR($B1266="",$A1266=""),0,IF(COUNTIFS($A$5:$A1266,$A1266,$B$5:$B1266,$B1266)=1,1,0))</f>
        <v>0</v>
      </c>
    </row>
    <row r="1267" customFormat="false" ht="15" hidden="false" customHeight="false" outlineLevel="0" collapsed="false">
      <c r="A1267" s="17"/>
      <c r="B1267" s="13"/>
      <c r="C1267" s="20" t="str">
        <f aca="false">IF($B1267="","",IFERROR(INDEX(고객사!$B$5:$B$104,MATCH($B1267,고객사!$A$5:$A$104,0)),"코드 확인"))</f>
        <v/>
      </c>
      <c r="D1267" s="15"/>
      <c r="E1267" s="15"/>
      <c r="F1267" s="16"/>
      <c r="G1267" s="16"/>
      <c r="H1267" s="21" t="str">
        <f aca="false">IF(OR($B1267="",F1267=0),"",G1267/F1267)</f>
        <v/>
      </c>
      <c r="I1267" s="22" t="str">
        <f aca="false">IF($B1267="","",MAX(F1267-G1267,0))</f>
        <v/>
      </c>
      <c r="J1267" s="23" t="str">
        <f aca="false">IF($B1267="","",IFERROR(INDEX(고객사!$G$5:$G$104,MATCH($B1267,고객사!$A$5:$A$104,0)),""))</f>
        <v/>
      </c>
      <c r="K1267" s="16"/>
      <c r="L1267" s="22" t="str">
        <f aca="false">IF($B1267="","",K1267*IFERROR(INDEX(고객사!$L$5:$L$104,MATCH($B1267,고객사!$A$5:$A$104,0)),0))</f>
        <v/>
      </c>
      <c r="M1267" s="23" t="str">
        <f aca="false">IF($B1267="","",IF(AND(J1267="N",G1267&gt;0,K1267=0,IFERROR(INDEX(고객사!$H$5:$H$104,MATCH($B1267,고객사!$A$5:$A$104,0)),"")="자사 차량 운행"),"차량 미배정",""))</f>
        <v/>
      </c>
      <c r="N1267" s="22" t="str">
        <f aca="false">IF($B1267="","",IFERROR(INDEX(고객사!$J$5:$J$104,MATCH($B1267,고객사!$A$5:$A$104,0)),0))</f>
        <v/>
      </c>
      <c r="O1267" s="22" t="str">
        <f aca="false">IF($B1267="","",G1267*N1267)</f>
        <v/>
      </c>
      <c r="P1267" s="22" t="str">
        <f aca="false">IF($B1267="","",IFERROR(INDEX(고객사!$K$5:$K$104,MATCH($B1267,고객사!$A$5:$A$104,0)),0))</f>
        <v/>
      </c>
      <c r="Q1267" s="22" t="str">
        <f aca="false">IF($B1267="","",G1267*P1267)</f>
        <v/>
      </c>
      <c r="R1267" s="22" t="str">
        <f aca="false">IF($B1267="","",O1267-Q1267-L1267)</f>
        <v/>
      </c>
      <c r="S1267" s="21" t="str">
        <f aca="false">IF(OR($B1267="",N(O1267)=0),"",R1267/O1267)</f>
        <v/>
      </c>
      <c r="T1267" s="14"/>
      <c r="U1267" s="19" t="n">
        <f aca="false">IF(OR($B1267="",$A1267=""),0,IF(COUNTIFS($A$5:$A1267,$A1267,$B$5:$B1267,$B1267)=1,1,0))</f>
        <v>0</v>
      </c>
    </row>
    <row r="1268" customFormat="false" ht="15" hidden="false" customHeight="false" outlineLevel="0" collapsed="false">
      <c r="A1268" s="17"/>
      <c r="B1268" s="13"/>
      <c r="C1268" s="20" t="str">
        <f aca="false">IF($B1268="","",IFERROR(INDEX(고객사!$B$5:$B$104,MATCH($B1268,고객사!$A$5:$A$104,0)),"코드 확인"))</f>
        <v/>
      </c>
      <c r="D1268" s="15"/>
      <c r="E1268" s="15"/>
      <c r="F1268" s="16"/>
      <c r="G1268" s="16"/>
      <c r="H1268" s="21" t="str">
        <f aca="false">IF(OR($B1268="",F1268=0),"",G1268/F1268)</f>
        <v/>
      </c>
      <c r="I1268" s="22" t="str">
        <f aca="false">IF($B1268="","",MAX(F1268-G1268,0))</f>
        <v/>
      </c>
      <c r="J1268" s="23" t="str">
        <f aca="false">IF($B1268="","",IFERROR(INDEX(고객사!$G$5:$G$104,MATCH($B1268,고객사!$A$5:$A$104,0)),""))</f>
        <v/>
      </c>
      <c r="K1268" s="16"/>
      <c r="L1268" s="22" t="str">
        <f aca="false">IF($B1268="","",K1268*IFERROR(INDEX(고객사!$L$5:$L$104,MATCH($B1268,고객사!$A$5:$A$104,0)),0))</f>
        <v/>
      </c>
      <c r="M1268" s="23" t="str">
        <f aca="false">IF($B1268="","",IF(AND(J1268="N",G1268&gt;0,K1268=0,IFERROR(INDEX(고객사!$H$5:$H$104,MATCH($B1268,고객사!$A$5:$A$104,0)),"")="자사 차량 운행"),"차량 미배정",""))</f>
        <v/>
      </c>
      <c r="N1268" s="22" t="str">
        <f aca="false">IF($B1268="","",IFERROR(INDEX(고객사!$J$5:$J$104,MATCH($B1268,고객사!$A$5:$A$104,0)),0))</f>
        <v/>
      </c>
      <c r="O1268" s="22" t="str">
        <f aca="false">IF($B1268="","",G1268*N1268)</f>
        <v/>
      </c>
      <c r="P1268" s="22" t="str">
        <f aca="false">IF($B1268="","",IFERROR(INDEX(고객사!$K$5:$K$104,MATCH($B1268,고객사!$A$5:$A$104,0)),0))</f>
        <v/>
      </c>
      <c r="Q1268" s="22" t="str">
        <f aca="false">IF($B1268="","",G1268*P1268)</f>
        <v/>
      </c>
      <c r="R1268" s="22" t="str">
        <f aca="false">IF($B1268="","",O1268-Q1268-L1268)</f>
        <v/>
      </c>
      <c r="S1268" s="21" t="str">
        <f aca="false">IF(OR($B1268="",N(O1268)=0),"",R1268/O1268)</f>
        <v/>
      </c>
      <c r="T1268" s="14"/>
      <c r="U1268" s="19" t="n">
        <f aca="false">IF(OR($B1268="",$A1268=""),0,IF(COUNTIFS($A$5:$A1268,$A1268,$B$5:$B1268,$B1268)=1,1,0))</f>
        <v>0</v>
      </c>
    </row>
    <row r="1269" customFormat="false" ht="15" hidden="false" customHeight="false" outlineLevel="0" collapsed="false">
      <c r="A1269" s="17"/>
      <c r="B1269" s="13"/>
      <c r="C1269" s="20" t="str">
        <f aca="false">IF($B1269="","",IFERROR(INDEX(고객사!$B$5:$B$104,MATCH($B1269,고객사!$A$5:$A$104,0)),"코드 확인"))</f>
        <v/>
      </c>
      <c r="D1269" s="15"/>
      <c r="E1269" s="15"/>
      <c r="F1269" s="16"/>
      <c r="G1269" s="16"/>
      <c r="H1269" s="21" t="str">
        <f aca="false">IF(OR($B1269="",F1269=0),"",G1269/F1269)</f>
        <v/>
      </c>
      <c r="I1269" s="22" t="str">
        <f aca="false">IF($B1269="","",MAX(F1269-G1269,0))</f>
        <v/>
      </c>
      <c r="J1269" s="23" t="str">
        <f aca="false">IF($B1269="","",IFERROR(INDEX(고객사!$G$5:$G$104,MATCH($B1269,고객사!$A$5:$A$104,0)),""))</f>
        <v/>
      </c>
      <c r="K1269" s="16"/>
      <c r="L1269" s="22" t="str">
        <f aca="false">IF($B1269="","",K1269*IFERROR(INDEX(고객사!$L$5:$L$104,MATCH($B1269,고객사!$A$5:$A$104,0)),0))</f>
        <v/>
      </c>
      <c r="M1269" s="23" t="str">
        <f aca="false">IF($B1269="","",IF(AND(J1269="N",G1269&gt;0,K1269=0,IFERROR(INDEX(고객사!$H$5:$H$104,MATCH($B1269,고객사!$A$5:$A$104,0)),"")="자사 차량 운행"),"차량 미배정",""))</f>
        <v/>
      </c>
      <c r="N1269" s="22" t="str">
        <f aca="false">IF($B1269="","",IFERROR(INDEX(고객사!$J$5:$J$104,MATCH($B1269,고객사!$A$5:$A$104,0)),0))</f>
        <v/>
      </c>
      <c r="O1269" s="22" t="str">
        <f aca="false">IF($B1269="","",G1269*N1269)</f>
        <v/>
      </c>
      <c r="P1269" s="22" t="str">
        <f aca="false">IF($B1269="","",IFERROR(INDEX(고객사!$K$5:$K$104,MATCH($B1269,고객사!$A$5:$A$104,0)),0))</f>
        <v/>
      </c>
      <c r="Q1269" s="22" t="str">
        <f aca="false">IF($B1269="","",G1269*P1269)</f>
        <v/>
      </c>
      <c r="R1269" s="22" t="str">
        <f aca="false">IF($B1269="","",O1269-Q1269-L1269)</f>
        <v/>
      </c>
      <c r="S1269" s="21" t="str">
        <f aca="false">IF(OR($B1269="",N(O1269)=0),"",R1269/O1269)</f>
        <v/>
      </c>
      <c r="T1269" s="14"/>
      <c r="U1269" s="19" t="n">
        <f aca="false">IF(OR($B1269="",$A1269=""),0,IF(COUNTIFS($A$5:$A1269,$A1269,$B$5:$B1269,$B1269)=1,1,0))</f>
        <v>0</v>
      </c>
    </row>
    <row r="1270" customFormat="false" ht="15" hidden="false" customHeight="false" outlineLevel="0" collapsed="false">
      <c r="A1270" s="17"/>
      <c r="B1270" s="13"/>
      <c r="C1270" s="20" t="str">
        <f aca="false">IF($B1270="","",IFERROR(INDEX(고객사!$B$5:$B$104,MATCH($B1270,고객사!$A$5:$A$104,0)),"코드 확인"))</f>
        <v/>
      </c>
      <c r="D1270" s="15"/>
      <c r="E1270" s="15"/>
      <c r="F1270" s="16"/>
      <c r="G1270" s="16"/>
      <c r="H1270" s="21" t="str">
        <f aca="false">IF(OR($B1270="",F1270=0),"",G1270/F1270)</f>
        <v/>
      </c>
      <c r="I1270" s="22" t="str">
        <f aca="false">IF($B1270="","",MAX(F1270-G1270,0))</f>
        <v/>
      </c>
      <c r="J1270" s="23" t="str">
        <f aca="false">IF($B1270="","",IFERROR(INDEX(고객사!$G$5:$G$104,MATCH($B1270,고객사!$A$5:$A$104,0)),""))</f>
        <v/>
      </c>
      <c r="K1270" s="16"/>
      <c r="L1270" s="22" t="str">
        <f aca="false">IF($B1270="","",K1270*IFERROR(INDEX(고객사!$L$5:$L$104,MATCH($B1270,고객사!$A$5:$A$104,0)),0))</f>
        <v/>
      </c>
      <c r="M1270" s="23" t="str">
        <f aca="false">IF($B1270="","",IF(AND(J1270="N",G1270&gt;0,K1270=0,IFERROR(INDEX(고객사!$H$5:$H$104,MATCH($B1270,고객사!$A$5:$A$104,0)),"")="자사 차량 운행"),"차량 미배정",""))</f>
        <v/>
      </c>
      <c r="N1270" s="22" t="str">
        <f aca="false">IF($B1270="","",IFERROR(INDEX(고객사!$J$5:$J$104,MATCH($B1270,고객사!$A$5:$A$104,0)),0))</f>
        <v/>
      </c>
      <c r="O1270" s="22" t="str">
        <f aca="false">IF($B1270="","",G1270*N1270)</f>
        <v/>
      </c>
      <c r="P1270" s="22" t="str">
        <f aca="false">IF($B1270="","",IFERROR(INDEX(고객사!$K$5:$K$104,MATCH($B1270,고객사!$A$5:$A$104,0)),0))</f>
        <v/>
      </c>
      <c r="Q1270" s="22" t="str">
        <f aca="false">IF($B1270="","",G1270*P1270)</f>
        <v/>
      </c>
      <c r="R1270" s="22" t="str">
        <f aca="false">IF($B1270="","",O1270-Q1270-L1270)</f>
        <v/>
      </c>
      <c r="S1270" s="21" t="str">
        <f aca="false">IF(OR($B1270="",N(O1270)=0),"",R1270/O1270)</f>
        <v/>
      </c>
      <c r="T1270" s="14"/>
      <c r="U1270" s="19" t="n">
        <f aca="false">IF(OR($B1270="",$A1270=""),0,IF(COUNTIFS($A$5:$A1270,$A1270,$B$5:$B1270,$B1270)=1,1,0))</f>
        <v>0</v>
      </c>
    </row>
    <row r="1271" customFormat="false" ht="15" hidden="false" customHeight="false" outlineLevel="0" collapsed="false">
      <c r="A1271" s="17"/>
      <c r="B1271" s="13"/>
      <c r="C1271" s="20" t="str">
        <f aca="false">IF($B1271="","",IFERROR(INDEX(고객사!$B$5:$B$104,MATCH($B1271,고객사!$A$5:$A$104,0)),"코드 확인"))</f>
        <v/>
      </c>
      <c r="D1271" s="15"/>
      <c r="E1271" s="15"/>
      <c r="F1271" s="16"/>
      <c r="G1271" s="16"/>
      <c r="H1271" s="21" t="str">
        <f aca="false">IF(OR($B1271="",F1271=0),"",G1271/F1271)</f>
        <v/>
      </c>
      <c r="I1271" s="22" t="str">
        <f aca="false">IF($B1271="","",MAX(F1271-G1271,0))</f>
        <v/>
      </c>
      <c r="J1271" s="23" t="str">
        <f aca="false">IF($B1271="","",IFERROR(INDEX(고객사!$G$5:$G$104,MATCH($B1271,고객사!$A$5:$A$104,0)),""))</f>
        <v/>
      </c>
      <c r="K1271" s="16"/>
      <c r="L1271" s="22" t="str">
        <f aca="false">IF($B1271="","",K1271*IFERROR(INDEX(고객사!$L$5:$L$104,MATCH($B1271,고객사!$A$5:$A$104,0)),0))</f>
        <v/>
      </c>
      <c r="M1271" s="23" t="str">
        <f aca="false">IF($B1271="","",IF(AND(J1271="N",G1271&gt;0,K1271=0,IFERROR(INDEX(고객사!$H$5:$H$104,MATCH($B1271,고객사!$A$5:$A$104,0)),"")="자사 차량 운행"),"차량 미배정",""))</f>
        <v/>
      </c>
      <c r="N1271" s="22" t="str">
        <f aca="false">IF($B1271="","",IFERROR(INDEX(고객사!$J$5:$J$104,MATCH($B1271,고객사!$A$5:$A$104,0)),0))</f>
        <v/>
      </c>
      <c r="O1271" s="22" t="str">
        <f aca="false">IF($B1271="","",G1271*N1271)</f>
        <v/>
      </c>
      <c r="P1271" s="22" t="str">
        <f aca="false">IF($B1271="","",IFERROR(INDEX(고객사!$K$5:$K$104,MATCH($B1271,고객사!$A$5:$A$104,0)),0))</f>
        <v/>
      </c>
      <c r="Q1271" s="22" t="str">
        <f aca="false">IF($B1271="","",G1271*P1271)</f>
        <v/>
      </c>
      <c r="R1271" s="22" t="str">
        <f aca="false">IF($B1271="","",O1271-Q1271-L1271)</f>
        <v/>
      </c>
      <c r="S1271" s="21" t="str">
        <f aca="false">IF(OR($B1271="",N(O1271)=0),"",R1271/O1271)</f>
        <v/>
      </c>
      <c r="T1271" s="14"/>
      <c r="U1271" s="19" t="n">
        <f aca="false">IF(OR($B1271="",$A1271=""),0,IF(COUNTIFS($A$5:$A1271,$A1271,$B$5:$B1271,$B1271)=1,1,0))</f>
        <v>0</v>
      </c>
    </row>
    <row r="1272" customFormat="false" ht="15" hidden="false" customHeight="false" outlineLevel="0" collapsed="false">
      <c r="A1272" s="17"/>
      <c r="B1272" s="13"/>
      <c r="C1272" s="20" t="str">
        <f aca="false">IF($B1272="","",IFERROR(INDEX(고객사!$B$5:$B$104,MATCH($B1272,고객사!$A$5:$A$104,0)),"코드 확인"))</f>
        <v/>
      </c>
      <c r="D1272" s="15"/>
      <c r="E1272" s="15"/>
      <c r="F1272" s="16"/>
      <c r="G1272" s="16"/>
      <c r="H1272" s="21" t="str">
        <f aca="false">IF(OR($B1272="",F1272=0),"",G1272/F1272)</f>
        <v/>
      </c>
      <c r="I1272" s="22" t="str">
        <f aca="false">IF($B1272="","",MAX(F1272-G1272,0))</f>
        <v/>
      </c>
      <c r="J1272" s="23" t="str">
        <f aca="false">IF($B1272="","",IFERROR(INDEX(고객사!$G$5:$G$104,MATCH($B1272,고객사!$A$5:$A$104,0)),""))</f>
        <v/>
      </c>
      <c r="K1272" s="16"/>
      <c r="L1272" s="22" t="str">
        <f aca="false">IF($B1272="","",K1272*IFERROR(INDEX(고객사!$L$5:$L$104,MATCH($B1272,고객사!$A$5:$A$104,0)),0))</f>
        <v/>
      </c>
      <c r="M1272" s="23" t="str">
        <f aca="false">IF($B1272="","",IF(AND(J1272="N",G1272&gt;0,K1272=0,IFERROR(INDEX(고객사!$H$5:$H$104,MATCH($B1272,고객사!$A$5:$A$104,0)),"")="자사 차량 운행"),"차량 미배정",""))</f>
        <v/>
      </c>
      <c r="N1272" s="22" t="str">
        <f aca="false">IF($B1272="","",IFERROR(INDEX(고객사!$J$5:$J$104,MATCH($B1272,고객사!$A$5:$A$104,0)),0))</f>
        <v/>
      </c>
      <c r="O1272" s="22" t="str">
        <f aca="false">IF($B1272="","",G1272*N1272)</f>
        <v/>
      </c>
      <c r="P1272" s="22" t="str">
        <f aca="false">IF($B1272="","",IFERROR(INDEX(고객사!$K$5:$K$104,MATCH($B1272,고객사!$A$5:$A$104,0)),0))</f>
        <v/>
      </c>
      <c r="Q1272" s="22" t="str">
        <f aca="false">IF($B1272="","",G1272*P1272)</f>
        <v/>
      </c>
      <c r="R1272" s="22" t="str">
        <f aca="false">IF($B1272="","",O1272-Q1272-L1272)</f>
        <v/>
      </c>
      <c r="S1272" s="21" t="str">
        <f aca="false">IF(OR($B1272="",N(O1272)=0),"",R1272/O1272)</f>
        <v/>
      </c>
      <c r="T1272" s="14"/>
      <c r="U1272" s="19" t="n">
        <f aca="false">IF(OR($B1272="",$A1272=""),0,IF(COUNTIFS($A$5:$A1272,$A1272,$B$5:$B1272,$B1272)=1,1,0))</f>
        <v>0</v>
      </c>
    </row>
    <row r="1273" customFormat="false" ht="15" hidden="false" customHeight="false" outlineLevel="0" collapsed="false">
      <c r="A1273" s="17"/>
      <c r="B1273" s="13"/>
      <c r="C1273" s="20" t="str">
        <f aca="false">IF($B1273="","",IFERROR(INDEX(고객사!$B$5:$B$104,MATCH($B1273,고객사!$A$5:$A$104,0)),"코드 확인"))</f>
        <v/>
      </c>
      <c r="D1273" s="15"/>
      <c r="E1273" s="15"/>
      <c r="F1273" s="16"/>
      <c r="G1273" s="16"/>
      <c r="H1273" s="21" t="str">
        <f aca="false">IF(OR($B1273="",F1273=0),"",G1273/F1273)</f>
        <v/>
      </c>
      <c r="I1273" s="22" t="str">
        <f aca="false">IF($B1273="","",MAX(F1273-G1273,0))</f>
        <v/>
      </c>
      <c r="J1273" s="23" t="str">
        <f aca="false">IF($B1273="","",IFERROR(INDEX(고객사!$G$5:$G$104,MATCH($B1273,고객사!$A$5:$A$104,0)),""))</f>
        <v/>
      </c>
      <c r="K1273" s="16"/>
      <c r="L1273" s="22" t="str">
        <f aca="false">IF($B1273="","",K1273*IFERROR(INDEX(고객사!$L$5:$L$104,MATCH($B1273,고객사!$A$5:$A$104,0)),0))</f>
        <v/>
      </c>
      <c r="M1273" s="23" t="str">
        <f aca="false">IF($B1273="","",IF(AND(J1273="N",G1273&gt;0,K1273=0,IFERROR(INDEX(고객사!$H$5:$H$104,MATCH($B1273,고객사!$A$5:$A$104,0)),"")="자사 차량 운행"),"차량 미배정",""))</f>
        <v/>
      </c>
      <c r="N1273" s="22" t="str">
        <f aca="false">IF($B1273="","",IFERROR(INDEX(고객사!$J$5:$J$104,MATCH($B1273,고객사!$A$5:$A$104,0)),0))</f>
        <v/>
      </c>
      <c r="O1273" s="22" t="str">
        <f aca="false">IF($B1273="","",G1273*N1273)</f>
        <v/>
      </c>
      <c r="P1273" s="22" t="str">
        <f aca="false">IF($B1273="","",IFERROR(INDEX(고객사!$K$5:$K$104,MATCH($B1273,고객사!$A$5:$A$104,0)),0))</f>
        <v/>
      </c>
      <c r="Q1273" s="22" t="str">
        <f aca="false">IF($B1273="","",G1273*P1273)</f>
        <v/>
      </c>
      <c r="R1273" s="22" t="str">
        <f aca="false">IF($B1273="","",O1273-Q1273-L1273)</f>
        <v/>
      </c>
      <c r="S1273" s="21" t="str">
        <f aca="false">IF(OR($B1273="",N(O1273)=0),"",R1273/O1273)</f>
        <v/>
      </c>
      <c r="T1273" s="14"/>
      <c r="U1273" s="19" t="n">
        <f aca="false">IF(OR($B1273="",$A1273=""),0,IF(COUNTIFS($A$5:$A1273,$A1273,$B$5:$B1273,$B1273)=1,1,0))</f>
        <v>0</v>
      </c>
    </row>
    <row r="1274" customFormat="false" ht="15" hidden="false" customHeight="false" outlineLevel="0" collapsed="false">
      <c r="A1274" s="17"/>
      <c r="B1274" s="13"/>
      <c r="C1274" s="20" t="str">
        <f aca="false">IF($B1274="","",IFERROR(INDEX(고객사!$B$5:$B$104,MATCH($B1274,고객사!$A$5:$A$104,0)),"코드 확인"))</f>
        <v/>
      </c>
      <c r="D1274" s="15"/>
      <c r="E1274" s="15"/>
      <c r="F1274" s="16"/>
      <c r="G1274" s="16"/>
      <c r="H1274" s="21" t="str">
        <f aca="false">IF(OR($B1274="",F1274=0),"",G1274/F1274)</f>
        <v/>
      </c>
      <c r="I1274" s="22" t="str">
        <f aca="false">IF($B1274="","",MAX(F1274-G1274,0))</f>
        <v/>
      </c>
      <c r="J1274" s="23" t="str">
        <f aca="false">IF($B1274="","",IFERROR(INDEX(고객사!$G$5:$G$104,MATCH($B1274,고객사!$A$5:$A$104,0)),""))</f>
        <v/>
      </c>
      <c r="K1274" s="16"/>
      <c r="L1274" s="22" t="str">
        <f aca="false">IF($B1274="","",K1274*IFERROR(INDEX(고객사!$L$5:$L$104,MATCH($B1274,고객사!$A$5:$A$104,0)),0))</f>
        <v/>
      </c>
      <c r="M1274" s="23" t="str">
        <f aca="false">IF($B1274="","",IF(AND(J1274="N",G1274&gt;0,K1274=0,IFERROR(INDEX(고객사!$H$5:$H$104,MATCH($B1274,고객사!$A$5:$A$104,0)),"")="자사 차량 운행"),"차량 미배정",""))</f>
        <v/>
      </c>
      <c r="N1274" s="22" t="str">
        <f aca="false">IF($B1274="","",IFERROR(INDEX(고객사!$J$5:$J$104,MATCH($B1274,고객사!$A$5:$A$104,0)),0))</f>
        <v/>
      </c>
      <c r="O1274" s="22" t="str">
        <f aca="false">IF($B1274="","",G1274*N1274)</f>
        <v/>
      </c>
      <c r="P1274" s="22" t="str">
        <f aca="false">IF($B1274="","",IFERROR(INDEX(고객사!$K$5:$K$104,MATCH($B1274,고객사!$A$5:$A$104,0)),0))</f>
        <v/>
      </c>
      <c r="Q1274" s="22" t="str">
        <f aca="false">IF($B1274="","",G1274*P1274)</f>
        <v/>
      </c>
      <c r="R1274" s="22" t="str">
        <f aca="false">IF($B1274="","",O1274-Q1274-L1274)</f>
        <v/>
      </c>
      <c r="S1274" s="21" t="str">
        <f aca="false">IF(OR($B1274="",N(O1274)=0),"",R1274/O1274)</f>
        <v/>
      </c>
      <c r="T1274" s="14"/>
      <c r="U1274" s="19" t="n">
        <f aca="false">IF(OR($B1274="",$A1274=""),0,IF(COUNTIFS($A$5:$A1274,$A1274,$B$5:$B1274,$B1274)=1,1,0))</f>
        <v>0</v>
      </c>
    </row>
    <row r="1275" customFormat="false" ht="15" hidden="false" customHeight="false" outlineLevel="0" collapsed="false">
      <c r="A1275" s="17"/>
      <c r="B1275" s="13"/>
      <c r="C1275" s="20" t="str">
        <f aca="false">IF($B1275="","",IFERROR(INDEX(고객사!$B$5:$B$104,MATCH($B1275,고객사!$A$5:$A$104,0)),"코드 확인"))</f>
        <v/>
      </c>
      <c r="D1275" s="15"/>
      <c r="E1275" s="15"/>
      <c r="F1275" s="16"/>
      <c r="G1275" s="16"/>
      <c r="H1275" s="21" t="str">
        <f aca="false">IF(OR($B1275="",F1275=0),"",G1275/F1275)</f>
        <v/>
      </c>
      <c r="I1275" s="22" t="str">
        <f aca="false">IF($B1275="","",MAX(F1275-G1275,0))</f>
        <v/>
      </c>
      <c r="J1275" s="23" t="str">
        <f aca="false">IF($B1275="","",IFERROR(INDEX(고객사!$G$5:$G$104,MATCH($B1275,고객사!$A$5:$A$104,0)),""))</f>
        <v/>
      </c>
      <c r="K1275" s="16"/>
      <c r="L1275" s="22" t="str">
        <f aca="false">IF($B1275="","",K1275*IFERROR(INDEX(고객사!$L$5:$L$104,MATCH($B1275,고객사!$A$5:$A$104,0)),0))</f>
        <v/>
      </c>
      <c r="M1275" s="23" t="str">
        <f aca="false">IF($B1275="","",IF(AND(J1275="N",G1275&gt;0,K1275=0,IFERROR(INDEX(고객사!$H$5:$H$104,MATCH($B1275,고객사!$A$5:$A$104,0)),"")="자사 차량 운행"),"차량 미배정",""))</f>
        <v/>
      </c>
      <c r="N1275" s="22" t="str">
        <f aca="false">IF($B1275="","",IFERROR(INDEX(고객사!$J$5:$J$104,MATCH($B1275,고객사!$A$5:$A$104,0)),0))</f>
        <v/>
      </c>
      <c r="O1275" s="22" t="str">
        <f aca="false">IF($B1275="","",G1275*N1275)</f>
        <v/>
      </c>
      <c r="P1275" s="22" t="str">
        <f aca="false">IF($B1275="","",IFERROR(INDEX(고객사!$K$5:$K$104,MATCH($B1275,고객사!$A$5:$A$104,0)),0))</f>
        <v/>
      </c>
      <c r="Q1275" s="22" t="str">
        <f aca="false">IF($B1275="","",G1275*P1275)</f>
        <v/>
      </c>
      <c r="R1275" s="22" t="str">
        <f aca="false">IF($B1275="","",O1275-Q1275-L1275)</f>
        <v/>
      </c>
      <c r="S1275" s="21" t="str">
        <f aca="false">IF(OR($B1275="",N(O1275)=0),"",R1275/O1275)</f>
        <v/>
      </c>
      <c r="T1275" s="14"/>
      <c r="U1275" s="19" t="n">
        <f aca="false">IF(OR($B1275="",$A1275=""),0,IF(COUNTIFS($A$5:$A1275,$A1275,$B$5:$B1275,$B1275)=1,1,0))</f>
        <v>0</v>
      </c>
    </row>
    <row r="1276" customFormat="false" ht="15" hidden="false" customHeight="false" outlineLevel="0" collapsed="false">
      <c r="A1276" s="17"/>
      <c r="B1276" s="13"/>
      <c r="C1276" s="20" t="str">
        <f aca="false">IF($B1276="","",IFERROR(INDEX(고객사!$B$5:$B$104,MATCH($B1276,고객사!$A$5:$A$104,0)),"코드 확인"))</f>
        <v/>
      </c>
      <c r="D1276" s="15"/>
      <c r="E1276" s="15"/>
      <c r="F1276" s="16"/>
      <c r="G1276" s="16"/>
      <c r="H1276" s="21" t="str">
        <f aca="false">IF(OR($B1276="",F1276=0),"",G1276/F1276)</f>
        <v/>
      </c>
      <c r="I1276" s="22" t="str">
        <f aca="false">IF($B1276="","",MAX(F1276-G1276,0))</f>
        <v/>
      </c>
      <c r="J1276" s="23" t="str">
        <f aca="false">IF($B1276="","",IFERROR(INDEX(고객사!$G$5:$G$104,MATCH($B1276,고객사!$A$5:$A$104,0)),""))</f>
        <v/>
      </c>
      <c r="K1276" s="16"/>
      <c r="L1276" s="22" t="str">
        <f aca="false">IF($B1276="","",K1276*IFERROR(INDEX(고객사!$L$5:$L$104,MATCH($B1276,고객사!$A$5:$A$104,0)),0))</f>
        <v/>
      </c>
      <c r="M1276" s="23" t="str">
        <f aca="false">IF($B1276="","",IF(AND(J1276="N",G1276&gt;0,K1276=0,IFERROR(INDEX(고객사!$H$5:$H$104,MATCH($B1276,고객사!$A$5:$A$104,0)),"")="자사 차량 운행"),"차량 미배정",""))</f>
        <v/>
      </c>
      <c r="N1276" s="22" t="str">
        <f aca="false">IF($B1276="","",IFERROR(INDEX(고객사!$J$5:$J$104,MATCH($B1276,고객사!$A$5:$A$104,0)),0))</f>
        <v/>
      </c>
      <c r="O1276" s="22" t="str">
        <f aca="false">IF($B1276="","",G1276*N1276)</f>
        <v/>
      </c>
      <c r="P1276" s="22" t="str">
        <f aca="false">IF($B1276="","",IFERROR(INDEX(고객사!$K$5:$K$104,MATCH($B1276,고객사!$A$5:$A$104,0)),0))</f>
        <v/>
      </c>
      <c r="Q1276" s="22" t="str">
        <f aca="false">IF($B1276="","",G1276*P1276)</f>
        <v/>
      </c>
      <c r="R1276" s="22" t="str">
        <f aca="false">IF($B1276="","",O1276-Q1276-L1276)</f>
        <v/>
      </c>
      <c r="S1276" s="21" t="str">
        <f aca="false">IF(OR($B1276="",N(O1276)=0),"",R1276/O1276)</f>
        <v/>
      </c>
      <c r="T1276" s="14"/>
      <c r="U1276" s="19" t="n">
        <f aca="false">IF(OR($B1276="",$A1276=""),0,IF(COUNTIFS($A$5:$A1276,$A1276,$B$5:$B1276,$B1276)=1,1,0))</f>
        <v>0</v>
      </c>
    </row>
    <row r="1277" customFormat="false" ht="15" hidden="false" customHeight="false" outlineLevel="0" collapsed="false">
      <c r="A1277" s="17"/>
      <c r="B1277" s="13"/>
      <c r="C1277" s="20" t="str">
        <f aca="false">IF($B1277="","",IFERROR(INDEX(고객사!$B$5:$B$104,MATCH($B1277,고객사!$A$5:$A$104,0)),"코드 확인"))</f>
        <v/>
      </c>
      <c r="D1277" s="15"/>
      <c r="E1277" s="15"/>
      <c r="F1277" s="16"/>
      <c r="G1277" s="16"/>
      <c r="H1277" s="21" t="str">
        <f aca="false">IF(OR($B1277="",F1277=0),"",G1277/F1277)</f>
        <v/>
      </c>
      <c r="I1277" s="22" t="str">
        <f aca="false">IF($B1277="","",MAX(F1277-G1277,0))</f>
        <v/>
      </c>
      <c r="J1277" s="23" t="str">
        <f aca="false">IF($B1277="","",IFERROR(INDEX(고객사!$G$5:$G$104,MATCH($B1277,고객사!$A$5:$A$104,0)),""))</f>
        <v/>
      </c>
      <c r="K1277" s="16"/>
      <c r="L1277" s="22" t="str">
        <f aca="false">IF($B1277="","",K1277*IFERROR(INDEX(고객사!$L$5:$L$104,MATCH($B1277,고객사!$A$5:$A$104,0)),0))</f>
        <v/>
      </c>
      <c r="M1277" s="23" t="str">
        <f aca="false">IF($B1277="","",IF(AND(J1277="N",G1277&gt;0,K1277=0,IFERROR(INDEX(고객사!$H$5:$H$104,MATCH($B1277,고객사!$A$5:$A$104,0)),"")="자사 차량 운행"),"차량 미배정",""))</f>
        <v/>
      </c>
      <c r="N1277" s="22" t="str">
        <f aca="false">IF($B1277="","",IFERROR(INDEX(고객사!$J$5:$J$104,MATCH($B1277,고객사!$A$5:$A$104,0)),0))</f>
        <v/>
      </c>
      <c r="O1277" s="22" t="str">
        <f aca="false">IF($B1277="","",G1277*N1277)</f>
        <v/>
      </c>
      <c r="P1277" s="22" t="str">
        <f aca="false">IF($B1277="","",IFERROR(INDEX(고객사!$K$5:$K$104,MATCH($B1277,고객사!$A$5:$A$104,0)),0))</f>
        <v/>
      </c>
      <c r="Q1277" s="22" t="str">
        <f aca="false">IF($B1277="","",G1277*P1277)</f>
        <v/>
      </c>
      <c r="R1277" s="22" t="str">
        <f aca="false">IF($B1277="","",O1277-Q1277-L1277)</f>
        <v/>
      </c>
      <c r="S1277" s="21" t="str">
        <f aca="false">IF(OR($B1277="",N(O1277)=0),"",R1277/O1277)</f>
        <v/>
      </c>
      <c r="T1277" s="14"/>
      <c r="U1277" s="19" t="n">
        <f aca="false">IF(OR($B1277="",$A1277=""),0,IF(COUNTIFS($A$5:$A1277,$A1277,$B$5:$B1277,$B1277)=1,1,0))</f>
        <v>0</v>
      </c>
    </row>
    <row r="1278" customFormat="false" ht="15" hidden="false" customHeight="false" outlineLevel="0" collapsed="false">
      <c r="A1278" s="17"/>
      <c r="B1278" s="13"/>
      <c r="C1278" s="20" t="str">
        <f aca="false">IF($B1278="","",IFERROR(INDEX(고객사!$B$5:$B$104,MATCH($B1278,고객사!$A$5:$A$104,0)),"코드 확인"))</f>
        <v/>
      </c>
      <c r="D1278" s="15"/>
      <c r="E1278" s="15"/>
      <c r="F1278" s="16"/>
      <c r="G1278" s="16"/>
      <c r="H1278" s="21" t="str">
        <f aca="false">IF(OR($B1278="",F1278=0),"",G1278/F1278)</f>
        <v/>
      </c>
      <c r="I1278" s="22" t="str">
        <f aca="false">IF($B1278="","",MAX(F1278-G1278,0))</f>
        <v/>
      </c>
      <c r="J1278" s="23" t="str">
        <f aca="false">IF($B1278="","",IFERROR(INDEX(고객사!$G$5:$G$104,MATCH($B1278,고객사!$A$5:$A$104,0)),""))</f>
        <v/>
      </c>
      <c r="K1278" s="16"/>
      <c r="L1278" s="22" t="str">
        <f aca="false">IF($B1278="","",K1278*IFERROR(INDEX(고객사!$L$5:$L$104,MATCH($B1278,고객사!$A$5:$A$104,0)),0))</f>
        <v/>
      </c>
      <c r="M1278" s="23" t="str">
        <f aca="false">IF($B1278="","",IF(AND(J1278="N",G1278&gt;0,K1278=0,IFERROR(INDEX(고객사!$H$5:$H$104,MATCH($B1278,고객사!$A$5:$A$104,0)),"")="자사 차량 운행"),"차량 미배정",""))</f>
        <v/>
      </c>
      <c r="N1278" s="22" t="str">
        <f aca="false">IF($B1278="","",IFERROR(INDEX(고객사!$J$5:$J$104,MATCH($B1278,고객사!$A$5:$A$104,0)),0))</f>
        <v/>
      </c>
      <c r="O1278" s="22" t="str">
        <f aca="false">IF($B1278="","",G1278*N1278)</f>
        <v/>
      </c>
      <c r="P1278" s="22" t="str">
        <f aca="false">IF($B1278="","",IFERROR(INDEX(고객사!$K$5:$K$104,MATCH($B1278,고객사!$A$5:$A$104,0)),0))</f>
        <v/>
      </c>
      <c r="Q1278" s="22" t="str">
        <f aca="false">IF($B1278="","",G1278*P1278)</f>
        <v/>
      </c>
      <c r="R1278" s="22" t="str">
        <f aca="false">IF($B1278="","",O1278-Q1278-L1278)</f>
        <v/>
      </c>
      <c r="S1278" s="21" t="str">
        <f aca="false">IF(OR($B1278="",N(O1278)=0),"",R1278/O1278)</f>
        <v/>
      </c>
      <c r="T1278" s="14"/>
      <c r="U1278" s="19" t="n">
        <f aca="false">IF(OR($B1278="",$A1278=""),0,IF(COUNTIFS($A$5:$A1278,$A1278,$B$5:$B1278,$B1278)=1,1,0))</f>
        <v>0</v>
      </c>
    </row>
    <row r="1279" customFormat="false" ht="15" hidden="false" customHeight="false" outlineLevel="0" collapsed="false">
      <c r="A1279" s="17"/>
      <c r="B1279" s="13"/>
      <c r="C1279" s="20" t="str">
        <f aca="false">IF($B1279="","",IFERROR(INDEX(고객사!$B$5:$B$104,MATCH($B1279,고객사!$A$5:$A$104,0)),"코드 확인"))</f>
        <v/>
      </c>
      <c r="D1279" s="15"/>
      <c r="E1279" s="15"/>
      <c r="F1279" s="16"/>
      <c r="G1279" s="16"/>
      <c r="H1279" s="21" t="str">
        <f aca="false">IF(OR($B1279="",F1279=0),"",G1279/F1279)</f>
        <v/>
      </c>
      <c r="I1279" s="22" t="str">
        <f aca="false">IF($B1279="","",MAX(F1279-G1279,0))</f>
        <v/>
      </c>
      <c r="J1279" s="23" t="str">
        <f aca="false">IF($B1279="","",IFERROR(INDEX(고객사!$G$5:$G$104,MATCH($B1279,고객사!$A$5:$A$104,0)),""))</f>
        <v/>
      </c>
      <c r="K1279" s="16"/>
      <c r="L1279" s="22" t="str">
        <f aca="false">IF($B1279="","",K1279*IFERROR(INDEX(고객사!$L$5:$L$104,MATCH($B1279,고객사!$A$5:$A$104,0)),0))</f>
        <v/>
      </c>
      <c r="M1279" s="23" t="str">
        <f aca="false">IF($B1279="","",IF(AND(J1279="N",G1279&gt;0,K1279=0,IFERROR(INDEX(고객사!$H$5:$H$104,MATCH($B1279,고객사!$A$5:$A$104,0)),"")="자사 차량 운행"),"차량 미배정",""))</f>
        <v/>
      </c>
      <c r="N1279" s="22" t="str">
        <f aca="false">IF($B1279="","",IFERROR(INDEX(고객사!$J$5:$J$104,MATCH($B1279,고객사!$A$5:$A$104,0)),0))</f>
        <v/>
      </c>
      <c r="O1279" s="22" t="str">
        <f aca="false">IF($B1279="","",G1279*N1279)</f>
        <v/>
      </c>
      <c r="P1279" s="22" t="str">
        <f aca="false">IF($B1279="","",IFERROR(INDEX(고객사!$K$5:$K$104,MATCH($B1279,고객사!$A$5:$A$104,0)),0))</f>
        <v/>
      </c>
      <c r="Q1279" s="22" t="str">
        <f aca="false">IF($B1279="","",G1279*P1279)</f>
        <v/>
      </c>
      <c r="R1279" s="22" t="str">
        <f aca="false">IF($B1279="","",O1279-Q1279-L1279)</f>
        <v/>
      </c>
      <c r="S1279" s="21" t="str">
        <f aca="false">IF(OR($B1279="",N(O1279)=0),"",R1279/O1279)</f>
        <v/>
      </c>
      <c r="T1279" s="14"/>
      <c r="U1279" s="19" t="n">
        <f aca="false">IF(OR($B1279="",$A1279=""),0,IF(COUNTIFS($A$5:$A1279,$A1279,$B$5:$B1279,$B1279)=1,1,0))</f>
        <v>0</v>
      </c>
    </row>
    <row r="1280" customFormat="false" ht="15" hidden="false" customHeight="false" outlineLevel="0" collapsed="false">
      <c r="A1280" s="17"/>
      <c r="B1280" s="13"/>
      <c r="C1280" s="20" t="str">
        <f aca="false">IF($B1280="","",IFERROR(INDEX(고객사!$B$5:$B$104,MATCH($B1280,고객사!$A$5:$A$104,0)),"코드 확인"))</f>
        <v/>
      </c>
      <c r="D1280" s="15"/>
      <c r="E1280" s="15"/>
      <c r="F1280" s="16"/>
      <c r="G1280" s="16"/>
      <c r="H1280" s="21" t="str">
        <f aca="false">IF(OR($B1280="",F1280=0),"",G1280/F1280)</f>
        <v/>
      </c>
      <c r="I1280" s="22" t="str">
        <f aca="false">IF($B1280="","",MAX(F1280-G1280,0))</f>
        <v/>
      </c>
      <c r="J1280" s="23" t="str">
        <f aca="false">IF($B1280="","",IFERROR(INDEX(고객사!$G$5:$G$104,MATCH($B1280,고객사!$A$5:$A$104,0)),""))</f>
        <v/>
      </c>
      <c r="K1280" s="16"/>
      <c r="L1280" s="22" t="str">
        <f aca="false">IF($B1280="","",K1280*IFERROR(INDEX(고객사!$L$5:$L$104,MATCH($B1280,고객사!$A$5:$A$104,0)),0))</f>
        <v/>
      </c>
      <c r="M1280" s="23" t="str">
        <f aca="false">IF($B1280="","",IF(AND(J1280="N",G1280&gt;0,K1280=0,IFERROR(INDEX(고객사!$H$5:$H$104,MATCH($B1280,고객사!$A$5:$A$104,0)),"")="자사 차량 운행"),"차량 미배정",""))</f>
        <v/>
      </c>
      <c r="N1280" s="22" t="str">
        <f aca="false">IF($B1280="","",IFERROR(INDEX(고객사!$J$5:$J$104,MATCH($B1280,고객사!$A$5:$A$104,0)),0))</f>
        <v/>
      </c>
      <c r="O1280" s="22" t="str">
        <f aca="false">IF($B1280="","",G1280*N1280)</f>
        <v/>
      </c>
      <c r="P1280" s="22" t="str">
        <f aca="false">IF($B1280="","",IFERROR(INDEX(고객사!$K$5:$K$104,MATCH($B1280,고객사!$A$5:$A$104,0)),0))</f>
        <v/>
      </c>
      <c r="Q1280" s="22" t="str">
        <f aca="false">IF($B1280="","",G1280*P1280)</f>
        <v/>
      </c>
      <c r="R1280" s="22" t="str">
        <f aca="false">IF($B1280="","",O1280-Q1280-L1280)</f>
        <v/>
      </c>
      <c r="S1280" s="21" t="str">
        <f aca="false">IF(OR($B1280="",N(O1280)=0),"",R1280/O1280)</f>
        <v/>
      </c>
      <c r="T1280" s="14"/>
      <c r="U1280" s="19" t="n">
        <f aca="false">IF(OR($B1280="",$A1280=""),0,IF(COUNTIFS($A$5:$A1280,$A1280,$B$5:$B1280,$B1280)=1,1,0))</f>
        <v>0</v>
      </c>
    </row>
    <row r="1281" customFormat="false" ht="15" hidden="false" customHeight="false" outlineLevel="0" collapsed="false">
      <c r="A1281" s="17"/>
      <c r="B1281" s="13"/>
      <c r="C1281" s="20" t="str">
        <f aca="false">IF($B1281="","",IFERROR(INDEX(고객사!$B$5:$B$104,MATCH($B1281,고객사!$A$5:$A$104,0)),"코드 확인"))</f>
        <v/>
      </c>
      <c r="D1281" s="15"/>
      <c r="E1281" s="15"/>
      <c r="F1281" s="16"/>
      <c r="G1281" s="16"/>
      <c r="H1281" s="21" t="str">
        <f aca="false">IF(OR($B1281="",F1281=0),"",G1281/F1281)</f>
        <v/>
      </c>
      <c r="I1281" s="22" t="str">
        <f aca="false">IF($B1281="","",MAX(F1281-G1281,0))</f>
        <v/>
      </c>
      <c r="J1281" s="23" t="str">
        <f aca="false">IF($B1281="","",IFERROR(INDEX(고객사!$G$5:$G$104,MATCH($B1281,고객사!$A$5:$A$104,0)),""))</f>
        <v/>
      </c>
      <c r="K1281" s="16"/>
      <c r="L1281" s="22" t="str">
        <f aca="false">IF($B1281="","",K1281*IFERROR(INDEX(고객사!$L$5:$L$104,MATCH($B1281,고객사!$A$5:$A$104,0)),0))</f>
        <v/>
      </c>
      <c r="M1281" s="23" t="str">
        <f aca="false">IF($B1281="","",IF(AND(J1281="N",G1281&gt;0,K1281=0,IFERROR(INDEX(고객사!$H$5:$H$104,MATCH($B1281,고객사!$A$5:$A$104,0)),"")="자사 차량 운행"),"차량 미배정",""))</f>
        <v/>
      </c>
      <c r="N1281" s="22" t="str">
        <f aca="false">IF($B1281="","",IFERROR(INDEX(고객사!$J$5:$J$104,MATCH($B1281,고객사!$A$5:$A$104,0)),0))</f>
        <v/>
      </c>
      <c r="O1281" s="22" t="str">
        <f aca="false">IF($B1281="","",G1281*N1281)</f>
        <v/>
      </c>
      <c r="P1281" s="22" t="str">
        <f aca="false">IF($B1281="","",IFERROR(INDEX(고객사!$K$5:$K$104,MATCH($B1281,고객사!$A$5:$A$104,0)),0))</f>
        <v/>
      </c>
      <c r="Q1281" s="22" t="str">
        <f aca="false">IF($B1281="","",G1281*P1281)</f>
        <v/>
      </c>
      <c r="R1281" s="22" t="str">
        <f aca="false">IF($B1281="","",O1281-Q1281-L1281)</f>
        <v/>
      </c>
      <c r="S1281" s="21" t="str">
        <f aca="false">IF(OR($B1281="",N(O1281)=0),"",R1281/O1281)</f>
        <v/>
      </c>
      <c r="T1281" s="14"/>
      <c r="U1281" s="19" t="n">
        <f aca="false">IF(OR($B1281="",$A1281=""),0,IF(COUNTIFS($A$5:$A1281,$A1281,$B$5:$B1281,$B1281)=1,1,0))</f>
        <v>0</v>
      </c>
    </row>
    <row r="1282" customFormat="false" ht="15" hidden="false" customHeight="false" outlineLevel="0" collapsed="false">
      <c r="A1282" s="17"/>
      <c r="B1282" s="13"/>
      <c r="C1282" s="20" t="str">
        <f aca="false">IF($B1282="","",IFERROR(INDEX(고객사!$B$5:$B$104,MATCH($B1282,고객사!$A$5:$A$104,0)),"코드 확인"))</f>
        <v/>
      </c>
      <c r="D1282" s="15"/>
      <c r="E1282" s="15"/>
      <c r="F1282" s="16"/>
      <c r="G1282" s="16"/>
      <c r="H1282" s="21" t="str">
        <f aca="false">IF(OR($B1282="",F1282=0),"",G1282/F1282)</f>
        <v/>
      </c>
      <c r="I1282" s="22" t="str">
        <f aca="false">IF($B1282="","",MAX(F1282-G1282,0))</f>
        <v/>
      </c>
      <c r="J1282" s="23" t="str">
        <f aca="false">IF($B1282="","",IFERROR(INDEX(고객사!$G$5:$G$104,MATCH($B1282,고객사!$A$5:$A$104,0)),""))</f>
        <v/>
      </c>
      <c r="K1282" s="16"/>
      <c r="L1282" s="22" t="str">
        <f aca="false">IF($B1282="","",K1282*IFERROR(INDEX(고객사!$L$5:$L$104,MATCH($B1282,고객사!$A$5:$A$104,0)),0))</f>
        <v/>
      </c>
      <c r="M1282" s="23" t="str">
        <f aca="false">IF($B1282="","",IF(AND(J1282="N",G1282&gt;0,K1282=0,IFERROR(INDEX(고객사!$H$5:$H$104,MATCH($B1282,고객사!$A$5:$A$104,0)),"")="자사 차량 운행"),"차량 미배정",""))</f>
        <v/>
      </c>
      <c r="N1282" s="22" t="str">
        <f aca="false">IF($B1282="","",IFERROR(INDEX(고객사!$J$5:$J$104,MATCH($B1282,고객사!$A$5:$A$104,0)),0))</f>
        <v/>
      </c>
      <c r="O1282" s="22" t="str">
        <f aca="false">IF($B1282="","",G1282*N1282)</f>
        <v/>
      </c>
      <c r="P1282" s="22" t="str">
        <f aca="false">IF($B1282="","",IFERROR(INDEX(고객사!$K$5:$K$104,MATCH($B1282,고객사!$A$5:$A$104,0)),0))</f>
        <v/>
      </c>
      <c r="Q1282" s="22" t="str">
        <f aca="false">IF($B1282="","",G1282*P1282)</f>
        <v/>
      </c>
      <c r="R1282" s="22" t="str">
        <f aca="false">IF($B1282="","",O1282-Q1282-L1282)</f>
        <v/>
      </c>
      <c r="S1282" s="21" t="str">
        <f aca="false">IF(OR($B1282="",N(O1282)=0),"",R1282/O1282)</f>
        <v/>
      </c>
      <c r="T1282" s="14"/>
      <c r="U1282" s="19" t="n">
        <f aca="false">IF(OR($B1282="",$A1282=""),0,IF(COUNTIFS($A$5:$A1282,$A1282,$B$5:$B1282,$B1282)=1,1,0))</f>
        <v>0</v>
      </c>
    </row>
    <row r="1283" customFormat="false" ht="15" hidden="false" customHeight="false" outlineLevel="0" collapsed="false">
      <c r="A1283" s="17"/>
      <c r="B1283" s="13"/>
      <c r="C1283" s="20" t="str">
        <f aca="false">IF($B1283="","",IFERROR(INDEX(고객사!$B$5:$B$104,MATCH($B1283,고객사!$A$5:$A$104,0)),"코드 확인"))</f>
        <v/>
      </c>
      <c r="D1283" s="15"/>
      <c r="E1283" s="15"/>
      <c r="F1283" s="16"/>
      <c r="G1283" s="16"/>
      <c r="H1283" s="21" t="str">
        <f aca="false">IF(OR($B1283="",F1283=0),"",G1283/F1283)</f>
        <v/>
      </c>
      <c r="I1283" s="22" t="str">
        <f aca="false">IF($B1283="","",MAX(F1283-G1283,0))</f>
        <v/>
      </c>
      <c r="J1283" s="23" t="str">
        <f aca="false">IF($B1283="","",IFERROR(INDEX(고객사!$G$5:$G$104,MATCH($B1283,고객사!$A$5:$A$104,0)),""))</f>
        <v/>
      </c>
      <c r="K1283" s="16"/>
      <c r="L1283" s="22" t="str">
        <f aca="false">IF($B1283="","",K1283*IFERROR(INDEX(고객사!$L$5:$L$104,MATCH($B1283,고객사!$A$5:$A$104,0)),0))</f>
        <v/>
      </c>
      <c r="M1283" s="23" t="str">
        <f aca="false">IF($B1283="","",IF(AND(J1283="N",G1283&gt;0,K1283=0,IFERROR(INDEX(고객사!$H$5:$H$104,MATCH($B1283,고객사!$A$5:$A$104,0)),"")="자사 차량 운행"),"차량 미배정",""))</f>
        <v/>
      </c>
      <c r="N1283" s="22" t="str">
        <f aca="false">IF($B1283="","",IFERROR(INDEX(고객사!$J$5:$J$104,MATCH($B1283,고객사!$A$5:$A$104,0)),0))</f>
        <v/>
      </c>
      <c r="O1283" s="22" t="str">
        <f aca="false">IF($B1283="","",G1283*N1283)</f>
        <v/>
      </c>
      <c r="P1283" s="22" t="str">
        <f aca="false">IF($B1283="","",IFERROR(INDEX(고객사!$K$5:$K$104,MATCH($B1283,고객사!$A$5:$A$104,0)),0))</f>
        <v/>
      </c>
      <c r="Q1283" s="22" t="str">
        <f aca="false">IF($B1283="","",G1283*P1283)</f>
        <v/>
      </c>
      <c r="R1283" s="22" t="str">
        <f aca="false">IF($B1283="","",O1283-Q1283-L1283)</f>
        <v/>
      </c>
      <c r="S1283" s="21" t="str">
        <f aca="false">IF(OR($B1283="",N(O1283)=0),"",R1283/O1283)</f>
        <v/>
      </c>
      <c r="T1283" s="14"/>
      <c r="U1283" s="19" t="n">
        <f aca="false">IF(OR($B1283="",$A1283=""),0,IF(COUNTIFS($A$5:$A1283,$A1283,$B$5:$B1283,$B1283)=1,1,0))</f>
        <v>0</v>
      </c>
    </row>
    <row r="1284" customFormat="false" ht="15" hidden="false" customHeight="false" outlineLevel="0" collapsed="false">
      <c r="A1284" s="17"/>
      <c r="B1284" s="13"/>
      <c r="C1284" s="20" t="str">
        <f aca="false">IF($B1284="","",IFERROR(INDEX(고객사!$B$5:$B$104,MATCH($B1284,고객사!$A$5:$A$104,0)),"코드 확인"))</f>
        <v/>
      </c>
      <c r="D1284" s="15"/>
      <c r="E1284" s="15"/>
      <c r="F1284" s="16"/>
      <c r="G1284" s="16"/>
      <c r="H1284" s="21" t="str">
        <f aca="false">IF(OR($B1284="",F1284=0),"",G1284/F1284)</f>
        <v/>
      </c>
      <c r="I1284" s="22" t="str">
        <f aca="false">IF($B1284="","",MAX(F1284-G1284,0))</f>
        <v/>
      </c>
      <c r="J1284" s="23" t="str">
        <f aca="false">IF($B1284="","",IFERROR(INDEX(고객사!$G$5:$G$104,MATCH($B1284,고객사!$A$5:$A$104,0)),""))</f>
        <v/>
      </c>
      <c r="K1284" s="16"/>
      <c r="L1284" s="22" t="str">
        <f aca="false">IF($B1284="","",K1284*IFERROR(INDEX(고객사!$L$5:$L$104,MATCH($B1284,고객사!$A$5:$A$104,0)),0))</f>
        <v/>
      </c>
      <c r="M1284" s="23" t="str">
        <f aca="false">IF($B1284="","",IF(AND(J1284="N",G1284&gt;0,K1284=0,IFERROR(INDEX(고객사!$H$5:$H$104,MATCH($B1284,고객사!$A$5:$A$104,0)),"")="자사 차량 운행"),"차량 미배정",""))</f>
        <v/>
      </c>
      <c r="N1284" s="22" t="str">
        <f aca="false">IF($B1284="","",IFERROR(INDEX(고객사!$J$5:$J$104,MATCH($B1284,고객사!$A$5:$A$104,0)),0))</f>
        <v/>
      </c>
      <c r="O1284" s="22" t="str">
        <f aca="false">IF($B1284="","",G1284*N1284)</f>
        <v/>
      </c>
      <c r="P1284" s="22" t="str">
        <f aca="false">IF($B1284="","",IFERROR(INDEX(고객사!$K$5:$K$104,MATCH($B1284,고객사!$A$5:$A$104,0)),0))</f>
        <v/>
      </c>
      <c r="Q1284" s="22" t="str">
        <f aca="false">IF($B1284="","",G1284*P1284)</f>
        <v/>
      </c>
      <c r="R1284" s="22" t="str">
        <f aca="false">IF($B1284="","",O1284-Q1284-L1284)</f>
        <v/>
      </c>
      <c r="S1284" s="21" t="str">
        <f aca="false">IF(OR($B1284="",N(O1284)=0),"",R1284/O1284)</f>
        <v/>
      </c>
      <c r="T1284" s="14"/>
      <c r="U1284" s="19" t="n">
        <f aca="false">IF(OR($B1284="",$A1284=""),0,IF(COUNTIFS($A$5:$A1284,$A1284,$B$5:$B1284,$B1284)=1,1,0))</f>
        <v>0</v>
      </c>
    </row>
    <row r="1285" customFormat="false" ht="15" hidden="false" customHeight="false" outlineLevel="0" collapsed="false">
      <c r="A1285" s="17"/>
      <c r="B1285" s="13"/>
      <c r="C1285" s="20" t="str">
        <f aca="false">IF($B1285="","",IFERROR(INDEX(고객사!$B$5:$B$104,MATCH($B1285,고객사!$A$5:$A$104,0)),"코드 확인"))</f>
        <v/>
      </c>
      <c r="D1285" s="15"/>
      <c r="E1285" s="15"/>
      <c r="F1285" s="16"/>
      <c r="G1285" s="16"/>
      <c r="H1285" s="21" t="str">
        <f aca="false">IF(OR($B1285="",F1285=0),"",G1285/F1285)</f>
        <v/>
      </c>
      <c r="I1285" s="22" t="str">
        <f aca="false">IF($B1285="","",MAX(F1285-G1285,0))</f>
        <v/>
      </c>
      <c r="J1285" s="23" t="str">
        <f aca="false">IF($B1285="","",IFERROR(INDEX(고객사!$G$5:$G$104,MATCH($B1285,고객사!$A$5:$A$104,0)),""))</f>
        <v/>
      </c>
      <c r="K1285" s="16"/>
      <c r="L1285" s="22" t="str">
        <f aca="false">IF($B1285="","",K1285*IFERROR(INDEX(고객사!$L$5:$L$104,MATCH($B1285,고객사!$A$5:$A$104,0)),0))</f>
        <v/>
      </c>
      <c r="M1285" s="23" t="str">
        <f aca="false">IF($B1285="","",IF(AND(J1285="N",G1285&gt;0,K1285=0,IFERROR(INDEX(고객사!$H$5:$H$104,MATCH($B1285,고객사!$A$5:$A$104,0)),"")="자사 차량 운행"),"차량 미배정",""))</f>
        <v/>
      </c>
      <c r="N1285" s="22" t="str">
        <f aca="false">IF($B1285="","",IFERROR(INDEX(고객사!$J$5:$J$104,MATCH($B1285,고객사!$A$5:$A$104,0)),0))</f>
        <v/>
      </c>
      <c r="O1285" s="22" t="str">
        <f aca="false">IF($B1285="","",G1285*N1285)</f>
        <v/>
      </c>
      <c r="P1285" s="22" t="str">
        <f aca="false">IF($B1285="","",IFERROR(INDEX(고객사!$K$5:$K$104,MATCH($B1285,고객사!$A$5:$A$104,0)),0))</f>
        <v/>
      </c>
      <c r="Q1285" s="22" t="str">
        <f aca="false">IF($B1285="","",G1285*P1285)</f>
        <v/>
      </c>
      <c r="R1285" s="22" t="str">
        <f aca="false">IF($B1285="","",O1285-Q1285-L1285)</f>
        <v/>
      </c>
      <c r="S1285" s="21" t="str">
        <f aca="false">IF(OR($B1285="",N(O1285)=0),"",R1285/O1285)</f>
        <v/>
      </c>
      <c r="T1285" s="14"/>
      <c r="U1285" s="19" t="n">
        <f aca="false">IF(OR($B1285="",$A1285=""),0,IF(COUNTIFS($A$5:$A1285,$A1285,$B$5:$B1285,$B1285)=1,1,0))</f>
        <v>0</v>
      </c>
    </row>
    <row r="1286" customFormat="false" ht="15" hidden="false" customHeight="false" outlineLevel="0" collapsed="false">
      <c r="A1286" s="17"/>
      <c r="B1286" s="13"/>
      <c r="C1286" s="20" t="str">
        <f aca="false">IF($B1286="","",IFERROR(INDEX(고객사!$B$5:$B$104,MATCH($B1286,고객사!$A$5:$A$104,0)),"코드 확인"))</f>
        <v/>
      </c>
      <c r="D1286" s="15"/>
      <c r="E1286" s="15"/>
      <c r="F1286" s="16"/>
      <c r="G1286" s="16"/>
      <c r="H1286" s="21" t="str">
        <f aca="false">IF(OR($B1286="",F1286=0),"",G1286/F1286)</f>
        <v/>
      </c>
      <c r="I1286" s="22" t="str">
        <f aca="false">IF($B1286="","",MAX(F1286-G1286,0))</f>
        <v/>
      </c>
      <c r="J1286" s="23" t="str">
        <f aca="false">IF($B1286="","",IFERROR(INDEX(고객사!$G$5:$G$104,MATCH($B1286,고객사!$A$5:$A$104,0)),""))</f>
        <v/>
      </c>
      <c r="K1286" s="16"/>
      <c r="L1286" s="22" t="str">
        <f aca="false">IF($B1286="","",K1286*IFERROR(INDEX(고객사!$L$5:$L$104,MATCH($B1286,고객사!$A$5:$A$104,0)),0))</f>
        <v/>
      </c>
      <c r="M1286" s="23" t="str">
        <f aca="false">IF($B1286="","",IF(AND(J1286="N",G1286&gt;0,K1286=0,IFERROR(INDEX(고객사!$H$5:$H$104,MATCH($B1286,고객사!$A$5:$A$104,0)),"")="자사 차량 운행"),"차량 미배정",""))</f>
        <v/>
      </c>
      <c r="N1286" s="22" t="str">
        <f aca="false">IF($B1286="","",IFERROR(INDEX(고객사!$J$5:$J$104,MATCH($B1286,고객사!$A$5:$A$104,0)),0))</f>
        <v/>
      </c>
      <c r="O1286" s="22" t="str">
        <f aca="false">IF($B1286="","",G1286*N1286)</f>
        <v/>
      </c>
      <c r="P1286" s="22" t="str">
        <f aca="false">IF($B1286="","",IFERROR(INDEX(고객사!$K$5:$K$104,MATCH($B1286,고객사!$A$5:$A$104,0)),0))</f>
        <v/>
      </c>
      <c r="Q1286" s="22" t="str">
        <f aca="false">IF($B1286="","",G1286*P1286)</f>
        <v/>
      </c>
      <c r="R1286" s="22" t="str">
        <f aca="false">IF($B1286="","",O1286-Q1286-L1286)</f>
        <v/>
      </c>
      <c r="S1286" s="21" t="str">
        <f aca="false">IF(OR($B1286="",N(O1286)=0),"",R1286/O1286)</f>
        <v/>
      </c>
      <c r="T1286" s="14"/>
      <c r="U1286" s="19" t="n">
        <f aca="false">IF(OR($B1286="",$A1286=""),0,IF(COUNTIFS($A$5:$A1286,$A1286,$B$5:$B1286,$B1286)=1,1,0))</f>
        <v>0</v>
      </c>
    </row>
    <row r="1287" customFormat="false" ht="15" hidden="false" customHeight="false" outlineLevel="0" collapsed="false">
      <c r="A1287" s="17"/>
      <c r="B1287" s="13"/>
      <c r="C1287" s="20" t="str">
        <f aca="false">IF($B1287="","",IFERROR(INDEX(고객사!$B$5:$B$104,MATCH($B1287,고객사!$A$5:$A$104,0)),"코드 확인"))</f>
        <v/>
      </c>
      <c r="D1287" s="15"/>
      <c r="E1287" s="15"/>
      <c r="F1287" s="16"/>
      <c r="G1287" s="16"/>
      <c r="H1287" s="21" t="str">
        <f aca="false">IF(OR($B1287="",F1287=0),"",G1287/F1287)</f>
        <v/>
      </c>
      <c r="I1287" s="22" t="str">
        <f aca="false">IF($B1287="","",MAX(F1287-G1287,0))</f>
        <v/>
      </c>
      <c r="J1287" s="23" t="str">
        <f aca="false">IF($B1287="","",IFERROR(INDEX(고객사!$G$5:$G$104,MATCH($B1287,고객사!$A$5:$A$104,0)),""))</f>
        <v/>
      </c>
      <c r="K1287" s="16"/>
      <c r="L1287" s="22" t="str">
        <f aca="false">IF($B1287="","",K1287*IFERROR(INDEX(고객사!$L$5:$L$104,MATCH($B1287,고객사!$A$5:$A$104,0)),0))</f>
        <v/>
      </c>
      <c r="M1287" s="23" t="str">
        <f aca="false">IF($B1287="","",IF(AND(J1287="N",G1287&gt;0,K1287=0,IFERROR(INDEX(고객사!$H$5:$H$104,MATCH($B1287,고객사!$A$5:$A$104,0)),"")="자사 차량 운행"),"차량 미배정",""))</f>
        <v/>
      </c>
      <c r="N1287" s="22" t="str">
        <f aca="false">IF($B1287="","",IFERROR(INDEX(고객사!$J$5:$J$104,MATCH($B1287,고객사!$A$5:$A$104,0)),0))</f>
        <v/>
      </c>
      <c r="O1287" s="22" t="str">
        <f aca="false">IF($B1287="","",G1287*N1287)</f>
        <v/>
      </c>
      <c r="P1287" s="22" t="str">
        <f aca="false">IF($B1287="","",IFERROR(INDEX(고객사!$K$5:$K$104,MATCH($B1287,고객사!$A$5:$A$104,0)),0))</f>
        <v/>
      </c>
      <c r="Q1287" s="22" t="str">
        <f aca="false">IF($B1287="","",G1287*P1287)</f>
        <v/>
      </c>
      <c r="R1287" s="22" t="str">
        <f aca="false">IF($B1287="","",O1287-Q1287-L1287)</f>
        <v/>
      </c>
      <c r="S1287" s="21" t="str">
        <f aca="false">IF(OR($B1287="",N(O1287)=0),"",R1287/O1287)</f>
        <v/>
      </c>
      <c r="T1287" s="14"/>
      <c r="U1287" s="19" t="n">
        <f aca="false">IF(OR($B1287="",$A1287=""),0,IF(COUNTIFS($A$5:$A1287,$A1287,$B$5:$B1287,$B1287)=1,1,0))</f>
        <v>0</v>
      </c>
    </row>
    <row r="1288" customFormat="false" ht="15" hidden="false" customHeight="false" outlineLevel="0" collapsed="false">
      <c r="A1288" s="17"/>
      <c r="B1288" s="13"/>
      <c r="C1288" s="20" t="str">
        <f aca="false">IF($B1288="","",IFERROR(INDEX(고객사!$B$5:$B$104,MATCH($B1288,고객사!$A$5:$A$104,0)),"코드 확인"))</f>
        <v/>
      </c>
      <c r="D1288" s="15"/>
      <c r="E1288" s="15"/>
      <c r="F1288" s="16"/>
      <c r="G1288" s="16"/>
      <c r="H1288" s="21" t="str">
        <f aca="false">IF(OR($B1288="",F1288=0),"",G1288/F1288)</f>
        <v/>
      </c>
      <c r="I1288" s="22" t="str">
        <f aca="false">IF($B1288="","",MAX(F1288-G1288,0))</f>
        <v/>
      </c>
      <c r="J1288" s="23" t="str">
        <f aca="false">IF($B1288="","",IFERROR(INDEX(고객사!$G$5:$G$104,MATCH($B1288,고객사!$A$5:$A$104,0)),""))</f>
        <v/>
      </c>
      <c r="K1288" s="16"/>
      <c r="L1288" s="22" t="str">
        <f aca="false">IF($B1288="","",K1288*IFERROR(INDEX(고객사!$L$5:$L$104,MATCH($B1288,고객사!$A$5:$A$104,0)),0))</f>
        <v/>
      </c>
      <c r="M1288" s="23" t="str">
        <f aca="false">IF($B1288="","",IF(AND(J1288="N",G1288&gt;0,K1288=0,IFERROR(INDEX(고객사!$H$5:$H$104,MATCH($B1288,고객사!$A$5:$A$104,0)),"")="자사 차량 운행"),"차량 미배정",""))</f>
        <v/>
      </c>
      <c r="N1288" s="22" t="str">
        <f aca="false">IF($B1288="","",IFERROR(INDEX(고객사!$J$5:$J$104,MATCH($B1288,고객사!$A$5:$A$104,0)),0))</f>
        <v/>
      </c>
      <c r="O1288" s="22" t="str">
        <f aca="false">IF($B1288="","",G1288*N1288)</f>
        <v/>
      </c>
      <c r="P1288" s="22" t="str">
        <f aca="false">IF($B1288="","",IFERROR(INDEX(고객사!$K$5:$K$104,MATCH($B1288,고객사!$A$5:$A$104,0)),0))</f>
        <v/>
      </c>
      <c r="Q1288" s="22" t="str">
        <f aca="false">IF($B1288="","",G1288*P1288)</f>
        <v/>
      </c>
      <c r="R1288" s="22" t="str">
        <f aca="false">IF($B1288="","",O1288-Q1288-L1288)</f>
        <v/>
      </c>
      <c r="S1288" s="21" t="str">
        <f aca="false">IF(OR($B1288="",N(O1288)=0),"",R1288/O1288)</f>
        <v/>
      </c>
      <c r="T1288" s="14"/>
      <c r="U1288" s="19" t="n">
        <f aca="false">IF(OR($B1288="",$A1288=""),0,IF(COUNTIFS($A$5:$A1288,$A1288,$B$5:$B1288,$B1288)=1,1,0))</f>
        <v>0</v>
      </c>
    </row>
    <row r="1289" customFormat="false" ht="15" hidden="false" customHeight="false" outlineLevel="0" collapsed="false">
      <c r="A1289" s="17"/>
      <c r="B1289" s="13"/>
      <c r="C1289" s="20" t="str">
        <f aca="false">IF($B1289="","",IFERROR(INDEX(고객사!$B$5:$B$104,MATCH($B1289,고객사!$A$5:$A$104,0)),"코드 확인"))</f>
        <v/>
      </c>
      <c r="D1289" s="15"/>
      <c r="E1289" s="15"/>
      <c r="F1289" s="16"/>
      <c r="G1289" s="16"/>
      <c r="H1289" s="21" t="str">
        <f aca="false">IF(OR($B1289="",F1289=0),"",G1289/F1289)</f>
        <v/>
      </c>
      <c r="I1289" s="22" t="str">
        <f aca="false">IF($B1289="","",MAX(F1289-G1289,0))</f>
        <v/>
      </c>
      <c r="J1289" s="23" t="str">
        <f aca="false">IF($B1289="","",IFERROR(INDEX(고객사!$G$5:$G$104,MATCH($B1289,고객사!$A$5:$A$104,0)),""))</f>
        <v/>
      </c>
      <c r="K1289" s="16"/>
      <c r="L1289" s="22" t="str">
        <f aca="false">IF($B1289="","",K1289*IFERROR(INDEX(고객사!$L$5:$L$104,MATCH($B1289,고객사!$A$5:$A$104,0)),0))</f>
        <v/>
      </c>
      <c r="M1289" s="23" t="str">
        <f aca="false">IF($B1289="","",IF(AND(J1289="N",G1289&gt;0,K1289=0,IFERROR(INDEX(고객사!$H$5:$H$104,MATCH($B1289,고객사!$A$5:$A$104,0)),"")="자사 차량 운행"),"차량 미배정",""))</f>
        <v/>
      </c>
      <c r="N1289" s="22" t="str">
        <f aca="false">IF($B1289="","",IFERROR(INDEX(고객사!$J$5:$J$104,MATCH($B1289,고객사!$A$5:$A$104,0)),0))</f>
        <v/>
      </c>
      <c r="O1289" s="22" t="str">
        <f aca="false">IF($B1289="","",G1289*N1289)</f>
        <v/>
      </c>
      <c r="P1289" s="22" t="str">
        <f aca="false">IF($B1289="","",IFERROR(INDEX(고객사!$K$5:$K$104,MATCH($B1289,고객사!$A$5:$A$104,0)),0))</f>
        <v/>
      </c>
      <c r="Q1289" s="22" t="str">
        <f aca="false">IF($B1289="","",G1289*P1289)</f>
        <v/>
      </c>
      <c r="R1289" s="22" t="str">
        <f aca="false">IF($B1289="","",O1289-Q1289-L1289)</f>
        <v/>
      </c>
      <c r="S1289" s="21" t="str">
        <f aca="false">IF(OR($B1289="",N(O1289)=0),"",R1289/O1289)</f>
        <v/>
      </c>
      <c r="T1289" s="14"/>
      <c r="U1289" s="19" t="n">
        <f aca="false">IF(OR($B1289="",$A1289=""),0,IF(COUNTIFS($A$5:$A1289,$A1289,$B$5:$B1289,$B1289)=1,1,0))</f>
        <v>0</v>
      </c>
    </row>
    <row r="1290" customFormat="false" ht="15" hidden="false" customHeight="false" outlineLevel="0" collapsed="false">
      <c r="A1290" s="17"/>
      <c r="B1290" s="13"/>
      <c r="C1290" s="20" t="str">
        <f aca="false">IF($B1290="","",IFERROR(INDEX(고객사!$B$5:$B$104,MATCH($B1290,고객사!$A$5:$A$104,0)),"코드 확인"))</f>
        <v/>
      </c>
      <c r="D1290" s="15"/>
      <c r="E1290" s="15"/>
      <c r="F1290" s="16"/>
      <c r="G1290" s="16"/>
      <c r="H1290" s="21" t="str">
        <f aca="false">IF(OR($B1290="",F1290=0),"",G1290/F1290)</f>
        <v/>
      </c>
      <c r="I1290" s="22" t="str">
        <f aca="false">IF($B1290="","",MAX(F1290-G1290,0))</f>
        <v/>
      </c>
      <c r="J1290" s="23" t="str">
        <f aca="false">IF($B1290="","",IFERROR(INDEX(고객사!$G$5:$G$104,MATCH($B1290,고객사!$A$5:$A$104,0)),""))</f>
        <v/>
      </c>
      <c r="K1290" s="16"/>
      <c r="L1290" s="22" t="str">
        <f aca="false">IF($B1290="","",K1290*IFERROR(INDEX(고객사!$L$5:$L$104,MATCH($B1290,고객사!$A$5:$A$104,0)),0))</f>
        <v/>
      </c>
      <c r="M1290" s="23" t="str">
        <f aca="false">IF($B1290="","",IF(AND(J1290="N",G1290&gt;0,K1290=0,IFERROR(INDEX(고객사!$H$5:$H$104,MATCH($B1290,고객사!$A$5:$A$104,0)),"")="자사 차량 운행"),"차량 미배정",""))</f>
        <v/>
      </c>
      <c r="N1290" s="22" t="str">
        <f aca="false">IF($B1290="","",IFERROR(INDEX(고객사!$J$5:$J$104,MATCH($B1290,고객사!$A$5:$A$104,0)),0))</f>
        <v/>
      </c>
      <c r="O1290" s="22" t="str">
        <f aca="false">IF($B1290="","",G1290*N1290)</f>
        <v/>
      </c>
      <c r="P1290" s="22" t="str">
        <f aca="false">IF($B1290="","",IFERROR(INDEX(고객사!$K$5:$K$104,MATCH($B1290,고객사!$A$5:$A$104,0)),0))</f>
        <v/>
      </c>
      <c r="Q1290" s="22" t="str">
        <f aca="false">IF($B1290="","",G1290*P1290)</f>
        <v/>
      </c>
      <c r="R1290" s="22" t="str">
        <f aca="false">IF($B1290="","",O1290-Q1290-L1290)</f>
        <v/>
      </c>
      <c r="S1290" s="21" t="str">
        <f aca="false">IF(OR($B1290="",N(O1290)=0),"",R1290/O1290)</f>
        <v/>
      </c>
      <c r="T1290" s="14"/>
      <c r="U1290" s="19" t="n">
        <f aca="false">IF(OR($B1290="",$A1290=""),0,IF(COUNTIFS($A$5:$A1290,$A1290,$B$5:$B1290,$B1290)=1,1,0))</f>
        <v>0</v>
      </c>
    </row>
    <row r="1291" customFormat="false" ht="15" hidden="false" customHeight="false" outlineLevel="0" collapsed="false">
      <c r="A1291" s="17"/>
      <c r="B1291" s="13"/>
      <c r="C1291" s="20" t="str">
        <f aca="false">IF($B1291="","",IFERROR(INDEX(고객사!$B$5:$B$104,MATCH($B1291,고객사!$A$5:$A$104,0)),"코드 확인"))</f>
        <v/>
      </c>
      <c r="D1291" s="15"/>
      <c r="E1291" s="15"/>
      <c r="F1291" s="16"/>
      <c r="G1291" s="16"/>
      <c r="H1291" s="21" t="str">
        <f aca="false">IF(OR($B1291="",F1291=0),"",G1291/F1291)</f>
        <v/>
      </c>
      <c r="I1291" s="22" t="str">
        <f aca="false">IF($B1291="","",MAX(F1291-G1291,0))</f>
        <v/>
      </c>
      <c r="J1291" s="23" t="str">
        <f aca="false">IF($B1291="","",IFERROR(INDEX(고객사!$G$5:$G$104,MATCH($B1291,고객사!$A$5:$A$104,0)),""))</f>
        <v/>
      </c>
      <c r="K1291" s="16"/>
      <c r="L1291" s="22" t="str">
        <f aca="false">IF($B1291="","",K1291*IFERROR(INDEX(고객사!$L$5:$L$104,MATCH($B1291,고객사!$A$5:$A$104,0)),0))</f>
        <v/>
      </c>
      <c r="M1291" s="23" t="str">
        <f aca="false">IF($B1291="","",IF(AND(J1291="N",G1291&gt;0,K1291=0,IFERROR(INDEX(고객사!$H$5:$H$104,MATCH($B1291,고객사!$A$5:$A$104,0)),"")="자사 차량 운행"),"차량 미배정",""))</f>
        <v/>
      </c>
      <c r="N1291" s="22" t="str">
        <f aca="false">IF($B1291="","",IFERROR(INDEX(고객사!$J$5:$J$104,MATCH($B1291,고객사!$A$5:$A$104,0)),0))</f>
        <v/>
      </c>
      <c r="O1291" s="22" t="str">
        <f aca="false">IF($B1291="","",G1291*N1291)</f>
        <v/>
      </c>
      <c r="P1291" s="22" t="str">
        <f aca="false">IF($B1291="","",IFERROR(INDEX(고객사!$K$5:$K$104,MATCH($B1291,고객사!$A$5:$A$104,0)),0))</f>
        <v/>
      </c>
      <c r="Q1291" s="22" t="str">
        <f aca="false">IF($B1291="","",G1291*P1291)</f>
        <v/>
      </c>
      <c r="R1291" s="22" t="str">
        <f aca="false">IF($B1291="","",O1291-Q1291-L1291)</f>
        <v/>
      </c>
      <c r="S1291" s="21" t="str">
        <f aca="false">IF(OR($B1291="",N(O1291)=0),"",R1291/O1291)</f>
        <v/>
      </c>
      <c r="T1291" s="14"/>
      <c r="U1291" s="19" t="n">
        <f aca="false">IF(OR($B1291="",$A1291=""),0,IF(COUNTIFS($A$5:$A1291,$A1291,$B$5:$B1291,$B1291)=1,1,0))</f>
        <v>0</v>
      </c>
    </row>
    <row r="1292" customFormat="false" ht="15" hidden="false" customHeight="false" outlineLevel="0" collapsed="false">
      <c r="A1292" s="17"/>
      <c r="B1292" s="13"/>
      <c r="C1292" s="20" t="str">
        <f aca="false">IF($B1292="","",IFERROR(INDEX(고객사!$B$5:$B$104,MATCH($B1292,고객사!$A$5:$A$104,0)),"코드 확인"))</f>
        <v/>
      </c>
      <c r="D1292" s="15"/>
      <c r="E1292" s="15"/>
      <c r="F1292" s="16"/>
      <c r="G1292" s="16"/>
      <c r="H1292" s="21" t="str">
        <f aca="false">IF(OR($B1292="",F1292=0),"",G1292/F1292)</f>
        <v/>
      </c>
      <c r="I1292" s="22" t="str">
        <f aca="false">IF($B1292="","",MAX(F1292-G1292,0))</f>
        <v/>
      </c>
      <c r="J1292" s="23" t="str">
        <f aca="false">IF($B1292="","",IFERROR(INDEX(고객사!$G$5:$G$104,MATCH($B1292,고객사!$A$5:$A$104,0)),""))</f>
        <v/>
      </c>
      <c r="K1292" s="16"/>
      <c r="L1292" s="22" t="str">
        <f aca="false">IF($B1292="","",K1292*IFERROR(INDEX(고객사!$L$5:$L$104,MATCH($B1292,고객사!$A$5:$A$104,0)),0))</f>
        <v/>
      </c>
      <c r="M1292" s="23" t="str">
        <f aca="false">IF($B1292="","",IF(AND(J1292="N",G1292&gt;0,K1292=0,IFERROR(INDEX(고객사!$H$5:$H$104,MATCH($B1292,고객사!$A$5:$A$104,0)),"")="자사 차량 운행"),"차량 미배정",""))</f>
        <v/>
      </c>
      <c r="N1292" s="22" t="str">
        <f aca="false">IF($B1292="","",IFERROR(INDEX(고객사!$J$5:$J$104,MATCH($B1292,고객사!$A$5:$A$104,0)),0))</f>
        <v/>
      </c>
      <c r="O1292" s="22" t="str">
        <f aca="false">IF($B1292="","",G1292*N1292)</f>
        <v/>
      </c>
      <c r="P1292" s="22" t="str">
        <f aca="false">IF($B1292="","",IFERROR(INDEX(고객사!$K$5:$K$104,MATCH($B1292,고객사!$A$5:$A$104,0)),0))</f>
        <v/>
      </c>
      <c r="Q1292" s="22" t="str">
        <f aca="false">IF($B1292="","",G1292*P1292)</f>
        <v/>
      </c>
      <c r="R1292" s="22" t="str">
        <f aca="false">IF($B1292="","",O1292-Q1292-L1292)</f>
        <v/>
      </c>
      <c r="S1292" s="21" t="str">
        <f aca="false">IF(OR($B1292="",N(O1292)=0),"",R1292/O1292)</f>
        <v/>
      </c>
      <c r="T1292" s="14"/>
      <c r="U1292" s="19" t="n">
        <f aca="false">IF(OR($B1292="",$A1292=""),0,IF(COUNTIFS($A$5:$A1292,$A1292,$B$5:$B1292,$B1292)=1,1,0))</f>
        <v>0</v>
      </c>
    </row>
    <row r="1293" customFormat="false" ht="15" hidden="false" customHeight="false" outlineLevel="0" collapsed="false">
      <c r="A1293" s="17"/>
      <c r="B1293" s="13"/>
      <c r="C1293" s="20" t="str">
        <f aca="false">IF($B1293="","",IFERROR(INDEX(고객사!$B$5:$B$104,MATCH($B1293,고객사!$A$5:$A$104,0)),"코드 확인"))</f>
        <v/>
      </c>
      <c r="D1293" s="15"/>
      <c r="E1293" s="15"/>
      <c r="F1293" s="16"/>
      <c r="G1293" s="16"/>
      <c r="H1293" s="21" t="str">
        <f aca="false">IF(OR($B1293="",F1293=0),"",G1293/F1293)</f>
        <v/>
      </c>
      <c r="I1293" s="22" t="str">
        <f aca="false">IF($B1293="","",MAX(F1293-G1293,0))</f>
        <v/>
      </c>
      <c r="J1293" s="23" t="str">
        <f aca="false">IF($B1293="","",IFERROR(INDEX(고객사!$G$5:$G$104,MATCH($B1293,고객사!$A$5:$A$104,0)),""))</f>
        <v/>
      </c>
      <c r="K1293" s="16"/>
      <c r="L1293" s="22" t="str">
        <f aca="false">IF($B1293="","",K1293*IFERROR(INDEX(고객사!$L$5:$L$104,MATCH($B1293,고객사!$A$5:$A$104,0)),0))</f>
        <v/>
      </c>
      <c r="M1293" s="23" t="str">
        <f aca="false">IF($B1293="","",IF(AND(J1293="N",G1293&gt;0,K1293=0,IFERROR(INDEX(고객사!$H$5:$H$104,MATCH($B1293,고객사!$A$5:$A$104,0)),"")="자사 차량 운행"),"차량 미배정",""))</f>
        <v/>
      </c>
      <c r="N1293" s="22" t="str">
        <f aca="false">IF($B1293="","",IFERROR(INDEX(고객사!$J$5:$J$104,MATCH($B1293,고객사!$A$5:$A$104,0)),0))</f>
        <v/>
      </c>
      <c r="O1293" s="22" t="str">
        <f aca="false">IF($B1293="","",G1293*N1293)</f>
        <v/>
      </c>
      <c r="P1293" s="22" t="str">
        <f aca="false">IF($B1293="","",IFERROR(INDEX(고객사!$K$5:$K$104,MATCH($B1293,고객사!$A$5:$A$104,0)),0))</f>
        <v/>
      </c>
      <c r="Q1293" s="22" t="str">
        <f aca="false">IF($B1293="","",G1293*P1293)</f>
        <v/>
      </c>
      <c r="R1293" s="22" t="str">
        <f aca="false">IF($B1293="","",O1293-Q1293-L1293)</f>
        <v/>
      </c>
      <c r="S1293" s="21" t="str">
        <f aca="false">IF(OR($B1293="",N(O1293)=0),"",R1293/O1293)</f>
        <v/>
      </c>
      <c r="T1293" s="14"/>
      <c r="U1293" s="19" t="n">
        <f aca="false">IF(OR($B1293="",$A1293=""),0,IF(COUNTIFS($A$5:$A1293,$A1293,$B$5:$B1293,$B1293)=1,1,0))</f>
        <v>0</v>
      </c>
    </row>
    <row r="1294" customFormat="false" ht="15" hidden="false" customHeight="false" outlineLevel="0" collapsed="false">
      <c r="A1294" s="17"/>
      <c r="B1294" s="13"/>
      <c r="C1294" s="20" t="str">
        <f aca="false">IF($B1294="","",IFERROR(INDEX(고객사!$B$5:$B$104,MATCH($B1294,고객사!$A$5:$A$104,0)),"코드 확인"))</f>
        <v/>
      </c>
      <c r="D1294" s="15"/>
      <c r="E1294" s="15"/>
      <c r="F1294" s="16"/>
      <c r="G1294" s="16"/>
      <c r="H1294" s="21" t="str">
        <f aca="false">IF(OR($B1294="",F1294=0),"",G1294/F1294)</f>
        <v/>
      </c>
      <c r="I1294" s="22" t="str">
        <f aca="false">IF($B1294="","",MAX(F1294-G1294,0))</f>
        <v/>
      </c>
      <c r="J1294" s="23" t="str">
        <f aca="false">IF($B1294="","",IFERROR(INDEX(고객사!$G$5:$G$104,MATCH($B1294,고객사!$A$5:$A$104,0)),""))</f>
        <v/>
      </c>
      <c r="K1294" s="16"/>
      <c r="L1294" s="22" t="str">
        <f aca="false">IF($B1294="","",K1294*IFERROR(INDEX(고객사!$L$5:$L$104,MATCH($B1294,고객사!$A$5:$A$104,0)),0))</f>
        <v/>
      </c>
      <c r="M1294" s="23" t="str">
        <f aca="false">IF($B1294="","",IF(AND(J1294="N",G1294&gt;0,K1294=0,IFERROR(INDEX(고객사!$H$5:$H$104,MATCH($B1294,고객사!$A$5:$A$104,0)),"")="자사 차량 운행"),"차량 미배정",""))</f>
        <v/>
      </c>
      <c r="N1294" s="22" t="str">
        <f aca="false">IF($B1294="","",IFERROR(INDEX(고객사!$J$5:$J$104,MATCH($B1294,고객사!$A$5:$A$104,0)),0))</f>
        <v/>
      </c>
      <c r="O1294" s="22" t="str">
        <f aca="false">IF($B1294="","",G1294*N1294)</f>
        <v/>
      </c>
      <c r="P1294" s="22" t="str">
        <f aca="false">IF($B1294="","",IFERROR(INDEX(고객사!$K$5:$K$104,MATCH($B1294,고객사!$A$5:$A$104,0)),0))</f>
        <v/>
      </c>
      <c r="Q1294" s="22" t="str">
        <f aca="false">IF($B1294="","",G1294*P1294)</f>
        <v/>
      </c>
      <c r="R1294" s="22" t="str">
        <f aca="false">IF($B1294="","",O1294-Q1294-L1294)</f>
        <v/>
      </c>
      <c r="S1294" s="21" t="str">
        <f aca="false">IF(OR($B1294="",N(O1294)=0),"",R1294/O1294)</f>
        <v/>
      </c>
      <c r="T1294" s="14"/>
      <c r="U1294" s="19" t="n">
        <f aca="false">IF(OR($B1294="",$A1294=""),0,IF(COUNTIFS($A$5:$A1294,$A1294,$B$5:$B1294,$B1294)=1,1,0))</f>
        <v>0</v>
      </c>
    </row>
    <row r="1295" customFormat="false" ht="15" hidden="false" customHeight="false" outlineLevel="0" collapsed="false">
      <c r="A1295" s="17"/>
      <c r="B1295" s="13"/>
      <c r="C1295" s="20" t="str">
        <f aca="false">IF($B1295="","",IFERROR(INDEX(고객사!$B$5:$B$104,MATCH($B1295,고객사!$A$5:$A$104,0)),"코드 확인"))</f>
        <v/>
      </c>
      <c r="D1295" s="15"/>
      <c r="E1295" s="15"/>
      <c r="F1295" s="16"/>
      <c r="G1295" s="16"/>
      <c r="H1295" s="21" t="str">
        <f aca="false">IF(OR($B1295="",F1295=0),"",G1295/F1295)</f>
        <v/>
      </c>
      <c r="I1295" s="22" t="str">
        <f aca="false">IF($B1295="","",MAX(F1295-G1295,0))</f>
        <v/>
      </c>
      <c r="J1295" s="23" t="str">
        <f aca="false">IF($B1295="","",IFERROR(INDEX(고객사!$G$5:$G$104,MATCH($B1295,고객사!$A$5:$A$104,0)),""))</f>
        <v/>
      </c>
      <c r="K1295" s="16"/>
      <c r="L1295" s="22" t="str">
        <f aca="false">IF($B1295="","",K1295*IFERROR(INDEX(고객사!$L$5:$L$104,MATCH($B1295,고객사!$A$5:$A$104,0)),0))</f>
        <v/>
      </c>
      <c r="M1295" s="23" t="str">
        <f aca="false">IF($B1295="","",IF(AND(J1295="N",G1295&gt;0,K1295=0,IFERROR(INDEX(고객사!$H$5:$H$104,MATCH($B1295,고객사!$A$5:$A$104,0)),"")="자사 차량 운행"),"차량 미배정",""))</f>
        <v/>
      </c>
      <c r="N1295" s="22" t="str">
        <f aca="false">IF($B1295="","",IFERROR(INDEX(고객사!$J$5:$J$104,MATCH($B1295,고객사!$A$5:$A$104,0)),0))</f>
        <v/>
      </c>
      <c r="O1295" s="22" t="str">
        <f aca="false">IF($B1295="","",G1295*N1295)</f>
        <v/>
      </c>
      <c r="P1295" s="22" t="str">
        <f aca="false">IF($B1295="","",IFERROR(INDEX(고객사!$K$5:$K$104,MATCH($B1295,고객사!$A$5:$A$104,0)),0))</f>
        <v/>
      </c>
      <c r="Q1295" s="22" t="str">
        <f aca="false">IF($B1295="","",G1295*P1295)</f>
        <v/>
      </c>
      <c r="R1295" s="22" t="str">
        <f aca="false">IF($B1295="","",O1295-Q1295-L1295)</f>
        <v/>
      </c>
      <c r="S1295" s="21" t="str">
        <f aca="false">IF(OR($B1295="",N(O1295)=0),"",R1295/O1295)</f>
        <v/>
      </c>
      <c r="T1295" s="14"/>
      <c r="U1295" s="19" t="n">
        <f aca="false">IF(OR($B1295="",$A1295=""),0,IF(COUNTIFS($A$5:$A1295,$A1295,$B$5:$B1295,$B1295)=1,1,0))</f>
        <v>0</v>
      </c>
    </row>
    <row r="1296" customFormat="false" ht="15" hidden="false" customHeight="false" outlineLevel="0" collapsed="false">
      <c r="A1296" s="17"/>
      <c r="B1296" s="13"/>
      <c r="C1296" s="20" t="str">
        <f aca="false">IF($B1296="","",IFERROR(INDEX(고객사!$B$5:$B$104,MATCH($B1296,고객사!$A$5:$A$104,0)),"코드 확인"))</f>
        <v/>
      </c>
      <c r="D1296" s="15"/>
      <c r="E1296" s="15"/>
      <c r="F1296" s="16"/>
      <c r="G1296" s="16"/>
      <c r="H1296" s="21" t="str">
        <f aca="false">IF(OR($B1296="",F1296=0),"",G1296/F1296)</f>
        <v/>
      </c>
      <c r="I1296" s="22" t="str">
        <f aca="false">IF($B1296="","",MAX(F1296-G1296,0))</f>
        <v/>
      </c>
      <c r="J1296" s="23" t="str">
        <f aca="false">IF($B1296="","",IFERROR(INDEX(고객사!$G$5:$G$104,MATCH($B1296,고객사!$A$5:$A$104,0)),""))</f>
        <v/>
      </c>
      <c r="K1296" s="16"/>
      <c r="L1296" s="22" t="str">
        <f aca="false">IF($B1296="","",K1296*IFERROR(INDEX(고객사!$L$5:$L$104,MATCH($B1296,고객사!$A$5:$A$104,0)),0))</f>
        <v/>
      </c>
      <c r="M1296" s="23" t="str">
        <f aca="false">IF($B1296="","",IF(AND(J1296="N",G1296&gt;0,K1296=0,IFERROR(INDEX(고객사!$H$5:$H$104,MATCH($B1296,고객사!$A$5:$A$104,0)),"")="자사 차량 운행"),"차량 미배정",""))</f>
        <v/>
      </c>
      <c r="N1296" s="22" t="str">
        <f aca="false">IF($B1296="","",IFERROR(INDEX(고객사!$J$5:$J$104,MATCH($B1296,고객사!$A$5:$A$104,0)),0))</f>
        <v/>
      </c>
      <c r="O1296" s="22" t="str">
        <f aca="false">IF($B1296="","",G1296*N1296)</f>
        <v/>
      </c>
      <c r="P1296" s="22" t="str">
        <f aca="false">IF($B1296="","",IFERROR(INDEX(고객사!$K$5:$K$104,MATCH($B1296,고객사!$A$5:$A$104,0)),0))</f>
        <v/>
      </c>
      <c r="Q1296" s="22" t="str">
        <f aca="false">IF($B1296="","",G1296*P1296)</f>
        <v/>
      </c>
      <c r="R1296" s="22" t="str">
        <f aca="false">IF($B1296="","",O1296-Q1296-L1296)</f>
        <v/>
      </c>
      <c r="S1296" s="21" t="str">
        <f aca="false">IF(OR($B1296="",N(O1296)=0),"",R1296/O1296)</f>
        <v/>
      </c>
      <c r="T1296" s="14"/>
      <c r="U1296" s="19" t="n">
        <f aca="false">IF(OR($B1296="",$A1296=""),0,IF(COUNTIFS($A$5:$A1296,$A1296,$B$5:$B1296,$B1296)=1,1,0))</f>
        <v>0</v>
      </c>
    </row>
    <row r="1297" customFormat="false" ht="15" hidden="false" customHeight="false" outlineLevel="0" collapsed="false">
      <c r="A1297" s="17"/>
      <c r="B1297" s="13"/>
      <c r="C1297" s="20" t="str">
        <f aca="false">IF($B1297="","",IFERROR(INDEX(고객사!$B$5:$B$104,MATCH($B1297,고객사!$A$5:$A$104,0)),"코드 확인"))</f>
        <v/>
      </c>
      <c r="D1297" s="15"/>
      <c r="E1297" s="15"/>
      <c r="F1297" s="16"/>
      <c r="G1297" s="16"/>
      <c r="H1297" s="21" t="str">
        <f aca="false">IF(OR($B1297="",F1297=0),"",G1297/F1297)</f>
        <v/>
      </c>
      <c r="I1297" s="22" t="str">
        <f aca="false">IF($B1297="","",MAX(F1297-G1297,0))</f>
        <v/>
      </c>
      <c r="J1297" s="23" t="str">
        <f aca="false">IF($B1297="","",IFERROR(INDEX(고객사!$G$5:$G$104,MATCH($B1297,고객사!$A$5:$A$104,0)),""))</f>
        <v/>
      </c>
      <c r="K1297" s="16"/>
      <c r="L1297" s="22" t="str">
        <f aca="false">IF($B1297="","",K1297*IFERROR(INDEX(고객사!$L$5:$L$104,MATCH($B1297,고객사!$A$5:$A$104,0)),0))</f>
        <v/>
      </c>
      <c r="M1297" s="23" t="str">
        <f aca="false">IF($B1297="","",IF(AND(J1297="N",G1297&gt;0,K1297=0,IFERROR(INDEX(고객사!$H$5:$H$104,MATCH($B1297,고객사!$A$5:$A$104,0)),"")="자사 차량 운행"),"차량 미배정",""))</f>
        <v/>
      </c>
      <c r="N1297" s="22" t="str">
        <f aca="false">IF($B1297="","",IFERROR(INDEX(고객사!$J$5:$J$104,MATCH($B1297,고객사!$A$5:$A$104,0)),0))</f>
        <v/>
      </c>
      <c r="O1297" s="22" t="str">
        <f aca="false">IF($B1297="","",G1297*N1297)</f>
        <v/>
      </c>
      <c r="P1297" s="22" t="str">
        <f aca="false">IF($B1297="","",IFERROR(INDEX(고객사!$K$5:$K$104,MATCH($B1297,고객사!$A$5:$A$104,0)),0))</f>
        <v/>
      </c>
      <c r="Q1297" s="22" t="str">
        <f aca="false">IF($B1297="","",G1297*P1297)</f>
        <v/>
      </c>
      <c r="R1297" s="22" t="str">
        <f aca="false">IF($B1297="","",O1297-Q1297-L1297)</f>
        <v/>
      </c>
      <c r="S1297" s="21" t="str">
        <f aca="false">IF(OR($B1297="",N(O1297)=0),"",R1297/O1297)</f>
        <v/>
      </c>
      <c r="T1297" s="14"/>
      <c r="U1297" s="19" t="n">
        <f aca="false">IF(OR($B1297="",$A1297=""),0,IF(COUNTIFS($A$5:$A1297,$A1297,$B$5:$B1297,$B1297)=1,1,0))</f>
        <v>0</v>
      </c>
    </row>
    <row r="1298" customFormat="false" ht="15" hidden="false" customHeight="false" outlineLevel="0" collapsed="false">
      <c r="A1298" s="17"/>
      <c r="B1298" s="13"/>
      <c r="C1298" s="20" t="str">
        <f aca="false">IF($B1298="","",IFERROR(INDEX(고객사!$B$5:$B$104,MATCH($B1298,고객사!$A$5:$A$104,0)),"코드 확인"))</f>
        <v/>
      </c>
      <c r="D1298" s="15"/>
      <c r="E1298" s="15"/>
      <c r="F1298" s="16"/>
      <c r="G1298" s="16"/>
      <c r="H1298" s="21" t="str">
        <f aca="false">IF(OR($B1298="",F1298=0),"",G1298/F1298)</f>
        <v/>
      </c>
      <c r="I1298" s="22" t="str">
        <f aca="false">IF($B1298="","",MAX(F1298-G1298,0))</f>
        <v/>
      </c>
      <c r="J1298" s="23" t="str">
        <f aca="false">IF($B1298="","",IFERROR(INDEX(고객사!$G$5:$G$104,MATCH($B1298,고객사!$A$5:$A$104,0)),""))</f>
        <v/>
      </c>
      <c r="K1298" s="16"/>
      <c r="L1298" s="22" t="str">
        <f aca="false">IF($B1298="","",K1298*IFERROR(INDEX(고객사!$L$5:$L$104,MATCH($B1298,고객사!$A$5:$A$104,0)),0))</f>
        <v/>
      </c>
      <c r="M1298" s="23" t="str">
        <f aca="false">IF($B1298="","",IF(AND(J1298="N",G1298&gt;0,K1298=0,IFERROR(INDEX(고객사!$H$5:$H$104,MATCH($B1298,고객사!$A$5:$A$104,0)),"")="자사 차량 운행"),"차량 미배정",""))</f>
        <v/>
      </c>
      <c r="N1298" s="22" t="str">
        <f aca="false">IF($B1298="","",IFERROR(INDEX(고객사!$J$5:$J$104,MATCH($B1298,고객사!$A$5:$A$104,0)),0))</f>
        <v/>
      </c>
      <c r="O1298" s="22" t="str">
        <f aca="false">IF($B1298="","",G1298*N1298)</f>
        <v/>
      </c>
      <c r="P1298" s="22" t="str">
        <f aca="false">IF($B1298="","",IFERROR(INDEX(고객사!$K$5:$K$104,MATCH($B1298,고객사!$A$5:$A$104,0)),0))</f>
        <v/>
      </c>
      <c r="Q1298" s="22" t="str">
        <f aca="false">IF($B1298="","",G1298*P1298)</f>
        <v/>
      </c>
      <c r="R1298" s="22" t="str">
        <f aca="false">IF($B1298="","",O1298-Q1298-L1298)</f>
        <v/>
      </c>
      <c r="S1298" s="21" t="str">
        <f aca="false">IF(OR($B1298="",N(O1298)=0),"",R1298/O1298)</f>
        <v/>
      </c>
      <c r="T1298" s="14"/>
      <c r="U1298" s="19" t="n">
        <f aca="false">IF(OR($B1298="",$A1298=""),0,IF(COUNTIFS($A$5:$A1298,$A1298,$B$5:$B1298,$B1298)=1,1,0))</f>
        <v>0</v>
      </c>
    </row>
    <row r="1299" customFormat="false" ht="15" hidden="false" customHeight="false" outlineLevel="0" collapsed="false">
      <c r="A1299" s="17"/>
      <c r="B1299" s="13"/>
      <c r="C1299" s="20" t="str">
        <f aca="false">IF($B1299="","",IFERROR(INDEX(고객사!$B$5:$B$104,MATCH($B1299,고객사!$A$5:$A$104,0)),"코드 확인"))</f>
        <v/>
      </c>
      <c r="D1299" s="15"/>
      <c r="E1299" s="15"/>
      <c r="F1299" s="16"/>
      <c r="G1299" s="16"/>
      <c r="H1299" s="21" t="str">
        <f aca="false">IF(OR($B1299="",F1299=0),"",G1299/F1299)</f>
        <v/>
      </c>
      <c r="I1299" s="22" t="str">
        <f aca="false">IF($B1299="","",MAX(F1299-G1299,0))</f>
        <v/>
      </c>
      <c r="J1299" s="23" t="str">
        <f aca="false">IF($B1299="","",IFERROR(INDEX(고객사!$G$5:$G$104,MATCH($B1299,고객사!$A$5:$A$104,0)),""))</f>
        <v/>
      </c>
      <c r="K1299" s="16"/>
      <c r="L1299" s="22" t="str">
        <f aca="false">IF($B1299="","",K1299*IFERROR(INDEX(고객사!$L$5:$L$104,MATCH($B1299,고객사!$A$5:$A$104,0)),0))</f>
        <v/>
      </c>
      <c r="M1299" s="23" t="str">
        <f aca="false">IF($B1299="","",IF(AND(J1299="N",G1299&gt;0,K1299=0,IFERROR(INDEX(고객사!$H$5:$H$104,MATCH($B1299,고객사!$A$5:$A$104,0)),"")="자사 차량 운행"),"차량 미배정",""))</f>
        <v/>
      </c>
      <c r="N1299" s="22" t="str">
        <f aca="false">IF($B1299="","",IFERROR(INDEX(고객사!$J$5:$J$104,MATCH($B1299,고객사!$A$5:$A$104,0)),0))</f>
        <v/>
      </c>
      <c r="O1299" s="22" t="str">
        <f aca="false">IF($B1299="","",G1299*N1299)</f>
        <v/>
      </c>
      <c r="P1299" s="22" t="str">
        <f aca="false">IF($B1299="","",IFERROR(INDEX(고객사!$K$5:$K$104,MATCH($B1299,고객사!$A$5:$A$104,0)),0))</f>
        <v/>
      </c>
      <c r="Q1299" s="22" t="str">
        <f aca="false">IF($B1299="","",G1299*P1299)</f>
        <v/>
      </c>
      <c r="R1299" s="22" t="str">
        <f aca="false">IF($B1299="","",O1299-Q1299-L1299)</f>
        <v/>
      </c>
      <c r="S1299" s="21" t="str">
        <f aca="false">IF(OR($B1299="",N(O1299)=0),"",R1299/O1299)</f>
        <v/>
      </c>
      <c r="T1299" s="14"/>
      <c r="U1299" s="19" t="n">
        <f aca="false">IF(OR($B1299="",$A1299=""),0,IF(COUNTIFS($A$5:$A1299,$A1299,$B$5:$B1299,$B1299)=1,1,0))</f>
        <v>0</v>
      </c>
    </row>
    <row r="1300" customFormat="false" ht="15" hidden="false" customHeight="false" outlineLevel="0" collapsed="false">
      <c r="A1300" s="17"/>
      <c r="B1300" s="13"/>
      <c r="C1300" s="20" t="str">
        <f aca="false">IF($B1300="","",IFERROR(INDEX(고객사!$B$5:$B$104,MATCH($B1300,고객사!$A$5:$A$104,0)),"코드 확인"))</f>
        <v/>
      </c>
      <c r="D1300" s="15"/>
      <c r="E1300" s="15"/>
      <c r="F1300" s="16"/>
      <c r="G1300" s="16"/>
      <c r="H1300" s="21" t="str">
        <f aca="false">IF(OR($B1300="",F1300=0),"",G1300/F1300)</f>
        <v/>
      </c>
      <c r="I1300" s="22" t="str">
        <f aca="false">IF($B1300="","",MAX(F1300-G1300,0))</f>
        <v/>
      </c>
      <c r="J1300" s="23" t="str">
        <f aca="false">IF($B1300="","",IFERROR(INDEX(고객사!$G$5:$G$104,MATCH($B1300,고객사!$A$5:$A$104,0)),""))</f>
        <v/>
      </c>
      <c r="K1300" s="16"/>
      <c r="L1300" s="22" t="str">
        <f aca="false">IF($B1300="","",K1300*IFERROR(INDEX(고객사!$L$5:$L$104,MATCH($B1300,고객사!$A$5:$A$104,0)),0))</f>
        <v/>
      </c>
      <c r="M1300" s="23" t="str">
        <f aca="false">IF($B1300="","",IF(AND(J1300="N",G1300&gt;0,K1300=0,IFERROR(INDEX(고객사!$H$5:$H$104,MATCH($B1300,고객사!$A$5:$A$104,0)),"")="자사 차량 운행"),"차량 미배정",""))</f>
        <v/>
      </c>
      <c r="N1300" s="22" t="str">
        <f aca="false">IF($B1300="","",IFERROR(INDEX(고객사!$J$5:$J$104,MATCH($B1300,고객사!$A$5:$A$104,0)),0))</f>
        <v/>
      </c>
      <c r="O1300" s="22" t="str">
        <f aca="false">IF($B1300="","",G1300*N1300)</f>
        <v/>
      </c>
      <c r="P1300" s="22" t="str">
        <f aca="false">IF($B1300="","",IFERROR(INDEX(고객사!$K$5:$K$104,MATCH($B1300,고객사!$A$5:$A$104,0)),0))</f>
        <v/>
      </c>
      <c r="Q1300" s="22" t="str">
        <f aca="false">IF($B1300="","",G1300*P1300)</f>
        <v/>
      </c>
      <c r="R1300" s="22" t="str">
        <f aca="false">IF($B1300="","",O1300-Q1300-L1300)</f>
        <v/>
      </c>
      <c r="S1300" s="21" t="str">
        <f aca="false">IF(OR($B1300="",N(O1300)=0),"",R1300/O1300)</f>
        <v/>
      </c>
      <c r="T1300" s="14"/>
      <c r="U1300" s="19" t="n">
        <f aca="false">IF(OR($B1300="",$A1300=""),0,IF(COUNTIFS($A$5:$A1300,$A1300,$B$5:$B1300,$B1300)=1,1,0))</f>
        <v>0</v>
      </c>
    </row>
    <row r="1301" customFormat="false" ht="15" hidden="false" customHeight="false" outlineLevel="0" collapsed="false">
      <c r="A1301" s="17"/>
      <c r="B1301" s="13"/>
      <c r="C1301" s="20" t="str">
        <f aca="false">IF($B1301="","",IFERROR(INDEX(고객사!$B$5:$B$104,MATCH($B1301,고객사!$A$5:$A$104,0)),"코드 확인"))</f>
        <v/>
      </c>
      <c r="D1301" s="15"/>
      <c r="E1301" s="15"/>
      <c r="F1301" s="16"/>
      <c r="G1301" s="16"/>
      <c r="H1301" s="21" t="str">
        <f aca="false">IF(OR($B1301="",F1301=0),"",G1301/F1301)</f>
        <v/>
      </c>
      <c r="I1301" s="22" t="str">
        <f aca="false">IF($B1301="","",MAX(F1301-G1301,0))</f>
        <v/>
      </c>
      <c r="J1301" s="23" t="str">
        <f aca="false">IF($B1301="","",IFERROR(INDEX(고객사!$G$5:$G$104,MATCH($B1301,고객사!$A$5:$A$104,0)),""))</f>
        <v/>
      </c>
      <c r="K1301" s="16"/>
      <c r="L1301" s="22" t="str">
        <f aca="false">IF($B1301="","",K1301*IFERROR(INDEX(고객사!$L$5:$L$104,MATCH($B1301,고객사!$A$5:$A$104,0)),0))</f>
        <v/>
      </c>
      <c r="M1301" s="23" t="str">
        <f aca="false">IF($B1301="","",IF(AND(J1301="N",G1301&gt;0,K1301=0,IFERROR(INDEX(고객사!$H$5:$H$104,MATCH($B1301,고객사!$A$5:$A$104,0)),"")="자사 차량 운행"),"차량 미배정",""))</f>
        <v/>
      </c>
      <c r="N1301" s="22" t="str">
        <f aca="false">IF($B1301="","",IFERROR(INDEX(고객사!$J$5:$J$104,MATCH($B1301,고객사!$A$5:$A$104,0)),0))</f>
        <v/>
      </c>
      <c r="O1301" s="22" t="str">
        <f aca="false">IF($B1301="","",G1301*N1301)</f>
        <v/>
      </c>
      <c r="P1301" s="22" t="str">
        <f aca="false">IF($B1301="","",IFERROR(INDEX(고객사!$K$5:$K$104,MATCH($B1301,고객사!$A$5:$A$104,0)),0))</f>
        <v/>
      </c>
      <c r="Q1301" s="22" t="str">
        <f aca="false">IF($B1301="","",G1301*P1301)</f>
        <v/>
      </c>
      <c r="R1301" s="22" t="str">
        <f aca="false">IF($B1301="","",O1301-Q1301-L1301)</f>
        <v/>
      </c>
      <c r="S1301" s="21" t="str">
        <f aca="false">IF(OR($B1301="",N(O1301)=0),"",R1301/O1301)</f>
        <v/>
      </c>
      <c r="T1301" s="14"/>
      <c r="U1301" s="19" t="n">
        <f aca="false">IF(OR($B1301="",$A1301=""),0,IF(COUNTIFS($A$5:$A1301,$A1301,$B$5:$B1301,$B1301)=1,1,0))</f>
        <v>0</v>
      </c>
    </row>
    <row r="1302" customFormat="false" ht="15" hidden="false" customHeight="false" outlineLevel="0" collapsed="false">
      <c r="A1302" s="17"/>
      <c r="B1302" s="13"/>
      <c r="C1302" s="20" t="str">
        <f aca="false">IF($B1302="","",IFERROR(INDEX(고객사!$B$5:$B$104,MATCH($B1302,고객사!$A$5:$A$104,0)),"코드 확인"))</f>
        <v/>
      </c>
      <c r="D1302" s="15"/>
      <c r="E1302" s="15"/>
      <c r="F1302" s="16"/>
      <c r="G1302" s="16"/>
      <c r="H1302" s="21" t="str">
        <f aca="false">IF(OR($B1302="",F1302=0),"",G1302/F1302)</f>
        <v/>
      </c>
      <c r="I1302" s="22" t="str">
        <f aca="false">IF($B1302="","",MAX(F1302-G1302,0))</f>
        <v/>
      </c>
      <c r="J1302" s="23" t="str">
        <f aca="false">IF($B1302="","",IFERROR(INDEX(고객사!$G$5:$G$104,MATCH($B1302,고객사!$A$5:$A$104,0)),""))</f>
        <v/>
      </c>
      <c r="K1302" s="16"/>
      <c r="L1302" s="22" t="str">
        <f aca="false">IF($B1302="","",K1302*IFERROR(INDEX(고객사!$L$5:$L$104,MATCH($B1302,고객사!$A$5:$A$104,0)),0))</f>
        <v/>
      </c>
      <c r="M1302" s="23" t="str">
        <f aca="false">IF($B1302="","",IF(AND(J1302="N",G1302&gt;0,K1302=0,IFERROR(INDEX(고객사!$H$5:$H$104,MATCH($B1302,고객사!$A$5:$A$104,0)),"")="자사 차량 운행"),"차량 미배정",""))</f>
        <v/>
      </c>
      <c r="N1302" s="22" t="str">
        <f aca="false">IF($B1302="","",IFERROR(INDEX(고객사!$J$5:$J$104,MATCH($B1302,고객사!$A$5:$A$104,0)),0))</f>
        <v/>
      </c>
      <c r="O1302" s="22" t="str">
        <f aca="false">IF($B1302="","",G1302*N1302)</f>
        <v/>
      </c>
      <c r="P1302" s="22" t="str">
        <f aca="false">IF($B1302="","",IFERROR(INDEX(고객사!$K$5:$K$104,MATCH($B1302,고객사!$A$5:$A$104,0)),0))</f>
        <v/>
      </c>
      <c r="Q1302" s="22" t="str">
        <f aca="false">IF($B1302="","",G1302*P1302)</f>
        <v/>
      </c>
      <c r="R1302" s="22" t="str">
        <f aca="false">IF($B1302="","",O1302-Q1302-L1302)</f>
        <v/>
      </c>
      <c r="S1302" s="21" t="str">
        <f aca="false">IF(OR($B1302="",N(O1302)=0),"",R1302/O1302)</f>
        <v/>
      </c>
      <c r="T1302" s="14"/>
      <c r="U1302" s="19" t="n">
        <f aca="false">IF(OR($B1302="",$A1302=""),0,IF(COUNTIFS($A$5:$A1302,$A1302,$B$5:$B1302,$B1302)=1,1,0))</f>
        <v>0</v>
      </c>
    </row>
    <row r="1303" customFormat="false" ht="15" hidden="false" customHeight="false" outlineLevel="0" collapsed="false">
      <c r="A1303" s="17"/>
      <c r="B1303" s="13"/>
      <c r="C1303" s="20" t="str">
        <f aca="false">IF($B1303="","",IFERROR(INDEX(고객사!$B$5:$B$104,MATCH($B1303,고객사!$A$5:$A$104,0)),"코드 확인"))</f>
        <v/>
      </c>
      <c r="D1303" s="15"/>
      <c r="E1303" s="15"/>
      <c r="F1303" s="16"/>
      <c r="G1303" s="16"/>
      <c r="H1303" s="21" t="str">
        <f aca="false">IF(OR($B1303="",F1303=0),"",G1303/F1303)</f>
        <v/>
      </c>
      <c r="I1303" s="22" t="str">
        <f aca="false">IF($B1303="","",MAX(F1303-G1303,0))</f>
        <v/>
      </c>
      <c r="J1303" s="23" t="str">
        <f aca="false">IF($B1303="","",IFERROR(INDEX(고객사!$G$5:$G$104,MATCH($B1303,고객사!$A$5:$A$104,0)),""))</f>
        <v/>
      </c>
      <c r="K1303" s="16"/>
      <c r="L1303" s="22" t="str">
        <f aca="false">IF($B1303="","",K1303*IFERROR(INDEX(고객사!$L$5:$L$104,MATCH($B1303,고객사!$A$5:$A$104,0)),0))</f>
        <v/>
      </c>
      <c r="M1303" s="23" t="str">
        <f aca="false">IF($B1303="","",IF(AND(J1303="N",G1303&gt;0,K1303=0,IFERROR(INDEX(고객사!$H$5:$H$104,MATCH($B1303,고객사!$A$5:$A$104,0)),"")="자사 차량 운행"),"차량 미배정",""))</f>
        <v/>
      </c>
      <c r="N1303" s="22" t="str">
        <f aca="false">IF($B1303="","",IFERROR(INDEX(고객사!$J$5:$J$104,MATCH($B1303,고객사!$A$5:$A$104,0)),0))</f>
        <v/>
      </c>
      <c r="O1303" s="22" t="str">
        <f aca="false">IF($B1303="","",G1303*N1303)</f>
        <v/>
      </c>
      <c r="P1303" s="22" t="str">
        <f aca="false">IF($B1303="","",IFERROR(INDEX(고객사!$K$5:$K$104,MATCH($B1303,고객사!$A$5:$A$104,0)),0))</f>
        <v/>
      </c>
      <c r="Q1303" s="22" t="str">
        <f aca="false">IF($B1303="","",G1303*P1303)</f>
        <v/>
      </c>
      <c r="R1303" s="22" t="str">
        <f aca="false">IF($B1303="","",O1303-Q1303-L1303)</f>
        <v/>
      </c>
      <c r="S1303" s="21" t="str">
        <f aca="false">IF(OR($B1303="",N(O1303)=0),"",R1303/O1303)</f>
        <v/>
      </c>
      <c r="T1303" s="14"/>
      <c r="U1303" s="19" t="n">
        <f aca="false">IF(OR($B1303="",$A1303=""),0,IF(COUNTIFS($A$5:$A1303,$A1303,$B$5:$B1303,$B1303)=1,1,0))</f>
        <v>0</v>
      </c>
    </row>
    <row r="1304" customFormat="false" ht="15" hidden="false" customHeight="false" outlineLevel="0" collapsed="false">
      <c r="A1304" s="17"/>
      <c r="B1304" s="13"/>
      <c r="C1304" s="20" t="str">
        <f aca="false">IF($B1304="","",IFERROR(INDEX(고객사!$B$5:$B$104,MATCH($B1304,고객사!$A$5:$A$104,0)),"코드 확인"))</f>
        <v/>
      </c>
      <c r="D1304" s="15"/>
      <c r="E1304" s="15"/>
      <c r="F1304" s="16"/>
      <c r="G1304" s="16"/>
      <c r="H1304" s="21" t="str">
        <f aca="false">IF(OR($B1304="",F1304=0),"",G1304/F1304)</f>
        <v/>
      </c>
      <c r="I1304" s="22" t="str">
        <f aca="false">IF($B1304="","",MAX(F1304-G1304,0))</f>
        <v/>
      </c>
      <c r="J1304" s="23" t="str">
        <f aca="false">IF($B1304="","",IFERROR(INDEX(고객사!$G$5:$G$104,MATCH($B1304,고객사!$A$5:$A$104,0)),""))</f>
        <v/>
      </c>
      <c r="K1304" s="16"/>
      <c r="L1304" s="22" t="str">
        <f aca="false">IF($B1304="","",K1304*IFERROR(INDEX(고객사!$L$5:$L$104,MATCH($B1304,고객사!$A$5:$A$104,0)),0))</f>
        <v/>
      </c>
      <c r="M1304" s="23" t="str">
        <f aca="false">IF($B1304="","",IF(AND(J1304="N",G1304&gt;0,K1304=0,IFERROR(INDEX(고객사!$H$5:$H$104,MATCH($B1304,고객사!$A$5:$A$104,0)),"")="자사 차량 운행"),"차량 미배정",""))</f>
        <v/>
      </c>
      <c r="N1304" s="22" t="str">
        <f aca="false">IF($B1304="","",IFERROR(INDEX(고객사!$J$5:$J$104,MATCH($B1304,고객사!$A$5:$A$104,0)),0))</f>
        <v/>
      </c>
      <c r="O1304" s="22" t="str">
        <f aca="false">IF($B1304="","",G1304*N1304)</f>
        <v/>
      </c>
      <c r="P1304" s="22" t="str">
        <f aca="false">IF($B1304="","",IFERROR(INDEX(고객사!$K$5:$K$104,MATCH($B1304,고객사!$A$5:$A$104,0)),0))</f>
        <v/>
      </c>
      <c r="Q1304" s="22" t="str">
        <f aca="false">IF($B1304="","",G1304*P1304)</f>
        <v/>
      </c>
      <c r="R1304" s="22" t="str">
        <f aca="false">IF($B1304="","",O1304-Q1304-L1304)</f>
        <v/>
      </c>
      <c r="S1304" s="21" t="str">
        <f aca="false">IF(OR($B1304="",N(O1304)=0),"",R1304/O1304)</f>
        <v/>
      </c>
      <c r="T1304" s="14"/>
      <c r="U1304" s="19" t="n">
        <f aca="false">IF(OR($B1304="",$A1304=""),0,IF(COUNTIFS($A$5:$A1304,$A1304,$B$5:$B1304,$B1304)=1,1,0))</f>
        <v>0</v>
      </c>
    </row>
    <row r="1305" customFormat="false" ht="15" hidden="false" customHeight="false" outlineLevel="0" collapsed="false">
      <c r="A1305" s="17"/>
      <c r="B1305" s="13"/>
      <c r="C1305" s="20" t="str">
        <f aca="false">IF($B1305="","",IFERROR(INDEX(고객사!$B$5:$B$104,MATCH($B1305,고객사!$A$5:$A$104,0)),"코드 확인"))</f>
        <v/>
      </c>
      <c r="D1305" s="15"/>
      <c r="E1305" s="15"/>
      <c r="F1305" s="16"/>
      <c r="G1305" s="16"/>
      <c r="H1305" s="21" t="str">
        <f aca="false">IF(OR($B1305="",F1305=0),"",G1305/F1305)</f>
        <v/>
      </c>
      <c r="I1305" s="22" t="str">
        <f aca="false">IF($B1305="","",MAX(F1305-G1305,0))</f>
        <v/>
      </c>
      <c r="J1305" s="23" t="str">
        <f aca="false">IF($B1305="","",IFERROR(INDEX(고객사!$G$5:$G$104,MATCH($B1305,고객사!$A$5:$A$104,0)),""))</f>
        <v/>
      </c>
      <c r="K1305" s="16"/>
      <c r="L1305" s="22" t="str">
        <f aca="false">IF($B1305="","",K1305*IFERROR(INDEX(고객사!$L$5:$L$104,MATCH($B1305,고객사!$A$5:$A$104,0)),0))</f>
        <v/>
      </c>
      <c r="M1305" s="23" t="str">
        <f aca="false">IF($B1305="","",IF(AND(J1305="N",G1305&gt;0,K1305=0,IFERROR(INDEX(고객사!$H$5:$H$104,MATCH($B1305,고객사!$A$5:$A$104,0)),"")="자사 차량 운행"),"차량 미배정",""))</f>
        <v/>
      </c>
      <c r="N1305" s="22" t="str">
        <f aca="false">IF($B1305="","",IFERROR(INDEX(고객사!$J$5:$J$104,MATCH($B1305,고객사!$A$5:$A$104,0)),0))</f>
        <v/>
      </c>
      <c r="O1305" s="22" t="str">
        <f aca="false">IF($B1305="","",G1305*N1305)</f>
        <v/>
      </c>
      <c r="P1305" s="22" t="str">
        <f aca="false">IF($B1305="","",IFERROR(INDEX(고객사!$K$5:$K$104,MATCH($B1305,고객사!$A$5:$A$104,0)),0))</f>
        <v/>
      </c>
      <c r="Q1305" s="22" t="str">
        <f aca="false">IF($B1305="","",G1305*P1305)</f>
        <v/>
      </c>
      <c r="R1305" s="22" t="str">
        <f aca="false">IF($B1305="","",O1305-Q1305-L1305)</f>
        <v/>
      </c>
      <c r="S1305" s="21" t="str">
        <f aca="false">IF(OR($B1305="",N(O1305)=0),"",R1305/O1305)</f>
        <v/>
      </c>
      <c r="T1305" s="14"/>
      <c r="U1305" s="19" t="n">
        <f aca="false">IF(OR($B1305="",$A1305=""),0,IF(COUNTIFS($A$5:$A1305,$A1305,$B$5:$B1305,$B1305)=1,1,0))</f>
        <v>0</v>
      </c>
    </row>
    <row r="1306" customFormat="false" ht="15" hidden="false" customHeight="false" outlineLevel="0" collapsed="false">
      <c r="A1306" s="17"/>
      <c r="B1306" s="13"/>
      <c r="C1306" s="20" t="str">
        <f aca="false">IF($B1306="","",IFERROR(INDEX(고객사!$B$5:$B$104,MATCH($B1306,고객사!$A$5:$A$104,0)),"코드 확인"))</f>
        <v/>
      </c>
      <c r="D1306" s="15"/>
      <c r="E1306" s="15"/>
      <c r="F1306" s="16"/>
      <c r="G1306" s="16"/>
      <c r="H1306" s="21" t="str">
        <f aca="false">IF(OR($B1306="",F1306=0),"",G1306/F1306)</f>
        <v/>
      </c>
      <c r="I1306" s="22" t="str">
        <f aca="false">IF($B1306="","",MAX(F1306-G1306,0))</f>
        <v/>
      </c>
      <c r="J1306" s="23" t="str">
        <f aca="false">IF($B1306="","",IFERROR(INDEX(고객사!$G$5:$G$104,MATCH($B1306,고객사!$A$5:$A$104,0)),""))</f>
        <v/>
      </c>
      <c r="K1306" s="16"/>
      <c r="L1306" s="22" t="str">
        <f aca="false">IF($B1306="","",K1306*IFERROR(INDEX(고객사!$L$5:$L$104,MATCH($B1306,고객사!$A$5:$A$104,0)),0))</f>
        <v/>
      </c>
      <c r="M1306" s="23" t="str">
        <f aca="false">IF($B1306="","",IF(AND(J1306="N",G1306&gt;0,K1306=0,IFERROR(INDEX(고객사!$H$5:$H$104,MATCH($B1306,고객사!$A$5:$A$104,0)),"")="자사 차량 운행"),"차량 미배정",""))</f>
        <v/>
      </c>
      <c r="N1306" s="22" t="str">
        <f aca="false">IF($B1306="","",IFERROR(INDEX(고객사!$J$5:$J$104,MATCH($B1306,고객사!$A$5:$A$104,0)),0))</f>
        <v/>
      </c>
      <c r="O1306" s="22" t="str">
        <f aca="false">IF($B1306="","",G1306*N1306)</f>
        <v/>
      </c>
      <c r="P1306" s="22" t="str">
        <f aca="false">IF($B1306="","",IFERROR(INDEX(고객사!$K$5:$K$104,MATCH($B1306,고객사!$A$5:$A$104,0)),0))</f>
        <v/>
      </c>
      <c r="Q1306" s="22" t="str">
        <f aca="false">IF($B1306="","",G1306*P1306)</f>
        <v/>
      </c>
      <c r="R1306" s="22" t="str">
        <f aca="false">IF($B1306="","",O1306-Q1306-L1306)</f>
        <v/>
      </c>
      <c r="S1306" s="21" t="str">
        <f aca="false">IF(OR($B1306="",N(O1306)=0),"",R1306/O1306)</f>
        <v/>
      </c>
      <c r="T1306" s="14"/>
      <c r="U1306" s="19" t="n">
        <f aca="false">IF(OR($B1306="",$A1306=""),0,IF(COUNTIFS($A$5:$A1306,$A1306,$B$5:$B1306,$B1306)=1,1,0))</f>
        <v>0</v>
      </c>
    </row>
    <row r="1307" customFormat="false" ht="15" hidden="false" customHeight="false" outlineLevel="0" collapsed="false">
      <c r="A1307" s="17"/>
      <c r="B1307" s="13"/>
      <c r="C1307" s="20" t="str">
        <f aca="false">IF($B1307="","",IFERROR(INDEX(고객사!$B$5:$B$104,MATCH($B1307,고객사!$A$5:$A$104,0)),"코드 확인"))</f>
        <v/>
      </c>
      <c r="D1307" s="15"/>
      <c r="E1307" s="15"/>
      <c r="F1307" s="16"/>
      <c r="G1307" s="16"/>
      <c r="H1307" s="21" t="str">
        <f aca="false">IF(OR($B1307="",F1307=0),"",G1307/F1307)</f>
        <v/>
      </c>
      <c r="I1307" s="22" t="str">
        <f aca="false">IF($B1307="","",MAX(F1307-G1307,0))</f>
        <v/>
      </c>
      <c r="J1307" s="23" t="str">
        <f aca="false">IF($B1307="","",IFERROR(INDEX(고객사!$G$5:$G$104,MATCH($B1307,고객사!$A$5:$A$104,0)),""))</f>
        <v/>
      </c>
      <c r="K1307" s="16"/>
      <c r="L1307" s="22" t="str">
        <f aca="false">IF($B1307="","",K1307*IFERROR(INDEX(고객사!$L$5:$L$104,MATCH($B1307,고객사!$A$5:$A$104,0)),0))</f>
        <v/>
      </c>
      <c r="M1307" s="23" t="str">
        <f aca="false">IF($B1307="","",IF(AND(J1307="N",G1307&gt;0,K1307=0,IFERROR(INDEX(고객사!$H$5:$H$104,MATCH($B1307,고객사!$A$5:$A$104,0)),"")="자사 차량 운행"),"차량 미배정",""))</f>
        <v/>
      </c>
      <c r="N1307" s="22" t="str">
        <f aca="false">IF($B1307="","",IFERROR(INDEX(고객사!$J$5:$J$104,MATCH($B1307,고객사!$A$5:$A$104,0)),0))</f>
        <v/>
      </c>
      <c r="O1307" s="22" t="str">
        <f aca="false">IF($B1307="","",G1307*N1307)</f>
        <v/>
      </c>
      <c r="P1307" s="22" t="str">
        <f aca="false">IF($B1307="","",IFERROR(INDEX(고객사!$K$5:$K$104,MATCH($B1307,고객사!$A$5:$A$104,0)),0))</f>
        <v/>
      </c>
      <c r="Q1307" s="22" t="str">
        <f aca="false">IF($B1307="","",G1307*P1307)</f>
        <v/>
      </c>
      <c r="R1307" s="22" t="str">
        <f aca="false">IF($B1307="","",O1307-Q1307-L1307)</f>
        <v/>
      </c>
      <c r="S1307" s="21" t="str">
        <f aca="false">IF(OR($B1307="",N(O1307)=0),"",R1307/O1307)</f>
        <v/>
      </c>
      <c r="T1307" s="14"/>
      <c r="U1307" s="19" t="n">
        <f aca="false">IF(OR($B1307="",$A1307=""),0,IF(COUNTIFS($A$5:$A1307,$A1307,$B$5:$B1307,$B1307)=1,1,0))</f>
        <v>0</v>
      </c>
    </row>
    <row r="1308" customFormat="false" ht="15" hidden="false" customHeight="false" outlineLevel="0" collapsed="false">
      <c r="A1308" s="17"/>
      <c r="B1308" s="13"/>
      <c r="C1308" s="20" t="str">
        <f aca="false">IF($B1308="","",IFERROR(INDEX(고객사!$B$5:$B$104,MATCH($B1308,고객사!$A$5:$A$104,0)),"코드 확인"))</f>
        <v/>
      </c>
      <c r="D1308" s="15"/>
      <c r="E1308" s="15"/>
      <c r="F1308" s="16"/>
      <c r="G1308" s="16"/>
      <c r="H1308" s="21" t="str">
        <f aca="false">IF(OR($B1308="",F1308=0),"",G1308/F1308)</f>
        <v/>
      </c>
      <c r="I1308" s="22" t="str">
        <f aca="false">IF($B1308="","",MAX(F1308-G1308,0))</f>
        <v/>
      </c>
      <c r="J1308" s="23" t="str">
        <f aca="false">IF($B1308="","",IFERROR(INDEX(고객사!$G$5:$G$104,MATCH($B1308,고객사!$A$5:$A$104,0)),""))</f>
        <v/>
      </c>
      <c r="K1308" s="16"/>
      <c r="L1308" s="22" t="str">
        <f aca="false">IF($B1308="","",K1308*IFERROR(INDEX(고객사!$L$5:$L$104,MATCH($B1308,고객사!$A$5:$A$104,0)),0))</f>
        <v/>
      </c>
      <c r="M1308" s="23" t="str">
        <f aca="false">IF($B1308="","",IF(AND(J1308="N",G1308&gt;0,K1308=0,IFERROR(INDEX(고객사!$H$5:$H$104,MATCH($B1308,고객사!$A$5:$A$104,0)),"")="자사 차량 운행"),"차량 미배정",""))</f>
        <v/>
      </c>
      <c r="N1308" s="22" t="str">
        <f aca="false">IF($B1308="","",IFERROR(INDEX(고객사!$J$5:$J$104,MATCH($B1308,고객사!$A$5:$A$104,0)),0))</f>
        <v/>
      </c>
      <c r="O1308" s="22" t="str">
        <f aca="false">IF($B1308="","",G1308*N1308)</f>
        <v/>
      </c>
      <c r="P1308" s="22" t="str">
        <f aca="false">IF($B1308="","",IFERROR(INDEX(고객사!$K$5:$K$104,MATCH($B1308,고객사!$A$5:$A$104,0)),0))</f>
        <v/>
      </c>
      <c r="Q1308" s="22" t="str">
        <f aca="false">IF($B1308="","",G1308*P1308)</f>
        <v/>
      </c>
      <c r="R1308" s="22" t="str">
        <f aca="false">IF($B1308="","",O1308-Q1308-L1308)</f>
        <v/>
      </c>
      <c r="S1308" s="21" t="str">
        <f aca="false">IF(OR($B1308="",N(O1308)=0),"",R1308/O1308)</f>
        <v/>
      </c>
      <c r="T1308" s="14"/>
      <c r="U1308" s="19" t="n">
        <f aca="false">IF(OR($B1308="",$A1308=""),0,IF(COUNTIFS($A$5:$A1308,$A1308,$B$5:$B1308,$B1308)=1,1,0))</f>
        <v>0</v>
      </c>
    </row>
    <row r="1309" customFormat="false" ht="15" hidden="false" customHeight="false" outlineLevel="0" collapsed="false">
      <c r="A1309" s="17"/>
      <c r="B1309" s="13"/>
      <c r="C1309" s="20" t="str">
        <f aca="false">IF($B1309="","",IFERROR(INDEX(고객사!$B$5:$B$104,MATCH($B1309,고객사!$A$5:$A$104,0)),"코드 확인"))</f>
        <v/>
      </c>
      <c r="D1309" s="15"/>
      <c r="E1309" s="15"/>
      <c r="F1309" s="16"/>
      <c r="G1309" s="16"/>
      <c r="H1309" s="21" t="str">
        <f aca="false">IF(OR($B1309="",F1309=0),"",G1309/F1309)</f>
        <v/>
      </c>
      <c r="I1309" s="22" t="str">
        <f aca="false">IF($B1309="","",MAX(F1309-G1309,0))</f>
        <v/>
      </c>
      <c r="J1309" s="23" t="str">
        <f aca="false">IF($B1309="","",IFERROR(INDEX(고객사!$G$5:$G$104,MATCH($B1309,고객사!$A$5:$A$104,0)),""))</f>
        <v/>
      </c>
      <c r="K1309" s="16"/>
      <c r="L1309" s="22" t="str">
        <f aca="false">IF($B1309="","",K1309*IFERROR(INDEX(고객사!$L$5:$L$104,MATCH($B1309,고객사!$A$5:$A$104,0)),0))</f>
        <v/>
      </c>
      <c r="M1309" s="23" t="str">
        <f aca="false">IF($B1309="","",IF(AND(J1309="N",G1309&gt;0,K1309=0,IFERROR(INDEX(고객사!$H$5:$H$104,MATCH($B1309,고객사!$A$5:$A$104,0)),"")="자사 차량 운행"),"차량 미배정",""))</f>
        <v/>
      </c>
      <c r="N1309" s="22" t="str">
        <f aca="false">IF($B1309="","",IFERROR(INDEX(고객사!$J$5:$J$104,MATCH($B1309,고객사!$A$5:$A$104,0)),0))</f>
        <v/>
      </c>
      <c r="O1309" s="22" t="str">
        <f aca="false">IF($B1309="","",G1309*N1309)</f>
        <v/>
      </c>
      <c r="P1309" s="22" t="str">
        <f aca="false">IF($B1309="","",IFERROR(INDEX(고객사!$K$5:$K$104,MATCH($B1309,고객사!$A$5:$A$104,0)),0))</f>
        <v/>
      </c>
      <c r="Q1309" s="22" t="str">
        <f aca="false">IF($B1309="","",G1309*P1309)</f>
        <v/>
      </c>
      <c r="R1309" s="22" t="str">
        <f aca="false">IF($B1309="","",O1309-Q1309-L1309)</f>
        <v/>
      </c>
      <c r="S1309" s="21" t="str">
        <f aca="false">IF(OR($B1309="",N(O1309)=0),"",R1309/O1309)</f>
        <v/>
      </c>
      <c r="T1309" s="14"/>
      <c r="U1309" s="19" t="n">
        <f aca="false">IF(OR($B1309="",$A1309=""),0,IF(COUNTIFS($A$5:$A1309,$A1309,$B$5:$B1309,$B1309)=1,1,0))</f>
        <v>0</v>
      </c>
    </row>
    <row r="1310" customFormat="false" ht="15" hidden="false" customHeight="false" outlineLevel="0" collapsed="false">
      <c r="A1310" s="17"/>
      <c r="B1310" s="13"/>
      <c r="C1310" s="20" t="str">
        <f aca="false">IF($B1310="","",IFERROR(INDEX(고객사!$B$5:$B$104,MATCH($B1310,고객사!$A$5:$A$104,0)),"코드 확인"))</f>
        <v/>
      </c>
      <c r="D1310" s="15"/>
      <c r="E1310" s="15"/>
      <c r="F1310" s="16"/>
      <c r="G1310" s="16"/>
      <c r="H1310" s="21" t="str">
        <f aca="false">IF(OR($B1310="",F1310=0),"",G1310/F1310)</f>
        <v/>
      </c>
      <c r="I1310" s="22" t="str">
        <f aca="false">IF($B1310="","",MAX(F1310-G1310,0))</f>
        <v/>
      </c>
      <c r="J1310" s="23" t="str">
        <f aca="false">IF($B1310="","",IFERROR(INDEX(고객사!$G$5:$G$104,MATCH($B1310,고객사!$A$5:$A$104,0)),""))</f>
        <v/>
      </c>
      <c r="K1310" s="16"/>
      <c r="L1310" s="22" t="str">
        <f aca="false">IF($B1310="","",K1310*IFERROR(INDEX(고객사!$L$5:$L$104,MATCH($B1310,고객사!$A$5:$A$104,0)),0))</f>
        <v/>
      </c>
      <c r="M1310" s="23" t="str">
        <f aca="false">IF($B1310="","",IF(AND(J1310="N",G1310&gt;0,K1310=0,IFERROR(INDEX(고객사!$H$5:$H$104,MATCH($B1310,고객사!$A$5:$A$104,0)),"")="자사 차량 운행"),"차량 미배정",""))</f>
        <v/>
      </c>
      <c r="N1310" s="22" t="str">
        <f aca="false">IF($B1310="","",IFERROR(INDEX(고객사!$J$5:$J$104,MATCH($B1310,고객사!$A$5:$A$104,0)),0))</f>
        <v/>
      </c>
      <c r="O1310" s="22" t="str">
        <f aca="false">IF($B1310="","",G1310*N1310)</f>
        <v/>
      </c>
      <c r="P1310" s="22" t="str">
        <f aca="false">IF($B1310="","",IFERROR(INDEX(고객사!$K$5:$K$104,MATCH($B1310,고객사!$A$5:$A$104,0)),0))</f>
        <v/>
      </c>
      <c r="Q1310" s="22" t="str">
        <f aca="false">IF($B1310="","",G1310*P1310)</f>
        <v/>
      </c>
      <c r="R1310" s="22" t="str">
        <f aca="false">IF($B1310="","",O1310-Q1310-L1310)</f>
        <v/>
      </c>
      <c r="S1310" s="21" t="str">
        <f aca="false">IF(OR($B1310="",N(O1310)=0),"",R1310/O1310)</f>
        <v/>
      </c>
      <c r="T1310" s="14"/>
      <c r="U1310" s="19" t="n">
        <f aca="false">IF(OR($B1310="",$A1310=""),0,IF(COUNTIFS($A$5:$A1310,$A1310,$B$5:$B1310,$B1310)=1,1,0))</f>
        <v>0</v>
      </c>
    </row>
    <row r="1311" customFormat="false" ht="15" hidden="false" customHeight="false" outlineLevel="0" collapsed="false">
      <c r="A1311" s="17"/>
      <c r="B1311" s="13"/>
      <c r="C1311" s="20" t="str">
        <f aca="false">IF($B1311="","",IFERROR(INDEX(고객사!$B$5:$B$104,MATCH($B1311,고객사!$A$5:$A$104,0)),"코드 확인"))</f>
        <v/>
      </c>
      <c r="D1311" s="15"/>
      <c r="E1311" s="15"/>
      <c r="F1311" s="16"/>
      <c r="G1311" s="16"/>
      <c r="H1311" s="21" t="str">
        <f aca="false">IF(OR($B1311="",F1311=0),"",G1311/F1311)</f>
        <v/>
      </c>
      <c r="I1311" s="22" t="str">
        <f aca="false">IF($B1311="","",MAX(F1311-G1311,0))</f>
        <v/>
      </c>
      <c r="J1311" s="23" t="str">
        <f aca="false">IF($B1311="","",IFERROR(INDEX(고객사!$G$5:$G$104,MATCH($B1311,고객사!$A$5:$A$104,0)),""))</f>
        <v/>
      </c>
      <c r="K1311" s="16"/>
      <c r="L1311" s="22" t="str">
        <f aca="false">IF($B1311="","",K1311*IFERROR(INDEX(고객사!$L$5:$L$104,MATCH($B1311,고객사!$A$5:$A$104,0)),0))</f>
        <v/>
      </c>
      <c r="M1311" s="23" t="str">
        <f aca="false">IF($B1311="","",IF(AND(J1311="N",G1311&gt;0,K1311=0,IFERROR(INDEX(고객사!$H$5:$H$104,MATCH($B1311,고객사!$A$5:$A$104,0)),"")="자사 차량 운행"),"차량 미배정",""))</f>
        <v/>
      </c>
      <c r="N1311" s="22" t="str">
        <f aca="false">IF($B1311="","",IFERROR(INDEX(고객사!$J$5:$J$104,MATCH($B1311,고객사!$A$5:$A$104,0)),0))</f>
        <v/>
      </c>
      <c r="O1311" s="22" t="str">
        <f aca="false">IF($B1311="","",G1311*N1311)</f>
        <v/>
      </c>
      <c r="P1311" s="22" t="str">
        <f aca="false">IF($B1311="","",IFERROR(INDEX(고객사!$K$5:$K$104,MATCH($B1311,고객사!$A$5:$A$104,0)),0))</f>
        <v/>
      </c>
      <c r="Q1311" s="22" t="str">
        <f aca="false">IF($B1311="","",G1311*P1311)</f>
        <v/>
      </c>
      <c r="R1311" s="22" t="str">
        <f aca="false">IF($B1311="","",O1311-Q1311-L1311)</f>
        <v/>
      </c>
      <c r="S1311" s="21" t="str">
        <f aca="false">IF(OR($B1311="",N(O1311)=0),"",R1311/O1311)</f>
        <v/>
      </c>
      <c r="T1311" s="14"/>
      <c r="U1311" s="19" t="n">
        <f aca="false">IF(OR($B1311="",$A1311=""),0,IF(COUNTIFS($A$5:$A1311,$A1311,$B$5:$B1311,$B1311)=1,1,0))</f>
        <v>0</v>
      </c>
    </row>
    <row r="1312" customFormat="false" ht="15" hidden="false" customHeight="false" outlineLevel="0" collapsed="false">
      <c r="A1312" s="17"/>
      <c r="B1312" s="13"/>
      <c r="C1312" s="20" t="str">
        <f aca="false">IF($B1312="","",IFERROR(INDEX(고객사!$B$5:$B$104,MATCH($B1312,고객사!$A$5:$A$104,0)),"코드 확인"))</f>
        <v/>
      </c>
      <c r="D1312" s="15"/>
      <c r="E1312" s="15"/>
      <c r="F1312" s="16"/>
      <c r="G1312" s="16"/>
      <c r="H1312" s="21" t="str">
        <f aca="false">IF(OR($B1312="",F1312=0),"",G1312/F1312)</f>
        <v/>
      </c>
      <c r="I1312" s="22" t="str">
        <f aca="false">IF($B1312="","",MAX(F1312-G1312,0))</f>
        <v/>
      </c>
      <c r="J1312" s="23" t="str">
        <f aca="false">IF($B1312="","",IFERROR(INDEX(고객사!$G$5:$G$104,MATCH($B1312,고객사!$A$5:$A$104,0)),""))</f>
        <v/>
      </c>
      <c r="K1312" s="16"/>
      <c r="L1312" s="22" t="str">
        <f aca="false">IF($B1312="","",K1312*IFERROR(INDEX(고객사!$L$5:$L$104,MATCH($B1312,고객사!$A$5:$A$104,0)),0))</f>
        <v/>
      </c>
      <c r="M1312" s="23" t="str">
        <f aca="false">IF($B1312="","",IF(AND(J1312="N",G1312&gt;0,K1312=0,IFERROR(INDEX(고객사!$H$5:$H$104,MATCH($B1312,고객사!$A$5:$A$104,0)),"")="자사 차량 운행"),"차량 미배정",""))</f>
        <v/>
      </c>
      <c r="N1312" s="22" t="str">
        <f aca="false">IF($B1312="","",IFERROR(INDEX(고객사!$J$5:$J$104,MATCH($B1312,고객사!$A$5:$A$104,0)),0))</f>
        <v/>
      </c>
      <c r="O1312" s="22" t="str">
        <f aca="false">IF($B1312="","",G1312*N1312)</f>
        <v/>
      </c>
      <c r="P1312" s="22" t="str">
        <f aca="false">IF($B1312="","",IFERROR(INDEX(고객사!$K$5:$K$104,MATCH($B1312,고객사!$A$5:$A$104,0)),0))</f>
        <v/>
      </c>
      <c r="Q1312" s="22" t="str">
        <f aca="false">IF($B1312="","",G1312*P1312)</f>
        <v/>
      </c>
      <c r="R1312" s="22" t="str">
        <f aca="false">IF($B1312="","",O1312-Q1312-L1312)</f>
        <v/>
      </c>
      <c r="S1312" s="21" t="str">
        <f aca="false">IF(OR($B1312="",N(O1312)=0),"",R1312/O1312)</f>
        <v/>
      </c>
      <c r="T1312" s="14"/>
      <c r="U1312" s="19" t="n">
        <f aca="false">IF(OR($B1312="",$A1312=""),0,IF(COUNTIFS($A$5:$A1312,$A1312,$B$5:$B1312,$B1312)=1,1,0))</f>
        <v>0</v>
      </c>
    </row>
    <row r="1313" customFormat="false" ht="15" hidden="false" customHeight="false" outlineLevel="0" collapsed="false">
      <c r="A1313" s="17"/>
      <c r="B1313" s="13"/>
      <c r="C1313" s="20" t="str">
        <f aca="false">IF($B1313="","",IFERROR(INDEX(고객사!$B$5:$B$104,MATCH($B1313,고객사!$A$5:$A$104,0)),"코드 확인"))</f>
        <v/>
      </c>
      <c r="D1313" s="15"/>
      <c r="E1313" s="15"/>
      <c r="F1313" s="16"/>
      <c r="G1313" s="16"/>
      <c r="H1313" s="21" t="str">
        <f aca="false">IF(OR($B1313="",F1313=0),"",G1313/F1313)</f>
        <v/>
      </c>
      <c r="I1313" s="22" t="str">
        <f aca="false">IF($B1313="","",MAX(F1313-G1313,0))</f>
        <v/>
      </c>
      <c r="J1313" s="23" t="str">
        <f aca="false">IF($B1313="","",IFERROR(INDEX(고객사!$G$5:$G$104,MATCH($B1313,고객사!$A$5:$A$104,0)),""))</f>
        <v/>
      </c>
      <c r="K1313" s="16"/>
      <c r="L1313" s="22" t="str">
        <f aca="false">IF($B1313="","",K1313*IFERROR(INDEX(고객사!$L$5:$L$104,MATCH($B1313,고객사!$A$5:$A$104,0)),0))</f>
        <v/>
      </c>
      <c r="M1313" s="23" t="str">
        <f aca="false">IF($B1313="","",IF(AND(J1313="N",G1313&gt;0,K1313=0,IFERROR(INDEX(고객사!$H$5:$H$104,MATCH($B1313,고객사!$A$5:$A$104,0)),"")="자사 차량 운행"),"차량 미배정",""))</f>
        <v/>
      </c>
      <c r="N1313" s="22" t="str">
        <f aca="false">IF($B1313="","",IFERROR(INDEX(고객사!$J$5:$J$104,MATCH($B1313,고객사!$A$5:$A$104,0)),0))</f>
        <v/>
      </c>
      <c r="O1313" s="22" t="str">
        <f aca="false">IF($B1313="","",G1313*N1313)</f>
        <v/>
      </c>
      <c r="P1313" s="22" t="str">
        <f aca="false">IF($B1313="","",IFERROR(INDEX(고객사!$K$5:$K$104,MATCH($B1313,고객사!$A$5:$A$104,0)),0))</f>
        <v/>
      </c>
      <c r="Q1313" s="22" t="str">
        <f aca="false">IF($B1313="","",G1313*P1313)</f>
        <v/>
      </c>
      <c r="R1313" s="22" t="str">
        <f aca="false">IF($B1313="","",O1313-Q1313-L1313)</f>
        <v/>
      </c>
      <c r="S1313" s="21" t="str">
        <f aca="false">IF(OR($B1313="",N(O1313)=0),"",R1313/O1313)</f>
        <v/>
      </c>
      <c r="T1313" s="14"/>
      <c r="U1313" s="19" t="n">
        <f aca="false">IF(OR($B1313="",$A1313=""),0,IF(COUNTIFS($A$5:$A1313,$A1313,$B$5:$B1313,$B1313)=1,1,0))</f>
        <v>0</v>
      </c>
    </row>
    <row r="1314" customFormat="false" ht="15" hidden="false" customHeight="false" outlineLevel="0" collapsed="false">
      <c r="A1314" s="17"/>
      <c r="B1314" s="13"/>
      <c r="C1314" s="20" t="str">
        <f aca="false">IF($B1314="","",IFERROR(INDEX(고객사!$B$5:$B$104,MATCH($B1314,고객사!$A$5:$A$104,0)),"코드 확인"))</f>
        <v/>
      </c>
      <c r="D1314" s="15"/>
      <c r="E1314" s="15"/>
      <c r="F1314" s="16"/>
      <c r="G1314" s="16"/>
      <c r="H1314" s="21" t="str">
        <f aca="false">IF(OR($B1314="",F1314=0),"",G1314/F1314)</f>
        <v/>
      </c>
      <c r="I1314" s="22" t="str">
        <f aca="false">IF($B1314="","",MAX(F1314-G1314,0))</f>
        <v/>
      </c>
      <c r="J1314" s="23" t="str">
        <f aca="false">IF($B1314="","",IFERROR(INDEX(고객사!$G$5:$G$104,MATCH($B1314,고객사!$A$5:$A$104,0)),""))</f>
        <v/>
      </c>
      <c r="K1314" s="16"/>
      <c r="L1314" s="22" t="str">
        <f aca="false">IF($B1314="","",K1314*IFERROR(INDEX(고객사!$L$5:$L$104,MATCH($B1314,고객사!$A$5:$A$104,0)),0))</f>
        <v/>
      </c>
      <c r="M1314" s="23" t="str">
        <f aca="false">IF($B1314="","",IF(AND(J1314="N",G1314&gt;0,K1314=0,IFERROR(INDEX(고객사!$H$5:$H$104,MATCH($B1314,고객사!$A$5:$A$104,0)),"")="자사 차량 운행"),"차량 미배정",""))</f>
        <v/>
      </c>
      <c r="N1314" s="22" t="str">
        <f aca="false">IF($B1314="","",IFERROR(INDEX(고객사!$J$5:$J$104,MATCH($B1314,고객사!$A$5:$A$104,0)),0))</f>
        <v/>
      </c>
      <c r="O1314" s="22" t="str">
        <f aca="false">IF($B1314="","",G1314*N1314)</f>
        <v/>
      </c>
      <c r="P1314" s="22" t="str">
        <f aca="false">IF($B1314="","",IFERROR(INDEX(고객사!$K$5:$K$104,MATCH($B1314,고객사!$A$5:$A$104,0)),0))</f>
        <v/>
      </c>
      <c r="Q1314" s="22" t="str">
        <f aca="false">IF($B1314="","",G1314*P1314)</f>
        <v/>
      </c>
      <c r="R1314" s="22" t="str">
        <f aca="false">IF($B1314="","",O1314-Q1314-L1314)</f>
        <v/>
      </c>
      <c r="S1314" s="21" t="str">
        <f aca="false">IF(OR($B1314="",N(O1314)=0),"",R1314/O1314)</f>
        <v/>
      </c>
      <c r="T1314" s="14"/>
      <c r="U1314" s="19" t="n">
        <f aca="false">IF(OR($B1314="",$A1314=""),0,IF(COUNTIFS($A$5:$A1314,$A1314,$B$5:$B1314,$B1314)=1,1,0))</f>
        <v>0</v>
      </c>
    </row>
    <row r="1315" customFormat="false" ht="15" hidden="false" customHeight="false" outlineLevel="0" collapsed="false">
      <c r="A1315" s="17"/>
      <c r="B1315" s="13"/>
      <c r="C1315" s="20" t="str">
        <f aca="false">IF($B1315="","",IFERROR(INDEX(고객사!$B$5:$B$104,MATCH($B1315,고객사!$A$5:$A$104,0)),"코드 확인"))</f>
        <v/>
      </c>
      <c r="D1315" s="15"/>
      <c r="E1315" s="15"/>
      <c r="F1315" s="16"/>
      <c r="G1315" s="16"/>
      <c r="H1315" s="21" t="str">
        <f aca="false">IF(OR($B1315="",F1315=0),"",G1315/F1315)</f>
        <v/>
      </c>
      <c r="I1315" s="22" t="str">
        <f aca="false">IF($B1315="","",MAX(F1315-G1315,0))</f>
        <v/>
      </c>
      <c r="J1315" s="23" t="str">
        <f aca="false">IF($B1315="","",IFERROR(INDEX(고객사!$G$5:$G$104,MATCH($B1315,고객사!$A$5:$A$104,0)),""))</f>
        <v/>
      </c>
      <c r="K1315" s="16"/>
      <c r="L1315" s="22" t="str">
        <f aca="false">IF($B1315="","",K1315*IFERROR(INDEX(고객사!$L$5:$L$104,MATCH($B1315,고객사!$A$5:$A$104,0)),0))</f>
        <v/>
      </c>
      <c r="M1315" s="23" t="str">
        <f aca="false">IF($B1315="","",IF(AND(J1315="N",G1315&gt;0,K1315=0,IFERROR(INDEX(고객사!$H$5:$H$104,MATCH($B1315,고객사!$A$5:$A$104,0)),"")="자사 차량 운행"),"차량 미배정",""))</f>
        <v/>
      </c>
      <c r="N1315" s="22" t="str">
        <f aca="false">IF($B1315="","",IFERROR(INDEX(고객사!$J$5:$J$104,MATCH($B1315,고객사!$A$5:$A$104,0)),0))</f>
        <v/>
      </c>
      <c r="O1315" s="22" t="str">
        <f aca="false">IF($B1315="","",G1315*N1315)</f>
        <v/>
      </c>
      <c r="P1315" s="22" t="str">
        <f aca="false">IF($B1315="","",IFERROR(INDEX(고객사!$K$5:$K$104,MATCH($B1315,고객사!$A$5:$A$104,0)),0))</f>
        <v/>
      </c>
      <c r="Q1315" s="22" t="str">
        <f aca="false">IF($B1315="","",G1315*P1315)</f>
        <v/>
      </c>
      <c r="R1315" s="22" t="str">
        <f aca="false">IF($B1315="","",O1315-Q1315-L1315)</f>
        <v/>
      </c>
      <c r="S1315" s="21" t="str">
        <f aca="false">IF(OR($B1315="",N(O1315)=0),"",R1315/O1315)</f>
        <v/>
      </c>
      <c r="T1315" s="14"/>
      <c r="U1315" s="19" t="n">
        <f aca="false">IF(OR($B1315="",$A1315=""),0,IF(COUNTIFS($A$5:$A1315,$A1315,$B$5:$B1315,$B1315)=1,1,0))</f>
        <v>0</v>
      </c>
    </row>
    <row r="1316" customFormat="false" ht="15" hidden="false" customHeight="false" outlineLevel="0" collapsed="false">
      <c r="A1316" s="17"/>
      <c r="B1316" s="13"/>
      <c r="C1316" s="20" t="str">
        <f aca="false">IF($B1316="","",IFERROR(INDEX(고객사!$B$5:$B$104,MATCH($B1316,고객사!$A$5:$A$104,0)),"코드 확인"))</f>
        <v/>
      </c>
      <c r="D1316" s="15"/>
      <c r="E1316" s="15"/>
      <c r="F1316" s="16"/>
      <c r="G1316" s="16"/>
      <c r="H1316" s="21" t="str">
        <f aca="false">IF(OR($B1316="",F1316=0),"",G1316/F1316)</f>
        <v/>
      </c>
      <c r="I1316" s="22" t="str">
        <f aca="false">IF($B1316="","",MAX(F1316-G1316,0))</f>
        <v/>
      </c>
      <c r="J1316" s="23" t="str">
        <f aca="false">IF($B1316="","",IFERROR(INDEX(고객사!$G$5:$G$104,MATCH($B1316,고객사!$A$5:$A$104,0)),""))</f>
        <v/>
      </c>
      <c r="K1316" s="16"/>
      <c r="L1316" s="22" t="str">
        <f aca="false">IF($B1316="","",K1316*IFERROR(INDEX(고객사!$L$5:$L$104,MATCH($B1316,고객사!$A$5:$A$104,0)),0))</f>
        <v/>
      </c>
      <c r="M1316" s="23" t="str">
        <f aca="false">IF($B1316="","",IF(AND(J1316="N",G1316&gt;0,K1316=0,IFERROR(INDEX(고객사!$H$5:$H$104,MATCH($B1316,고객사!$A$5:$A$104,0)),"")="자사 차량 운행"),"차량 미배정",""))</f>
        <v/>
      </c>
      <c r="N1316" s="22" t="str">
        <f aca="false">IF($B1316="","",IFERROR(INDEX(고객사!$J$5:$J$104,MATCH($B1316,고객사!$A$5:$A$104,0)),0))</f>
        <v/>
      </c>
      <c r="O1316" s="22" t="str">
        <f aca="false">IF($B1316="","",G1316*N1316)</f>
        <v/>
      </c>
      <c r="P1316" s="22" t="str">
        <f aca="false">IF($B1316="","",IFERROR(INDEX(고객사!$K$5:$K$104,MATCH($B1316,고객사!$A$5:$A$104,0)),0))</f>
        <v/>
      </c>
      <c r="Q1316" s="22" t="str">
        <f aca="false">IF($B1316="","",G1316*P1316)</f>
        <v/>
      </c>
      <c r="R1316" s="22" t="str">
        <f aca="false">IF($B1316="","",O1316-Q1316-L1316)</f>
        <v/>
      </c>
      <c r="S1316" s="21" t="str">
        <f aca="false">IF(OR($B1316="",N(O1316)=0),"",R1316/O1316)</f>
        <v/>
      </c>
      <c r="T1316" s="14"/>
      <c r="U1316" s="19" t="n">
        <f aca="false">IF(OR($B1316="",$A1316=""),0,IF(COUNTIFS($A$5:$A1316,$A1316,$B$5:$B1316,$B1316)=1,1,0))</f>
        <v>0</v>
      </c>
    </row>
    <row r="1317" customFormat="false" ht="15" hidden="false" customHeight="false" outlineLevel="0" collapsed="false">
      <c r="A1317" s="17"/>
      <c r="B1317" s="13"/>
      <c r="C1317" s="20" t="str">
        <f aca="false">IF($B1317="","",IFERROR(INDEX(고객사!$B$5:$B$104,MATCH($B1317,고객사!$A$5:$A$104,0)),"코드 확인"))</f>
        <v/>
      </c>
      <c r="D1317" s="15"/>
      <c r="E1317" s="15"/>
      <c r="F1317" s="16"/>
      <c r="G1317" s="16"/>
      <c r="H1317" s="21" t="str">
        <f aca="false">IF(OR($B1317="",F1317=0),"",G1317/F1317)</f>
        <v/>
      </c>
      <c r="I1317" s="22" t="str">
        <f aca="false">IF($B1317="","",MAX(F1317-G1317,0))</f>
        <v/>
      </c>
      <c r="J1317" s="23" t="str">
        <f aca="false">IF($B1317="","",IFERROR(INDEX(고객사!$G$5:$G$104,MATCH($B1317,고객사!$A$5:$A$104,0)),""))</f>
        <v/>
      </c>
      <c r="K1317" s="16"/>
      <c r="L1317" s="22" t="str">
        <f aca="false">IF($B1317="","",K1317*IFERROR(INDEX(고객사!$L$5:$L$104,MATCH($B1317,고객사!$A$5:$A$104,0)),0))</f>
        <v/>
      </c>
      <c r="M1317" s="23" t="str">
        <f aca="false">IF($B1317="","",IF(AND(J1317="N",G1317&gt;0,K1317=0,IFERROR(INDEX(고객사!$H$5:$H$104,MATCH($B1317,고객사!$A$5:$A$104,0)),"")="자사 차량 운행"),"차량 미배정",""))</f>
        <v/>
      </c>
      <c r="N1317" s="22" t="str">
        <f aca="false">IF($B1317="","",IFERROR(INDEX(고객사!$J$5:$J$104,MATCH($B1317,고객사!$A$5:$A$104,0)),0))</f>
        <v/>
      </c>
      <c r="O1317" s="22" t="str">
        <f aca="false">IF($B1317="","",G1317*N1317)</f>
        <v/>
      </c>
      <c r="P1317" s="22" t="str">
        <f aca="false">IF($B1317="","",IFERROR(INDEX(고객사!$K$5:$K$104,MATCH($B1317,고객사!$A$5:$A$104,0)),0))</f>
        <v/>
      </c>
      <c r="Q1317" s="22" t="str">
        <f aca="false">IF($B1317="","",G1317*P1317)</f>
        <v/>
      </c>
      <c r="R1317" s="22" t="str">
        <f aca="false">IF($B1317="","",O1317-Q1317-L1317)</f>
        <v/>
      </c>
      <c r="S1317" s="21" t="str">
        <f aca="false">IF(OR($B1317="",N(O1317)=0),"",R1317/O1317)</f>
        <v/>
      </c>
      <c r="T1317" s="14"/>
      <c r="U1317" s="19" t="n">
        <f aca="false">IF(OR($B1317="",$A1317=""),0,IF(COUNTIFS($A$5:$A1317,$A1317,$B$5:$B1317,$B1317)=1,1,0))</f>
        <v>0</v>
      </c>
    </row>
    <row r="1318" customFormat="false" ht="15" hidden="false" customHeight="false" outlineLevel="0" collapsed="false">
      <c r="A1318" s="17"/>
      <c r="B1318" s="13"/>
      <c r="C1318" s="20" t="str">
        <f aca="false">IF($B1318="","",IFERROR(INDEX(고객사!$B$5:$B$104,MATCH($B1318,고객사!$A$5:$A$104,0)),"코드 확인"))</f>
        <v/>
      </c>
      <c r="D1318" s="15"/>
      <c r="E1318" s="15"/>
      <c r="F1318" s="16"/>
      <c r="G1318" s="16"/>
      <c r="H1318" s="21" t="str">
        <f aca="false">IF(OR($B1318="",F1318=0),"",G1318/F1318)</f>
        <v/>
      </c>
      <c r="I1318" s="22" t="str">
        <f aca="false">IF($B1318="","",MAX(F1318-G1318,0))</f>
        <v/>
      </c>
      <c r="J1318" s="23" t="str">
        <f aca="false">IF($B1318="","",IFERROR(INDEX(고객사!$G$5:$G$104,MATCH($B1318,고객사!$A$5:$A$104,0)),""))</f>
        <v/>
      </c>
      <c r="K1318" s="16"/>
      <c r="L1318" s="22" t="str">
        <f aca="false">IF($B1318="","",K1318*IFERROR(INDEX(고객사!$L$5:$L$104,MATCH($B1318,고객사!$A$5:$A$104,0)),0))</f>
        <v/>
      </c>
      <c r="M1318" s="23" t="str">
        <f aca="false">IF($B1318="","",IF(AND(J1318="N",G1318&gt;0,K1318=0,IFERROR(INDEX(고객사!$H$5:$H$104,MATCH($B1318,고객사!$A$5:$A$104,0)),"")="자사 차량 운행"),"차량 미배정",""))</f>
        <v/>
      </c>
      <c r="N1318" s="22" t="str">
        <f aca="false">IF($B1318="","",IFERROR(INDEX(고객사!$J$5:$J$104,MATCH($B1318,고객사!$A$5:$A$104,0)),0))</f>
        <v/>
      </c>
      <c r="O1318" s="22" t="str">
        <f aca="false">IF($B1318="","",G1318*N1318)</f>
        <v/>
      </c>
      <c r="P1318" s="22" t="str">
        <f aca="false">IF($B1318="","",IFERROR(INDEX(고객사!$K$5:$K$104,MATCH($B1318,고객사!$A$5:$A$104,0)),0))</f>
        <v/>
      </c>
      <c r="Q1318" s="22" t="str">
        <f aca="false">IF($B1318="","",G1318*P1318)</f>
        <v/>
      </c>
      <c r="R1318" s="22" t="str">
        <f aca="false">IF($B1318="","",O1318-Q1318-L1318)</f>
        <v/>
      </c>
      <c r="S1318" s="21" t="str">
        <f aca="false">IF(OR($B1318="",N(O1318)=0),"",R1318/O1318)</f>
        <v/>
      </c>
      <c r="T1318" s="14"/>
      <c r="U1318" s="19" t="n">
        <f aca="false">IF(OR($B1318="",$A1318=""),0,IF(COUNTIFS($A$5:$A1318,$A1318,$B$5:$B1318,$B1318)=1,1,0))</f>
        <v>0</v>
      </c>
    </row>
    <row r="1319" customFormat="false" ht="15" hidden="false" customHeight="false" outlineLevel="0" collapsed="false">
      <c r="A1319" s="17"/>
      <c r="B1319" s="13"/>
      <c r="C1319" s="20" t="str">
        <f aca="false">IF($B1319="","",IFERROR(INDEX(고객사!$B$5:$B$104,MATCH($B1319,고객사!$A$5:$A$104,0)),"코드 확인"))</f>
        <v/>
      </c>
      <c r="D1319" s="15"/>
      <c r="E1319" s="15"/>
      <c r="F1319" s="16"/>
      <c r="G1319" s="16"/>
      <c r="H1319" s="21" t="str">
        <f aca="false">IF(OR($B1319="",F1319=0),"",G1319/F1319)</f>
        <v/>
      </c>
      <c r="I1319" s="22" t="str">
        <f aca="false">IF($B1319="","",MAX(F1319-G1319,0))</f>
        <v/>
      </c>
      <c r="J1319" s="23" t="str">
        <f aca="false">IF($B1319="","",IFERROR(INDEX(고객사!$G$5:$G$104,MATCH($B1319,고객사!$A$5:$A$104,0)),""))</f>
        <v/>
      </c>
      <c r="K1319" s="16"/>
      <c r="L1319" s="22" t="str">
        <f aca="false">IF($B1319="","",K1319*IFERROR(INDEX(고객사!$L$5:$L$104,MATCH($B1319,고객사!$A$5:$A$104,0)),0))</f>
        <v/>
      </c>
      <c r="M1319" s="23" t="str">
        <f aca="false">IF($B1319="","",IF(AND(J1319="N",G1319&gt;0,K1319=0,IFERROR(INDEX(고객사!$H$5:$H$104,MATCH($B1319,고객사!$A$5:$A$104,0)),"")="자사 차량 운행"),"차량 미배정",""))</f>
        <v/>
      </c>
      <c r="N1319" s="22" t="str">
        <f aca="false">IF($B1319="","",IFERROR(INDEX(고객사!$J$5:$J$104,MATCH($B1319,고객사!$A$5:$A$104,0)),0))</f>
        <v/>
      </c>
      <c r="O1319" s="22" t="str">
        <f aca="false">IF($B1319="","",G1319*N1319)</f>
        <v/>
      </c>
      <c r="P1319" s="22" t="str">
        <f aca="false">IF($B1319="","",IFERROR(INDEX(고객사!$K$5:$K$104,MATCH($B1319,고객사!$A$5:$A$104,0)),0))</f>
        <v/>
      </c>
      <c r="Q1319" s="22" t="str">
        <f aca="false">IF($B1319="","",G1319*P1319)</f>
        <v/>
      </c>
      <c r="R1319" s="22" t="str">
        <f aca="false">IF($B1319="","",O1319-Q1319-L1319)</f>
        <v/>
      </c>
      <c r="S1319" s="21" t="str">
        <f aca="false">IF(OR($B1319="",N(O1319)=0),"",R1319/O1319)</f>
        <v/>
      </c>
      <c r="T1319" s="14"/>
      <c r="U1319" s="19" t="n">
        <f aca="false">IF(OR($B1319="",$A1319=""),0,IF(COUNTIFS($A$5:$A1319,$A1319,$B$5:$B1319,$B1319)=1,1,0))</f>
        <v>0</v>
      </c>
    </row>
    <row r="1320" customFormat="false" ht="15" hidden="false" customHeight="false" outlineLevel="0" collapsed="false">
      <c r="A1320" s="17"/>
      <c r="B1320" s="13"/>
      <c r="C1320" s="20" t="str">
        <f aca="false">IF($B1320="","",IFERROR(INDEX(고객사!$B$5:$B$104,MATCH($B1320,고객사!$A$5:$A$104,0)),"코드 확인"))</f>
        <v/>
      </c>
      <c r="D1320" s="15"/>
      <c r="E1320" s="15"/>
      <c r="F1320" s="16"/>
      <c r="G1320" s="16"/>
      <c r="H1320" s="21" t="str">
        <f aca="false">IF(OR($B1320="",F1320=0),"",G1320/F1320)</f>
        <v/>
      </c>
      <c r="I1320" s="22" t="str">
        <f aca="false">IF($B1320="","",MAX(F1320-G1320,0))</f>
        <v/>
      </c>
      <c r="J1320" s="23" t="str">
        <f aca="false">IF($B1320="","",IFERROR(INDEX(고객사!$G$5:$G$104,MATCH($B1320,고객사!$A$5:$A$104,0)),""))</f>
        <v/>
      </c>
      <c r="K1320" s="16"/>
      <c r="L1320" s="22" t="str">
        <f aca="false">IF($B1320="","",K1320*IFERROR(INDEX(고객사!$L$5:$L$104,MATCH($B1320,고객사!$A$5:$A$104,0)),0))</f>
        <v/>
      </c>
      <c r="M1320" s="23" t="str">
        <f aca="false">IF($B1320="","",IF(AND(J1320="N",G1320&gt;0,K1320=0,IFERROR(INDEX(고객사!$H$5:$H$104,MATCH($B1320,고객사!$A$5:$A$104,0)),"")="자사 차량 운행"),"차량 미배정",""))</f>
        <v/>
      </c>
      <c r="N1320" s="22" t="str">
        <f aca="false">IF($B1320="","",IFERROR(INDEX(고객사!$J$5:$J$104,MATCH($B1320,고객사!$A$5:$A$104,0)),0))</f>
        <v/>
      </c>
      <c r="O1320" s="22" t="str">
        <f aca="false">IF($B1320="","",G1320*N1320)</f>
        <v/>
      </c>
      <c r="P1320" s="22" t="str">
        <f aca="false">IF($B1320="","",IFERROR(INDEX(고객사!$K$5:$K$104,MATCH($B1320,고객사!$A$5:$A$104,0)),0))</f>
        <v/>
      </c>
      <c r="Q1320" s="22" t="str">
        <f aca="false">IF($B1320="","",G1320*P1320)</f>
        <v/>
      </c>
      <c r="R1320" s="22" t="str">
        <f aca="false">IF($B1320="","",O1320-Q1320-L1320)</f>
        <v/>
      </c>
      <c r="S1320" s="21" t="str">
        <f aca="false">IF(OR($B1320="",N(O1320)=0),"",R1320/O1320)</f>
        <v/>
      </c>
      <c r="T1320" s="14"/>
      <c r="U1320" s="19" t="n">
        <f aca="false">IF(OR($B1320="",$A1320=""),0,IF(COUNTIFS($A$5:$A1320,$A1320,$B$5:$B1320,$B1320)=1,1,0))</f>
        <v>0</v>
      </c>
    </row>
    <row r="1321" customFormat="false" ht="15" hidden="false" customHeight="false" outlineLevel="0" collapsed="false">
      <c r="A1321" s="17"/>
      <c r="B1321" s="13"/>
      <c r="C1321" s="20" t="str">
        <f aca="false">IF($B1321="","",IFERROR(INDEX(고객사!$B$5:$B$104,MATCH($B1321,고객사!$A$5:$A$104,0)),"코드 확인"))</f>
        <v/>
      </c>
      <c r="D1321" s="15"/>
      <c r="E1321" s="15"/>
      <c r="F1321" s="16"/>
      <c r="G1321" s="16"/>
      <c r="H1321" s="21" t="str">
        <f aca="false">IF(OR($B1321="",F1321=0),"",G1321/F1321)</f>
        <v/>
      </c>
      <c r="I1321" s="22" t="str">
        <f aca="false">IF($B1321="","",MAX(F1321-G1321,0))</f>
        <v/>
      </c>
      <c r="J1321" s="23" t="str">
        <f aca="false">IF($B1321="","",IFERROR(INDEX(고객사!$G$5:$G$104,MATCH($B1321,고객사!$A$5:$A$104,0)),""))</f>
        <v/>
      </c>
      <c r="K1321" s="16"/>
      <c r="L1321" s="22" t="str">
        <f aca="false">IF($B1321="","",K1321*IFERROR(INDEX(고객사!$L$5:$L$104,MATCH($B1321,고객사!$A$5:$A$104,0)),0))</f>
        <v/>
      </c>
      <c r="M1321" s="23" t="str">
        <f aca="false">IF($B1321="","",IF(AND(J1321="N",G1321&gt;0,K1321=0,IFERROR(INDEX(고객사!$H$5:$H$104,MATCH($B1321,고객사!$A$5:$A$104,0)),"")="자사 차량 운행"),"차량 미배정",""))</f>
        <v/>
      </c>
      <c r="N1321" s="22" t="str">
        <f aca="false">IF($B1321="","",IFERROR(INDEX(고객사!$J$5:$J$104,MATCH($B1321,고객사!$A$5:$A$104,0)),0))</f>
        <v/>
      </c>
      <c r="O1321" s="22" t="str">
        <f aca="false">IF($B1321="","",G1321*N1321)</f>
        <v/>
      </c>
      <c r="P1321" s="22" t="str">
        <f aca="false">IF($B1321="","",IFERROR(INDEX(고객사!$K$5:$K$104,MATCH($B1321,고객사!$A$5:$A$104,0)),0))</f>
        <v/>
      </c>
      <c r="Q1321" s="22" t="str">
        <f aca="false">IF($B1321="","",G1321*P1321)</f>
        <v/>
      </c>
      <c r="R1321" s="22" t="str">
        <f aca="false">IF($B1321="","",O1321-Q1321-L1321)</f>
        <v/>
      </c>
      <c r="S1321" s="21" t="str">
        <f aca="false">IF(OR($B1321="",N(O1321)=0),"",R1321/O1321)</f>
        <v/>
      </c>
      <c r="T1321" s="14"/>
      <c r="U1321" s="19" t="n">
        <f aca="false">IF(OR($B1321="",$A1321=""),0,IF(COUNTIFS($A$5:$A1321,$A1321,$B$5:$B1321,$B1321)=1,1,0))</f>
        <v>0</v>
      </c>
    </row>
    <row r="1322" customFormat="false" ht="15" hidden="false" customHeight="false" outlineLevel="0" collapsed="false">
      <c r="A1322" s="17"/>
      <c r="B1322" s="13"/>
      <c r="C1322" s="20" t="str">
        <f aca="false">IF($B1322="","",IFERROR(INDEX(고객사!$B$5:$B$104,MATCH($B1322,고객사!$A$5:$A$104,0)),"코드 확인"))</f>
        <v/>
      </c>
      <c r="D1322" s="15"/>
      <c r="E1322" s="15"/>
      <c r="F1322" s="16"/>
      <c r="G1322" s="16"/>
      <c r="H1322" s="21" t="str">
        <f aca="false">IF(OR($B1322="",F1322=0),"",G1322/F1322)</f>
        <v/>
      </c>
      <c r="I1322" s="22" t="str">
        <f aca="false">IF($B1322="","",MAX(F1322-G1322,0))</f>
        <v/>
      </c>
      <c r="J1322" s="23" t="str">
        <f aca="false">IF($B1322="","",IFERROR(INDEX(고객사!$G$5:$G$104,MATCH($B1322,고객사!$A$5:$A$104,0)),""))</f>
        <v/>
      </c>
      <c r="K1322" s="16"/>
      <c r="L1322" s="22" t="str">
        <f aca="false">IF($B1322="","",K1322*IFERROR(INDEX(고객사!$L$5:$L$104,MATCH($B1322,고객사!$A$5:$A$104,0)),0))</f>
        <v/>
      </c>
      <c r="M1322" s="23" t="str">
        <f aca="false">IF($B1322="","",IF(AND(J1322="N",G1322&gt;0,K1322=0,IFERROR(INDEX(고객사!$H$5:$H$104,MATCH($B1322,고객사!$A$5:$A$104,0)),"")="자사 차량 운행"),"차량 미배정",""))</f>
        <v/>
      </c>
      <c r="N1322" s="22" t="str">
        <f aca="false">IF($B1322="","",IFERROR(INDEX(고객사!$J$5:$J$104,MATCH($B1322,고객사!$A$5:$A$104,0)),0))</f>
        <v/>
      </c>
      <c r="O1322" s="22" t="str">
        <f aca="false">IF($B1322="","",G1322*N1322)</f>
        <v/>
      </c>
      <c r="P1322" s="22" t="str">
        <f aca="false">IF($B1322="","",IFERROR(INDEX(고객사!$K$5:$K$104,MATCH($B1322,고객사!$A$5:$A$104,0)),0))</f>
        <v/>
      </c>
      <c r="Q1322" s="22" t="str">
        <f aca="false">IF($B1322="","",G1322*P1322)</f>
        <v/>
      </c>
      <c r="R1322" s="22" t="str">
        <f aca="false">IF($B1322="","",O1322-Q1322-L1322)</f>
        <v/>
      </c>
      <c r="S1322" s="21" t="str">
        <f aca="false">IF(OR($B1322="",N(O1322)=0),"",R1322/O1322)</f>
        <v/>
      </c>
      <c r="T1322" s="14"/>
      <c r="U1322" s="19" t="n">
        <f aca="false">IF(OR($B1322="",$A1322=""),0,IF(COUNTIFS($A$5:$A1322,$A1322,$B$5:$B1322,$B1322)=1,1,0))</f>
        <v>0</v>
      </c>
    </row>
    <row r="1323" customFormat="false" ht="15" hidden="false" customHeight="false" outlineLevel="0" collapsed="false">
      <c r="A1323" s="17"/>
      <c r="B1323" s="13"/>
      <c r="C1323" s="20" t="str">
        <f aca="false">IF($B1323="","",IFERROR(INDEX(고객사!$B$5:$B$104,MATCH($B1323,고객사!$A$5:$A$104,0)),"코드 확인"))</f>
        <v/>
      </c>
      <c r="D1323" s="15"/>
      <c r="E1323" s="15"/>
      <c r="F1323" s="16"/>
      <c r="G1323" s="16"/>
      <c r="H1323" s="21" t="str">
        <f aca="false">IF(OR($B1323="",F1323=0),"",G1323/F1323)</f>
        <v/>
      </c>
      <c r="I1323" s="22" t="str">
        <f aca="false">IF($B1323="","",MAX(F1323-G1323,0))</f>
        <v/>
      </c>
      <c r="J1323" s="23" t="str">
        <f aca="false">IF($B1323="","",IFERROR(INDEX(고객사!$G$5:$G$104,MATCH($B1323,고객사!$A$5:$A$104,0)),""))</f>
        <v/>
      </c>
      <c r="K1323" s="16"/>
      <c r="L1323" s="22" t="str">
        <f aca="false">IF($B1323="","",K1323*IFERROR(INDEX(고객사!$L$5:$L$104,MATCH($B1323,고객사!$A$5:$A$104,0)),0))</f>
        <v/>
      </c>
      <c r="M1323" s="23" t="str">
        <f aca="false">IF($B1323="","",IF(AND(J1323="N",G1323&gt;0,K1323=0,IFERROR(INDEX(고객사!$H$5:$H$104,MATCH($B1323,고객사!$A$5:$A$104,0)),"")="자사 차량 운행"),"차량 미배정",""))</f>
        <v/>
      </c>
      <c r="N1323" s="22" t="str">
        <f aca="false">IF($B1323="","",IFERROR(INDEX(고객사!$J$5:$J$104,MATCH($B1323,고객사!$A$5:$A$104,0)),0))</f>
        <v/>
      </c>
      <c r="O1323" s="22" t="str">
        <f aca="false">IF($B1323="","",G1323*N1323)</f>
        <v/>
      </c>
      <c r="P1323" s="22" t="str">
        <f aca="false">IF($B1323="","",IFERROR(INDEX(고객사!$K$5:$K$104,MATCH($B1323,고객사!$A$5:$A$104,0)),0))</f>
        <v/>
      </c>
      <c r="Q1323" s="22" t="str">
        <f aca="false">IF($B1323="","",G1323*P1323)</f>
        <v/>
      </c>
      <c r="R1323" s="22" t="str">
        <f aca="false">IF($B1323="","",O1323-Q1323-L1323)</f>
        <v/>
      </c>
      <c r="S1323" s="21" t="str">
        <f aca="false">IF(OR($B1323="",N(O1323)=0),"",R1323/O1323)</f>
        <v/>
      </c>
      <c r="T1323" s="14"/>
      <c r="U1323" s="19" t="n">
        <f aca="false">IF(OR($B1323="",$A1323=""),0,IF(COUNTIFS($A$5:$A1323,$A1323,$B$5:$B1323,$B1323)=1,1,0))</f>
        <v>0</v>
      </c>
    </row>
    <row r="1324" customFormat="false" ht="15" hidden="false" customHeight="false" outlineLevel="0" collapsed="false">
      <c r="A1324" s="17"/>
      <c r="B1324" s="13"/>
      <c r="C1324" s="20" t="str">
        <f aca="false">IF($B1324="","",IFERROR(INDEX(고객사!$B$5:$B$104,MATCH($B1324,고객사!$A$5:$A$104,0)),"코드 확인"))</f>
        <v/>
      </c>
      <c r="D1324" s="15"/>
      <c r="E1324" s="15"/>
      <c r="F1324" s="16"/>
      <c r="G1324" s="16"/>
      <c r="H1324" s="21" t="str">
        <f aca="false">IF(OR($B1324="",F1324=0),"",G1324/F1324)</f>
        <v/>
      </c>
      <c r="I1324" s="22" t="str">
        <f aca="false">IF($B1324="","",MAX(F1324-G1324,0))</f>
        <v/>
      </c>
      <c r="J1324" s="23" t="str">
        <f aca="false">IF($B1324="","",IFERROR(INDEX(고객사!$G$5:$G$104,MATCH($B1324,고객사!$A$5:$A$104,0)),""))</f>
        <v/>
      </c>
      <c r="K1324" s="16"/>
      <c r="L1324" s="22" t="str">
        <f aca="false">IF($B1324="","",K1324*IFERROR(INDEX(고객사!$L$5:$L$104,MATCH($B1324,고객사!$A$5:$A$104,0)),0))</f>
        <v/>
      </c>
      <c r="M1324" s="23" t="str">
        <f aca="false">IF($B1324="","",IF(AND(J1324="N",G1324&gt;0,K1324=0,IFERROR(INDEX(고객사!$H$5:$H$104,MATCH($B1324,고객사!$A$5:$A$104,0)),"")="자사 차량 운행"),"차량 미배정",""))</f>
        <v/>
      </c>
      <c r="N1324" s="22" t="str">
        <f aca="false">IF($B1324="","",IFERROR(INDEX(고객사!$J$5:$J$104,MATCH($B1324,고객사!$A$5:$A$104,0)),0))</f>
        <v/>
      </c>
      <c r="O1324" s="22" t="str">
        <f aca="false">IF($B1324="","",G1324*N1324)</f>
        <v/>
      </c>
      <c r="P1324" s="22" t="str">
        <f aca="false">IF($B1324="","",IFERROR(INDEX(고객사!$K$5:$K$104,MATCH($B1324,고객사!$A$5:$A$104,0)),0))</f>
        <v/>
      </c>
      <c r="Q1324" s="22" t="str">
        <f aca="false">IF($B1324="","",G1324*P1324)</f>
        <v/>
      </c>
      <c r="R1324" s="22" t="str">
        <f aca="false">IF($B1324="","",O1324-Q1324-L1324)</f>
        <v/>
      </c>
      <c r="S1324" s="21" t="str">
        <f aca="false">IF(OR($B1324="",N(O1324)=0),"",R1324/O1324)</f>
        <v/>
      </c>
      <c r="T1324" s="14"/>
      <c r="U1324" s="19" t="n">
        <f aca="false">IF(OR($B1324="",$A1324=""),0,IF(COUNTIFS($A$5:$A1324,$A1324,$B$5:$B1324,$B1324)=1,1,0))</f>
        <v>0</v>
      </c>
    </row>
    <row r="1325" customFormat="false" ht="15" hidden="false" customHeight="false" outlineLevel="0" collapsed="false">
      <c r="A1325" s="17"/>
      <c r="B1325" s="13"/>
      <c r="C1325" s="20" t="str">
        <f aca="false">IF($B1325="","",IFERROR(INDEX(고객사!$B$5:$B$104,MATCH($B1325,고객사!$A$5:$A$104,0)),"코드 확인"))</f>
        <v/>
      </c>
      <c r="D1325" s="15"/>
      <c r="E1325" s="15"/>
      <c r="F1325" s="16"/>
      <c r="G1325" s="16"/>
      <c r="H1325" s="21" t="str">
        <f aca="false">IF(OR($B1325="",F1325=0),"",G1325/F1325)</f>
        <v/>
      </c>
      <c r="I1325" s="22" t="str">
        <f aca="false">IF($B1325="","",MAX(F1325-G1325,0))</f>
        <v/>
      </c>
      <c r="J1325" s="23" t="str">
        <f aca="false">IF($B1325="","",IFERROR(INDEX(고객사!$G$5:$G$104,MATCH($B1325,고객사!$A$5:$A$104,0)),""))</f>
        <v/>
      </c>
      <c r="K1325" s="16"/>
      <c r="L1325" s="22" t="str">
        <f aca="false">IF($B1325="","",K1325*IFERROR(INDEX(고객사!$L$5:$L$104,MATCH($B1325,고객사!$A$5:$A$104,0)),0))</f>
        <v/>
      </c>
      <c r="M1325" s="23" t="str">
        <f aca="false">IF($B1325="","",IF(AND(J1325="N",G1325&gt;0,K1325=0,IFERROR(INDEX(고객사!$H$5:$H$104,MATCH($B1325,고객사!$A$5:$A$104,0)),"")="자사 차량 운행"),"차량 미배정",""))</f>
        <v/>
      </c>
      <c r="N1325" s="22" t="str">
        <f aca="false">IF($B1325="","",IFERROR(INDEX(고객사!$J$5:$J$104,MATCH($B1325,고객사!$A$5:$A$104,0)),0))</f>
        <v/>
      </c>
      <c r="O1325" s="22" t="str">
        <f aca="false">IF($B1325="","",G1325*N1325)</f>
        <v/>
      </c>
      <c r="P1325" s="22" t="str">
        <f aca="false">IF($B1325="","",IFERROR(INDEX(고객사!$K$5:$K$104,MATCH($B1325,고객사!$A$5:$A$104,0)),0))</f>
        <v/>
      </c>
      <c r="Q1325" s="22" t="str">
        <f aca="false">IF($B1325="","",G1325*P1325)</f>
        <v/>
      </c>
      <c r="R1325" s="22" t="str">
        <f aca="false">IF($B1325="","",O1325-Q1325-L1325)</f>
        <v/>
      </c>
      <c r="S1325" s="21" t="str">
        <f aca="false">IF(OR($B1325="",N(O1325)=0),"",R1325/O1325)</f>
        <v/>
      </c>
      <c r="T1325" s="14"/>
      <c r="U1325" s="19" t="n">
        <f aca="false">IF(OR($B1325="",$A1325=""),0,IF(COUNTIFS($A$5:$A1325,$A1325,$B$5:$B1325,$B1325)=1,1,0))</f>
        <v>0</v>
      </c>
    </row>
    <row r="1326" customFormat="false" ht="15" hidden="false" customHeight="false" outlineLevel="0" collapsed="false">
      <c r="A1326" s="17"/>
      <c r="B1326" s="13"/>
      <c r="C1326" s="20" t="str">
        <f aca="false">IF($B1326="","",IFERROR(INDEX(고객사!$B$5:$B$104,MATCH($B1326,고객사!$A$5:$A$104,0)),"코드 확인"))</f>
        <v/>
      </c>
      <c r="D1326" s="15"/>
      <c r="E1326" s="15"/>
      <c r="F1326" s="16"/>
      <c r="G1326" s="16"/>
      <c r="H1326" s="21" t="str">
        <f aca="false">IF(OR($B1326="",F1326=0),"",G1326/F1326)</f>
        <v/>
      </c>
      <c r="I1326" s="22" t="str">
        <f aca="false">IF($B1326="","",MAX(F1326-G1326,0))</f>
        <v/>
      </c>
      <c r="J1326" s="23" t="str">
        <f aca="false">IF($B1326="","",IFERROR(INDEX(고객사!$G$5:$G$104,MATCH($B1326,고객사!$A$5:$A$104,0)),""))</f>
        <v/>
      </c>
      <c r="K1326" s="16"/>
      <c r="L1326" s="22" t="str">
        <f aca="false">IF($B1326="","",K1326*IFERROR(INDEX(고객사!$L$5:$L$104,MATCH($B1326,고객사!$A$5:$A$104,0)),0))</f>
        <v/>
      </c>
      <c r="M1326" s="23" t="str">
        <f aca="false">IF($B1326="","",IF(AND(J1326="N",G1326&gt;0,K1326=0,IFERROR(INDEX(고객사!$H$5:$H$104,MATCH($B1326,고객사!$A$5:$A$104,0)),"")="자사 차량 운행"),"차량 미배정",""))</f>
        <v/>
      </c>
      <c r="N1326" s="22" t="str">
        <f aca="false">IF($B1326="","",IFERROR(INDEX(고객사!$J$5:$J$104,MATCH($B1326,고객사!$A$5:$A$104,0)),0))</f>
        <v/>
      </c>
      <c r="O1326" s="22" t="str">
        <f aca="false">IF($B1326="","",G1326*N1326)</f>
        <v/>
      </c>
      <c r="P1326" s="22" t="str">
        <f aca="false">IF($B1326="","",IFERROR(INDEX(고객사!$K$5:$K$104,MATCH($B1326,고객사!$A$5:$A$104,0)),0))</f>
        <v/>
      </c>
      <c r="Q1326" s="22" t="str">
        <f aca="false">IF($B1326="","",G1326*P1326)</f>
        <v/>
      </c>
      <c r="R1326" s="22" t="str">
        <f aca="false">IF($B1326="","",O1326-Q1326-L1326)</f>
        <v/>
      </c>
      <c r="S1326" s="21" t="str">
        <f aca="false">IF(OR($B1326="",N(O1326)=0),"",R1326/O1326)</f>
        <v/>
      </c>
      <c r="T1326" s="14"/>
      <c r="U1326" s="19" t="n">
        <f aca="false">IF(OR($B1326="",$A1326=""),0,IF(COUNTIFS($A$5:$A1326,$A1326,$B$5:$B1326,$B1326)=1,1,0))</f>
        <v>0</v>
      </c>
    </row>
    <row r="1327" customFormat="false" ht="15" hidden="false" customHeight="false" outlineLevel="0" collapsed="false">
      <c r="A1327" s="17"/>
      <c r="B1327" s="13"/>
      <c r="C1327" s="20" t="str">
        <f aca="false">IF($B1327="","",IFERROR(INDEX(고객사!$B$5:$B$104,MATCH($B1327,고객사!$A$5:$A$104,0)),"코드 확인"))</f>
        <v/>
      </c>
      <c r="D1327" s="15"/>
      <c r="E1327" s="15"/>
      <c r="F1327" s="16"/>
      <c r="G1327" s="16"/>
      <c r="H1327" s="21" t="str">
        <f aca="false">IF(OR($B1327="",F1327=0),"",G1327/F1327)</f>
        <v/>
      </c>
      <c r="I1327" s="22" t="str">
        <f aca="false">IF($B1327="","",MAX(F1327-G1327,0))</f>
        <v/>
      </c>
      <c r="J1327" s="23" t="str">
        <f aca="false">IF($B1327="","",IFERROR(INDEX(고객사!$G$5:$G$104,MATCH($B1327,고객사!$A$5:$A$104,0)),""))</f>
        <v/>
      </c>
      <c r="K1327" s="16"/>
      <c r="L1327" s="22" t="str">
        <f aca="false">IF($B1327="","",K1327*IFERROR(INDEX(고객사!$L$5:$L$104,MATCH($B1327,고객사!$A$5:$A$104,0)),0))</f>
        <v/>
      </c>
      <c r="M1327" s="23" t="str">
        <f aca="false">IF($B1327="","",IF(AND(J1327="N",G1327&gt;0,K1327=0,IFERROR(INDEX(고객사!$H$5:$H$104,MATCH($B1327,고객사!$A$5:$A$104,0)),"")="자사 차량 운행"),"차량 미배정",""))</f>
        <v/>
      </c>
      <c r="N1327" s="22" t="str">
        <f aca="false">IF($B1327="","",IFERROR(INDEX(고객사!$J$5:$J$104,MATCH($B1327,고객사!$A$5:$A$104,0)),0))</f>
        <v/>
      </c>
      <c r="O1327" s="22" t="str">
        <f aca="false">IF($B1327="","",G1327*N1327)</f>
        <v/>
      </c>
      <c r="P1327" s="22" t="str">
        <f aca="false">IF($B1327="","",IFERROR(INDEX(고객사!$K$5:$K$104,MATCH($B1327,고객사!$A$5:$A$104,0)),0))</f>
        <v/>
      </c>
      <c r="Q1327" s="22" t="str">
        <f aca="false">IF($B1327="","",G1327*P1327)</f>
        <v/>
      </c>
      <c r="R1327" s="22" t="str">
        <f aca="false">IF($B1327="","",O1327-Q1327-L1327)</f>
        <v/>
      </c>
      <c r="S1327" s="21" t="str">
        <f aca="false">IF(OR($B1327="",N(O1327)=0),"",R1327/O1327)</f>
        <v/>
      </c>
      <c r="T1327" s="14"/>
      <c r="U1327" s="19" t="n">
        <f aca="false">IF(OR($B1327="",$A1327=""),0,IF(COUNTIFS($A$5:$A1327,$A1327,$B$5:$B1327,$B1327)=1,1,0))</f>
        <v>0</v>
      </c>
    </row>
    <row r="1328" customFormat="false" ht="15" hidden="false" customHeight="false" outlineLevel="0" collapsed="false">
      <c r="A1328" s="17"/>
      <c r="B1328" s="13"/>
      <c r="C1328" s="20" t="str">
        <f aca="false">IF($B1328="","",IFERROR(INDEX(고객사!$B$5:$B$104,MATCH($B1328,고객사!$A$5:$A$104,0)),"코드 확인"))</f>
        <v/>
      </c>
      <c r="D1328" s="15"/>
      <c r="E1328" s="15"/>
      <c r="F1328" s="16"/>
      <c r="G1328" s="16"/>
      <c r="H1328" s="21" t="str">
        <f aca="false">IF(OR($B1328="",F1328=0),"",G1328/F1328)</f>
        <v/>
      </c>
      <c r="I1328" s="22" t="str">
        <f aca="false">IF($B1328="","",MAX(F1328-G1328,0))</f>
        <v/>
      </c>
      <c r="J1328" s="23" t="str">
        <f aca="false">IF($B1328="","",IFERROR(INDEX(고객사!$G$5:$G$104,MATCH($B1328,고객사!$A$5:$A$104,0)),""))</f>
        <v/>
      </c>
      <c r="K1328" s="16"/>
      <c r="L1328" s="22" t="str">
        <f aca="false">IF($B1328="","",K1328*IFERROR(INDEX(고객사!$L$5:$L$104,MATCH($B1328,고객사!$A$5:$A$104,0)),0))</f>
        <v/>
      </c>
      <c r="M1328" s="23" t="str">
        <f aca="false">IF($B1328="","",IF(AND(J1328="N",G1328&gt;0,K1328=0,IFERROR(INDEX(고객사!$H$5:$H$104,MATCH($B1328,고객사!$A$5:$A$104,0)),"")="자사 차량 운행"),"차량 미배정",""))</f>
        <v/>
      </c>
      <c r="N1328" s="22" t="str">
        <f aca="false">IF($B1328="","",IFERROR(INDEX(고객사!$J$5:$J$104,MATCH($B1328,고객사!$A$5:$A$104,0)),0))</f>
        <v/>
      </c>
      <c r="O1328" s="22" t="str">
        <f aca="false">IF($B1328="","",G1328*N1328)</f>
        <v/>
      </c>
      <c r="P1328" s="22" t="str">
        <f aca="false">IF($B1328="","",IFERROR(INDEX(고객사!$K$5:$K$104,MATCH($B1328,고객사!$A$5:$A$104,0)),0))</f>
        <v/>
      </c>
      <c r="Q1328" s="22" t="str">
        <f aca="false">IF($B1328="","",G1328*P1328)</f>
        <v/>
      </c>
      <c r="R1328" s="22" t="str">
        <f aca="false">IF($B1328="","",O1328-Q1328-L1328)</f>
        <v/>
      </c>
      <c r="S1328" s="21" t="str">
        <f aca="false">IF(OR($B1328="",N(O1328)=0),"",R1328/O1328)</f>
        <v/>
      </c>
      <c r="T1328" s="14"/>
      <c r="U1328" s="19" t="n">
        <f aca="false">IF(OR($B1328="",$A1328=""),0,IF(COUNTIFS($A$5:$A1328,$A1328,$B$5:$B1328,$B1328)=1,1,0))</f>
        <v>0</v>
      </c>
    </row>
    <row r="1329" customFormat="false" ht="15" hidden="false" customHeight="false" outlineLevel="0" collapsed="false">
      <c r="A1329" s="17"/>
      <c r="B1329" s="13"/>
      <c r="C1329" s="20" t="str">
        <f aca="false">IF($B1329="","",IFERROR(INDEX(고객사!$B$5:$B$104,MATCH($B1329,고객사!$A$5:$A$104,0)),"코드 확인"))</f>
        <v/>
      </c>
      <c r="D1329" s="15"/>
      <c r="E1329" s="15"/>
      <c r="F1329" s="16"/>
      <c r="G1329" s="16"/>
      <c r="H1329" s="21" t="str">
        <f aca="false">IF(OR($B1329="",F1329=0),"",G1329/F1329)</f>
        <v/>
      </c>
      <c r="I1329" s="22" t="str">
        <f aca="false">IF($B1329="","",MAX(F1329-G1329,0))</f>
        <v/>
      </c>
      <c r="J1329" s="23" t="str">
        <f aca="false">IF($B1329="","",IFERROR(INDEX(고객사!$G$5:$G$104,MATCH($B1329,고객사!$A$5:$A$104,0)),""))</f>
        <v/>
      </c>
      <c r="K1329" s="16"/>
      <c r="L1329" s="22" t="str">
        <f aca="false">IF($B1329="","",K1329*IFERROR(INDEX(고객사!$L$5:$L$104,MATCH($B1329,고객사!$A$5:$A$104,0)),0))</f>
        <v/>
      </c>
      <c r="M1329" s="23" t="str">
        <f aca="false">IF($B1329="","",IF(AND(J1329="N",G1329&gt;0,K1329=0,IFERROR(INDEX(고객사!$H$5:$H$104,MATCH($B1329,고객사!$A$5:$A$104,0)),"")="자사 차량 운행"),"차량 미배정",""))</f>
        <v/>
      </c>
      <c r="N1329" s="22" t="str">
        <f aca="false">IF($B1329="","",IFERROR(INDEX(고객사!$J$5:$J$104,MATCH($B1329,고객사!$A$5:$A$104,0)),0))</f>
        <v/>
      </c>
      <c r="O1329" s="22" t="str">
        <f aca="false">IF($B1329="","",G1329*N1329)</f>
        <v/>
      </c>
      <c r="P1329" s="22" t="str">
        <f aca="false">IF($B1329="","",IFERROR(INDEX(고객사!$K$5:$K$104,MATCH($B1329,고객사!$A$5:$A$104,0)),0))</f>
        <v/>
      </c>
      <c r="Q1329" s="22" t="str">
        <f aca="false">IF($B1329="","",G1329*P1329)</f>
        <v/>
      </c>
      <c r="R1329" s="22" t="str">
        <f aca="false">IF($B1329="","",O1329-Q1329-L1329)</f>
        <v/>
      </c>
      <c r="S1329" s="21" t="str">
        <f aca="false">IF(OR($B1329="",N(O1329)=0),"",R1329/O1329)</f>
        <v/>
      </c>
      <c r="T1329" s="14"/>
      <c r="U1329" s="19" t="n">
        <f aca="false">IF(OR($B1329="",$A1329=""),0,IF(COUNTIFS($A$5:$A1329,$A1329,$B$5:$B1329,$B1329)=1,1,0))</f>
        <v>0</v>
      </c>
    </row>
    <row r="1330" customFormat="false" ht="15" hidden="false" customHeight="false" outlineLevel="0" collapsed="false">
      <c r="A1330" s="17"/>
      <c r="B1330" s="13"/>
      <c r="C1330" s="20" t="str">
        <f aca="false">IF($B1330="","",IFERROR(INDEX(고객사!$B$5:$B$104,MATCH($B1330,고객사!$A$5:$A$104,0)),"코드 확인"))</f>
        <v/>
      </c>
      <c r="D1330" s="15"/>
      <c r="E1330" s="15"/>
      <c r="F1330" s="16"/>
      <c r="G1330" s="16"/>
      <c r="H1330" s="21" t="str">
        <f aca="false">IF(OR($B1330="",F1330=0),"",G1330/F1330)</f>
        <v/>
      </c>
      <c r="I1330" s="22" t="str">
        <f aca="false">IF($B1330="","",MAX(F1330-G1330,0))</f>
        <v/>
      </c>
      <c r="J1330" s="23" t="str">
        <f aca="false">IF($B1330="","",IFERROR(INDEX(고객사!$G$5:$G$104,MATCH($B1330,고객사!$A$5:$A$104,0)),""))</f>
        <v/>
      </c>
      <c r="K1330" s="16"/>
      <c r="L1330" s="22" t="str">
        <f aca="false">IF($B1330="","",K1330*IFERROR(INDEX(고객사!$L$5:$L$104,MATCH($B1330,고객사!$A$5:$A$104,0)),0))</f>
        <v/>
      </c>
      <c r="M1330" s="23" t="str">
        <f aca="false">IF($B1330="","",IF(AND(J1330="N",G1330&gt;0,K1330=0,IFERROR(INDEX(고객사!$H$5:$H$104,MATCH($B1330,고객사!$A$5:$A$104,0)),"")="자사 차량 운행"),"차량 미배정",""))</f>
        <v/>
      </c>
      <c r="N1330" s="22" t="str">
        <f aca="false">IF($B1330="","",IFERROR(INDEX(고객사!$J$5:$J$104,MATCH($B1330,고객사!$A$5:$A$104,0)),0))</f>
        <v/>
      </c>
      <c r="O1330" s="22" t="str">
        <f aca="false">IF($B1330="","",G1330*N1330)</f>
        <v/>
      </c>
      <c r="P1330" s="22" t="str">
        <f aca="false">IF($B1330="","",IFERROR(INDEX(고객사!$K$5:$K$104,MATCH($B1330,고객사!$A$5:$A$104,0)),0))</f>
        <v/>
      </c>
      <c r="Q1330" s="22" t="str">
        <f aca="false">IF($B1330="","",G1330*P1330)</f>
        <v/>
      </c>
      <c r="R1330" s="22" t="str">
        <f aca="false">IF($B1330="","",O1330-Q1330-L1330)</f>
        <v/>
      </c>
      <c r="S1330" s="21" t="str">
        <f aca="false">IF(OR($B1330="",N(O1330)=0),"",R1330/O1330)</f>
        <v/>
      </c>
      <c r="T1330" s="14"/>
      <c r="U1330" s="19" t="n">
        <f aca="false">IF(OR($B1330="",$A1330=""),0,IF(COUNTIFS($A$5:$A1330,$A1330,$B$5:$B1330,$B1330)=1,1,0))</f>
        <v>0</v>
      </c>
    </row>
    <row r="1331" customFormat="false" ht="15" hidden="false" customHeight="false" outlineLevel="0" collapsed="false">
      <c r="A1331" s="17"/>
      <c r="B1331" s="13"/>
      <c r="C1331" s="20" t="str">
        <f aca="false">IF($B1331="","",IFERROR(INDEX(고객사!$B$5:$B$104,MATCH($B1331,고객사!$A$5:$A$104,0)),"코드 확인"))</f>
        <v/>
      </c>
      <c r="D1331" s="15"/>
      <c r="E1331" s="15"/>
      <c r="F1331" s="16"/>
      <c r="G1331" s="16"/>
      <c r="H1331" s="21" t="str">
        <f aca="false">IF(OR($B1331="",F1331=0),"",G1331/F1331)</f>
        <v/>
      </c>
      <c r="I1331" s="22" t="str">
        <f aca="false">IF($B1331="","",MAX(F1331-G1331,0))</f>
        <v/>
      </c>
      <c r="J1331" s="23" t="str">
        <f aca="false">IF($B1331="","",IFERROR(INDEX(고객사!$G$5:$G$104,MATCH($B1331,고객사!$A$5:$A$104,0)),""))</f>
        <v/>
      </c>
      <c r="K1331" s="16"/>
      <c r="L1331" s="22" t="str">
        <f aca="false">IF($B1331="","",K1331*IFERROR(INDEX(고객사!$L$5:$L$104,MATCH($B1331,고객사!$A$5:$A$104,0)),0))</f>
        <v/>
      </c>
      <c r="M1331" s="23" t="str">
        <f aca="false">IF($B1331="","",IF(AND(J1331="N",G1331&gt;0,K1331=0,IFERROR(INDEX(고객사!$H$5:$H$104,MATCH($B1331,고객사!$A$5:$A$104,0)),"")="자사 차량 운행"),"차량 미배정",""))</f>
        <v/>
      </c>
      <c r="N1331" s="22" t="str">
        <f aca="false">IF($B1331="","",IFERROR(INDEX(고객사!$J$5:$J$104,MATCH($B1331,고객사!$A$5:$A$104,0)),0))</f>
        <v/>
      </c>
      <c r="O1331" s="22" t="str">
        <f aca="false">IF($B1331="","",G1331*N1331)</f>
        <v/>
      </c>
      <c r="P1331" s="22" t="str">
        <f aca="false">IF($B1331="","",IFERROR(INDEX(고객사!$K$5:$K$104,MATCH($B1331,고객사!$A$5:$A$104,0)),0))</f>
        <v/>
      </c>
      <c r="Q1331" s="22" t="str">
        <f aca="false">IF($B1331="","",G1331*P1331)</f>
        <v/>
      </c>
      <c r="R1331" s="22" t="str">
        <f aca="false">IF($B1331="","",O1331-Q1331-L1331)</f>
        <v/>
      </c>
      <c r="S1331" s="21" t="str">
        <f aca="false">IF(OR($B1331="",N(O1331)=0),"",R1331/O1331)</f>
        <v/>
      </c>
      <c r="T1331" s="14"/>
      <c r="U1331" s="19" t="n">
        <f aca="false">IF(OR($B1331="",$A1331=""),0,IF(COUNTIFS($A$5:$A1331,$A1331,$B$5:$B1331,$B1331)=1,1,0))</f>
        <v>0</v>
      </c>
    </row>
    <row r="1332" customFormat="false" ht="15" hidden="false" customHeight="false" outlineLevel="0" collapsed="false">
      <c r="A1332" s="17"/>
      <c r="B1332" s="13"/>
      <c r="C1332" s="20" t="str">
        <f aca="false">IF($B1332="","",IFERROR(INDEX(고객사!$B$5:$B$104,MATCH($B1332,고객사!$A$5:$A$104,0)),"코드 확인"))</f>
        <v/>
      </c>
      <c r="D1332" s="15"/>
      <c r="E1332" s="15"/>
      <c r="F1332" s="16"/>
      <c r="G1332" s="16"/>
      <c r="H1332" s="21" t="str">
        <f aca="false">IF(OR($B1332="",F1332=0),"",G1332/F1332)</f>
        <v/>
      </c>
      <c r="I1332" s="22" t="str">
        <f aca="false">IF($B1332="","",MAX(F1332-G1332,0))</f>
        <v/>
      </c>
      <c r="J1332" s="23" t="str">
        <f aca="false">IF($B1332="","",IFERROR(INDEX(고객사!$G$5:$G$104,MATCH($B1332,고객사!$A$5:$A$104,0)),""))</f>
        <v/>
      </c>
      <c r="K1332" s="16"/>
      <c r="L1332" s="22" t="str">
        <f aca="false">IF($B1332="","",K1332*IFERROR(INDEX(고객사!$L$5:$L$104,MATCH($B1332,고객사!$A$5:$A$104,0)),0))</f>
        <v/>
      </c>
      <c r="M1332" s="23" t="str">
        <f aca="false">IF($B1332="","",IF(AND(J1332="N",G1332&gt;0,K1332=0,IFERROR(INDEX(고객사!$H$5:$H$104,MATCH($B1332,고객사!$A$5:$A$104,0)),"")="자사 차량 운행"),"차량 미배정",""))</f>
        <v/>
      </c>
      <c r="N1332" s="22" t="str">
        <f aca="false">IF($B1332="","",IFERROR(INDEX(고객사!$J$5:$J$104,MATCH($B1332,고객사!$A$5:$A$104,0)),0))</f>
        <v/>
      </c>
      <c r="O1332" s="22" t="str">
        <f aca="false">IF($B1332="","",G1332*N1332)</f>
        <v/>
      </c>
      <c r="P1332" s="22" t="str">
        <f aca="false">IF($B1332="","",IFERROR(INDEX(고객사!$K$5:$K$104,MATCH($B1332,고객사!$A$5:$A$104,0)),0))</f>
        <v/>
      </c>
      <c r="Q1332" s="22" t="str">
        <f aca="false">IF($B1332="","",G1332*P1332)</f>
        <v/>
      </c>
      <c r="R1332" s="22" t="str">
        <f aca="false">IF($B1332="","",O1332-Q1332-L1332)</f>
        <v/>
      </c>
      <c r="S1332" s="21" t="str">
        <f aca="false">IF(OR($B1332="",N(O1332)=0),"",R1332/O1332)</f>
        <v/>
      </c>
      <c r="T1332" s="14"/>
      <c r="U1332" s="19" t="n">
        <f aca="false">IF(OR($B1332="",$A1332=""),0,IF(COUNTIFS($A$5:$A1332,$A1332,$B$5:$B1332,$B1332)=1,1,0))</f>
        <v>0</v>
      </c>
    </row>
    <row r="1333" customFormat="false" ht="15" hidden="false" customHeight="false" outlineLevel="0" collapsed="false">
      <c r="A1333" s="17"/>
      <c r="B1333" s="13"/>
      <c r="C1333" s="20" t="str">
        <f aca="false">IF($B1333="","",IFERROR(INDEX(고객사!$B$5:$B$104,MATCH($B1333,고객사!$A$5:$A$104,0)),"코드 확인"))</f>
        <v/>
      </c>
      <c r="D1333" s="15"/>
      <c r="E1333" s="15"/>
      <c r="F1333" s="16"/>
      <c r="G1333" s="16"/>
      <c r="H1333" s="21" t="str">
        <f aca="false">IF(OR($B1333="",F1333=0),"",G1333/F1333)</f>
        <v/>
      </c>
      <c r="I1333" s="22" t="str">
        <f aca="false">IF($B1333="","",MAX(F1333-G1333,0))</f>
        <v/>
      </c>
      <c r="J1333" s="23" t="str">
        <f aca="false">IF($B1333="","",IFERROR(INDEX(고객사!$G$5:$G$104,MATCH($B1333,고객사!$A$5:$A$104,0)),""))</f>
        <v/>
      </c>
      <c r="K1333" s="16"/>
      <c r="L1333" s="22" t="str">
        <f aca="false">IF($B1333="","",K1333*IFERROR(INDEX(고객사!$L$5:$L$104,MATCH($B1333,고객사!$A$5:$A$104,0)),0))</f>
        <v/>
      </c>
      <c r="M1333" s="23" t="str">
        <f aca="false">IF($B1333="","",IF(AND(J1333="N",G1333&gt;0,K1333=0,IFERROR(INDEX(고객사!$H$5:$H$104,MATCH($B1333,고객사!$A$5:$A$104,0)),"")="자사 차량 운행"),"차량 미배정",""))</f>
        <v/>
      </c>
      <c r="N1333" s="22" t="str">
        <f aca="false">IF($B1333="","",IFERROR(INDEX(고객사!$J$5:$J$104,MATCH($B1333,고객사!$A$5:$A$104,0)),0))</f>
        <v/>
      </c>
      <c r="O1333" s="22" t="str">
        <f aca="false">IF($B1333="","",G1333*N1333)</f>
        <v/>
      </c>
      <c r="P1333" s="22" t="str">
        <f aca="false">IF($B1333="","",IFERROR(INDEX(고객사!$K$5:$K$104,MATCH($B1333,고객사!$A$5:$A$104,0)),0))</f>
        <v/>
      </c>
      <c r="Q1333" s="22" t="str">
        <f aca="false">IF($B1333="","",G1333*P1333)</f>
        <v/>
      </c>
      <c r="R1333" s="22" t="str">
        <f aca="false">IF($B1333="","",O1333-Q1333-L1333)</f>
        <v/>
      </c>
      <c r="S1333" s="21" t="str">
        <f aca="false">IF(OR($B1333="",N(O1333)=0),"",R1333/O1333)</f>
        <v/>
      </c>
      <c r="T1333" s="14"/>
      <c r="U1333" s="19" t="n">
        <f aca="false">IF(OR($B1333="",$A1333=""),0,IF(COUNTIFS($A$5:$A1333,$A1333,$B$5:$B1333,$B1333)=1,1,0))</f>
        <v>0</v>
      </c>
    </row>
    <row r="1334" customFormat="false" ht="15" hidden="false" customHeight="false" outlineLevel="0" collapsed="false">
      <c r="A1334" s="17"/>
      <c r="B1334" s="13"/>
      <c r="C1334" s="20" t="str">
        <f aca="false">IF($B1334="","",IFERROR(INDEX(고객사!$B$5:$B$104,MATCH($B1334,고객사!$A$5:$A$104,0)),"코드 확인"))</f>
        <v/>
      </c>
      <c r="D1334" s="15"/>
      <c r="E1334" s="15"/>
      <c r="F1334" s="16"/>
      <c r="G1334" s="16"/>
      <c r="H1334" s="21" t="str">
        <f aca="false">IF(OR($B1334="",F1334=0),"",G1334/F1334)</f>
        <v/>
      </c>
      <c r="I1334" s="22" t="str">
        <f aca="false">IF($B1334="","",MAX(F1334-G1334,0))</f>
        <v/>
      </c>
      <c r="J1334" s="23" t="str">
        <f aca="false">IF($B1334="","",IFERROR(INDEX(고객사!$G$5:$G$104,MATCH($B1334,고객사!$A$5:$A$104,0)),""))</f>
        <v/>
      </c>
      <c r="K1334" s="16"/>
      <c r="L1334" s="22" t="str">
        <f aca="false">IF($B1334="","",K1334*IFERROR(INDEX(고객사!$L$5:$L$104,MATCH($B1334,고객사!$A$5:$A$104,0)),0))</f>
        <v/>
      </c>
      <c r="M1334" s="23" t="str">
        <f aca="false">IF($B1334="","",IF(AND(J1334="N",G1334&gt;0,K1334=0,IFERROR(INDEX(고객사!$H$5:$H$104,MATCH($B1334,고객사!$A$5:$A$104,0)),"")="자사 차량 운행"),"차량 미배정",""))</f>
        <v/>
      </c>
      <c r="N1334" s="22" t="str">
        <f aca="false">IF($B1334="","",IFERROR(INDEX(고객사!$J$5:$J$104,MATCH($B1334,고객사!$A$5:$A$104,0)),0))</f>
        <v/>
      </c>
      <c r="O1334" s="22" t="str">
        <f aca="false">IF($B1334="","",G1334*N1334)</f>
        <v/>
      </c>
      <c r="P1334" s="22" t="str">
        <f aca="false">IF($B1334="","",IFERROR(INDEX(고객사!$K$5:$K$104,MATCH($B1334,고객사!$A$5:$A$104,0)),0))</f>
        <v/>
      </c>
      <c r="Q1334" s="22" t="str">
        <f aca="false">IF($B1334="","",G1334*P1334)</f>
        <v/>
      </c>
      <c r="R1334" s="22" t="str">
        <f aca="false">IF($B1334="","",O1334-Q1334-L1334)</f>
        <v/>
      </c>
      <c r="S1334" s="21" t="str">
        <f aca="false">IF(OR($B1334="",N(O1334)=0),"",R1334/O1334)</f>
        <v/>
      </c>
      <c r="T1334" s="14"/>
      <c r="U1334" s="19" t="n">
        <f aca="false">IF(OR($B1334="",$A1334=""),0,IF(COUNTIFS($A$5:$A1334,$A1334,$B$5:$B1334,$B1334)=1,1,0))</f>
        <v>0</v>
      </c>
    </row>
    <row r="1335" customFormat="false" ht="15" hidden="false" customHeight="false" outlineLevel="0" collapsed="false">
      <c r="A1335" s="17"/>
      <c r="B1335" s="13"/>
      <c r="C1335" s="20" t="str">
        <f aca="false">IF($B1335="","",IFERROR(INDEX(고객사!$B$5:$B$104,MATCH($B1335,고객사!$A$5:$A$104,0)),"코드 확인"))</f>
        <v/>
      </c>
      <c r="D1335" s="15"/>
      <c r="E1335" s="15"/>
      <c r="F1335" s="16"/>
      <c r="G1335" s="16"/>
      <c r="H1335" s="21" t="str">
        <f aca="false">IF(OR($B1335="",F1335=0),"",G1335/F1335)</f>
        <v/>
      </c>
      <c r="I1335" s="22" t="str">
        <f aca="false">IF($B1335="","",MAX(F1335-G1335,0))</f>
        <v/>
      </c>
      <c r="J1335" s="23" t="str">
        <f aca="false">IF($B1335="","",IFERROR(INDEX(고객사!$G$5:$G$104,MATCH($B1335,고객사!$A$5:$A$104,0)),""))</f>
        <v/>
      </c>
      <c r="K1335" s="16"/>
      <c r="L1335" s="22" t="str">
        <f aca="false">IF($B1335="","",K1335*IFERROR(INDEX(고객사!$L$5:$L$104,MATCH($B1335,고객사!$A$5:$A$104,0)),0))</f>
        <v/>
      </c>
      <c r="M1335" s="23" t="str">
        <f aca="false">IF($B1335="","",IF(AND(J1335="N",G1335&gt;0,K1335=0,IFERROR(INDEX(고객사!$H$5:$H$104,MATCH($B1335,고객사!$A$5:$A$104,0)),"")="자사 차량 운행"),"차량 미배정",""))</f>
        <v/>
      </c>
      <c r="N1335" s="22" t="str">
        <f aca="false">IF($B1335="","",IFERROR(INDEX(고객사!$J$5:$J$104,MATCH($B1335,고객사!$A$5:$A$104,0)),0))</f>
        <v/>
      </c>
      <c r="O1335" s="22" t="str">
        <f aca="false">IF($B1335="","",G1335*N1335)</f>
        <v/>
      </c>
      <c r="P1335" s="22" t="str">
        <f aca="false">IF($B1335="","",IFERROR(INDEX(고객사!$K$5:$K$104,MATCH($B1335,고객사!$A$5:$A$104,0)),0))</f>
        <v/>
      </c>
      <c r="Q1335" s="22" t="str">
        <f aca="false">IF($B1335="","",G1335*P1335)</f>
        <v/>
      </c>
      <c r="R1335" s="22" t="str">
        <f aca="false">IF($B1335="","",O1335-Q1335-L1335)</f>
        <v/>
      </c>
      <c r="S1335" s="21" t="str">
        <f aca="false">IF(OR($B1335="",N(O1335)=0),"",R1335/O1335)</f>
        <v/>
      </c>
      <c r="T1335" s="14"/>
      <c r="U1335" s="19" t="n">
        <f aca="false">IF(OR($B1335="",$A1335=""),0,IF(COUNTIFS($A$5:$A1335,$A1335,$B$5:$B1335,$B1335)=1,1,0))</f>
        <v>0</v>
      </c>
    </row>
    <row r="1336" customFormat="false" ht="15" hidden="false" customHeight="false" outlineLevel="0" collapsed="false">
      <c r="A1336" s="17"/>
      <c r="B1336" s="13"/>
      <c r="C1336" s="20" t="str">
        <f aca="false">IF($B1336="","",IFERROR(INDEX(고객사!$B$5:$B$104,MATCH($B1336,고객사!$A$5:$A$104,0)),"코드 확인"))</f>
        <v/>
      </c>
      <c r="D1336" s="15"/>
      <c r="E1336" s="15"/>
      <c r="F1336" s="16"/>
      <c r="G1336" s="16"/>
      <c r="H1336" s="21" t="str">
        <f aca="false">IF(OR($B1336="",F1336=0),"",G1336/F1336)</f>
        <v/>
      </c>
      <c r="I1336" s="22" t="str">
        <f aca="false">IF($B1336="","",MAX(F1336-G1336,0))</f>
        <v/>
      </c>
      <c r="J1336" s="23" t="str">
        <f aca="false">IF($B1336="","",IFERROR(INDEX(고객사!$G$5:$G$104,MATCH($B1336,고객사!$A$5:$A$104,0)),""))</f>
        <v/>
      </c>
      <c r="K1336" s="16"/>
      <c r="L1336" s="22" t="str">
        <f aca="false">IF($B1336="","",K1336*IFERROR(INDEX(고객사!$L$5:$L$104,MATCH($B1336,고객사!$A$5:$A$104,0)),0))</f>
        <v/>
      </c>
      <c r="M1336" s="23" t="str">
        <f aca="false">IF($B1336="","",IF(AND(J1336="N",G1336&gt;0,K1336=0,IFERROR(INDEX(고객사!$H$5:$H$104,MATCH($B1336,고객사!$A$5:$A$104,0)),"")="자사 차량 운행"),"차량 미배정",""))</f>
        <v/>
      </c>
      <c r="N1336" s="22" t="str">
        <f aca="false">IF($B1336="","",IFERROR(INDEX(고객사!$J$5:$J$104,MATCH($B1336,고객사!$A$5:$A$104,0)),0))</f>
        <v/>
      </c>
      <c r="O1336" s="22" t="str">
        <f aca="false">IF($B1336="","",G1336*N1336)</f>
        <v/>
      </c>
      <c r="P1336" s="22" t="str">
        <f aca="false">IF($B1336="","",IFERROR(INDEX(고객사!$K$5:$K$104,MATCH($B1336,고객사!$A$5:$A$104,0)),0))</f>
        <v/>
      </c>
      <c r="Q1336" s="22" t="str">
        <f aca="false">IF($B1336="","",G1336*P1336)</f>
        <v/>
      </c>
      <c r="R1336" s="22" t="str">
        <f aca="false">IF($B1336="","",O1336-Q1336-L1336)</f>
        <v/>
      </c>
      <c r="S1336" s="21" t="str">
        <f aca="false">IF(OR($B1336="",N(O1336)=0),"",R1336/O1336)</f>
        <v/>
      </c>
      <c r="T1336" s="14"/>
      <c r="U1336" s="19" t="n">
        <f aca="false">IF(OR($B1336="",$A1336=""),0,IF(COUNTIFS($A$5:$A1336,$A1336,$B$5:$B1336,$B1336)=1,1,0))</f>
        <v>0</v>
      </c>
    </row>
    <row r="1337" customFormat="false" ht="15" hidden="false" customHeight="false" outlineLevel="0" collapsed="false">
      <c r="A1337" s="17"/>
      <c r="B1337" s="13"/>
      <c r="C1337" s="20" t="str">
        <f aca="false">IF($B1337="","",IFERROR(INDEX(고객사!$B$5:$B$104,MATCH($B1337,고객사!$A$5:$A$104,0)),"코드 확인"))</f>
        <v/>
      </c>
      <c r="D1337" s="15"/>
      <c r="E1337" s="15"/>
      <c r="F1337" s="16"/>
      <c r="G1337" s="16"/>
      <c r="H1337" s="21" t="str">
        <f aca="false">IF(OR($B1337="",F1337=0),"",G1337/F1337)</f>
        <v/>
      </c>
      <c r="I1337" s="22" t="str">
        <f aca="false">IF($B1337="","",MAX(F1337-G1337,0))</f>
        <v/>
      </c>
      <c r="J1337" s="23" t="str">
        <f aca="false">IF($B1337="","",IFERROR(INDEX(고객사!$G$5:$G$104,MATCH($B1337,고객사!$A$5:$A$104,0)),""))</f>
        <v/>
      </c>
      <c r="K1337" s="16"/>
      <c r="L1337" s="22" t="str">
        <f aca="false">IF($B1337="","",K1337*IFERROR(INDEX(고객사!$L$5:$L$104,MATCH($B1337,고객사!$A$5:$A$104,0)),0))</f>
        <v/>
      </c>
      <c r="M1337" s="23" t="str">
        <f aca="false">IF($B1337="","",IF(AND(J1337="N",G1337&gt;0,K1337=0,IFERROR(INDEX(고객사!$H$5:$H$104,MATCH($B1337,고객사!$A$5:$A$104,0)),"")="자사 차량 운행"),"차량 미배정",""))</f>
        <v/>
      </c>
      <c r="N1337" s="22" t="str">
        <f aca="false">IF($B1337="","",IFERROR(INDEX(고객사!$J$5:$J$104,MATCH($B1337,고객사!$A$5:$A$104,0)),0))</f>
        <v/>
      </c>
      <c r="O1337" s="22" t="str">
        <f aca="false">IF($B1337="","",G1337*N1337)</f>
        <v/>
      </c>
      <c r="P1337" s="22" t="str">
        <f aca="false">IF($B1337="","",IFERROR(INDEX(고객사!$K$5:$K$104,MATCH($B1337,고객사!$A$5:$A$104,0)),0))</f>
        <v/>
      </c>
      <c r="Q1337" s="22" t="str">
        <f aca="false">IF($B1337="","",G1337*P1337)</f>
        <v/>
      </c>
      <c r="R1337" s="22" t="str">
        <f aca="false">IF($B1337="","",O1337-Q1337-L1337)</f>
        <v/>
      </c>
      <c r="S1337" s="21" t="str">
        <f aca="false">IF(OR($B1337="",N(O1337)=0),"",R1337/O1337)</f>
        <v/>
      </c>
      <c r="T1337" s="14"/>
      <c r="U1337" s="19" t="n">
        <f aca="false">IF(OR($B1337="",$A1337=""),0,IF(COUNTIFS($A$5:$A1337,$A1337,$B$5:$B1337,$B1337)=1,1,0))</f>
        <v>0</v>
      </c>
    </row>
    <row r="1338" customFormat="false" ht="15" hidden="false" customHeight="false" outlineLevel="0" collapsed="false">
      <c r="A1338" s="17"/>
      <c r="B1338" s="13"/>
      <c r="C1338" s="20" t="str">
        <f aca="false">IF($B1338="","",IFERROR(INDEX(고객사!$B$5:$B$104,MATCH($B1338,고객사!$A$5:$A$104,0)),"코드 확인"))</f>
        <v/>
      </c>
      <c r="D1338" s="15"/>
      <c r="E1338" s="15"/>
      <c r="F1338" s="16"/>
      <c r="G1338" s="16"/>
      <c r="H1338" s="21" t="str">
        <f aca="false">IF(OR($B1338="",F1338=0),"",G1338/F1338)</f>
        <v/>
      </c>
      <c r="I1338" s="22" t="str">
        <f aca="false">IF($B1338="","",MAX(F1338-G1338,0))</f>
        <v/>
      </c>
      <c r="J1338" s="23" t="str">
        <f aca="false">IF($B1338="","",IFERROR(INDEX(고객사!$G$5:$G$104,MATCH($B1338,고객사!$A$5:$A$104,0)),""))</f>
        <v/>
      </c>
      <c r="K1338" s="16"/>
      <c r="L1338" s="22" t="str">
        <f aca="false">IF($B1338="","",K1338*IFERROR(INDEX(고객사!$L$5:$L$104,MATCH($B1338,고객사!$A$5:$A$104,0)),0))</f>
        <v/>
      </c>
      <c r="M1338" s="23" t="str">
        <f aca="false">IF($B1338="","",IF(AND(J1338="N",G1338&gt;0,K1338=0,IFERROR(INDEX(고객사!$H$5:$H$104,MATCH($B1338,고객사!$A$5:$A$104,0)),"")="자사 차량 운행"),"차량 미배정",""))</f>
        <v/>
      </c>
      <c r="N1338" s="22" t="str">
        <f aca="false">IF($B1338="","",IFERROR(INDEX(고객사!$J$5:$J$104,MATCH($B1338,고객사!$A$5:$A$104,0)),0))</f>
        <v/>
      </c>
      <c r="O1338" s="22" t="str">
        <f aca="false">IF($B1338="","",G1338*N1338)</f>
        <v/>
      </c>
      <c r="P1338" s="22" t="str">
        <f aca="false">IF($B1338="","",IFERROR(INDEX(고객사!$K$5:$K$104,MATCH($B1338,고객사!$A$5:$A$104,0)),0))</f>
        <v/>
      </c>
      <c r="Q1338" s="22" t="str">
        <f aca="false">IF($B1338="","",G1338*P1338)</f>
        <v/>
      </c>
      <c r="R1338" s="22" t="str">
        <f aca="false">IF($B1338="","",O1338-Q1338-L1338)</f>
        <v/>
      </c>
      <c r="S1338" s="21" t="str">
        <f aca="false">IF(OR($B1338="",N(O1338)=0),"",R1338/O1338)</f>
        <v/>
      </c>
      <c r="T1338" s="14"/>
      <c r="U1338" s="19" t="n">
        <f aca="false">IF(OR($B1338="",$A1338=""),0,IF(COUNTIFS($A$5:$A1338,$A1338,$B$5:$B1338,$B1338)=1,1,0))</f>
        <v>0</v>
      </c>
    </row>
    <row r="1339" customFormat="false" ht="15" hidden="false" customHeight="false" outlineLevel="0" collapsed="false">
      <c r="A1339" s="17"/>
      <c r="B1339" s="13"/>
      <c r="C1339" s="20" t="str">
        <f aca="false">IF($B1339="","",IFERROR(INDEX(고객사!$B$5:$B$104,MATCH($B1339,고객사!$A$5:$A$104,0)),"코드 확인"))</f>
        <v/>
      </c>
      <c r="D1339" s="15"/>
      <c r="E1339" s="15"/>
      <c r="F1339" s="16"/>
      <c r="G1339" s="16"/>
      <c r="H1339" s="21" t="str">
        <f aca="false">IF(OR($B1339="",F1339=0),"",G1339/F1339)</f>
        <v/>
      </c>
      <c r="I1339" s="22" t="str">
        <f aca="false">IF($B1339="","",MAX(F1339-G1339,0))</f>
        <v/>
      </c>
      <c r="J1339" s="23" t="str">
        <f aca="false">IF($B1339="","",IFERROR(INDEX(고객사!$G$5:$G$104,MATCH($B1339,고객사!$A$5:$A$104,0)),""))</f>
        <v/>
      </c>
      <c r="K1339" s="16"/>
      <c r="L1339" s="22" t="str">
        <f aca="false">IF($B1339="","",K1339*IFERROR(INDEX(고객사!$L$5:$L$104,MATCH($B1339,고객사!$A$5:$A$104,0)),0))</f>
        <v/>
      </c>
      <c r="M1339" s="23" t="str">
        <f aca="false">IF($B1339="","",IF(AND(J1339="N",G1339&gt;0,K1339=0,IFERROR(INDEX(고객사!$H$5:$H$104,MATCH($B1339,고객사!$A$5:$A$104,0)),"")="자사 차량 운행"),"차량 미배정",""))</f>
        <v/>
      </c>
      <c r="N1339" s="22" t="str">
        <f aca="false">IF($B1339="","",IFERROR(INDEX(고객사!$J$5:$J$104,MATCH($B1339,고객사!$A$5:$A$104,0)),0))</f>
        <v/>
      </c>
      <c r="O1339" s="22" t="str">
        <f aca="false">IF($B1339="","",G1339*N1339)</f>
        <v/>
      </c>
      <c r="P1339" s="22" t="str">
        <f aca="false">IF($B1339="","",IFERROR(INDEX(고객사!$K$5:$K$104,MATCH($B1339,고객사!$A$5:$A$104,0)),0))</f>
        <v/>
      </c>
      <c r="Q1339" s="22" t="str">
        <f aca="false">IF($B1339="","",G1339*P1339)</f>
        <v/>
      </c>
      <c r="R1339" s="22" t="str">
        <f aca="false">IF($B1339="","",O1339-Q1339-L1339)</f>
        <v/>
      </c>
      <c r="S1339" s="21" t="str">
        <f aca="false">IF(OR($B1339="",N(O1339)=0),"",R1339/O1339)</f>
        <v/>
      </c>
      <c r="T1339" s="14"/>
      <c r="U1339" s="19" t="n">
        <f aca="false">IF(OR($B1339="",$A1339=""),0,IF(COUNTIFS($A$5:$A1339,$A1339,$B$5:$B1339,$B1339)=1,1,0))</f>
        <v>0</v>
      </c>
    </row>
    <row r="1340" customFormat="false" ht="15" hidden="false" customHeight="false" outlineLevel="0" collapsed="false">
      <c r="A1340" s="17"/>
      <c r="B1340" s="13"/>
      <c r="C1340" s="20" t="str">
        <f aca="false">IF($B1340="","",IFERROR(INDEX(고객사!$B$5:$B$104,MATCH($B1340,고객사!$A$5:$A$104,0)),"코드 확인"))</f>
        <v/>
      </c>
      <c r="D1340" s="15"/>
      <c r="E1340" s="15"/>
      <c r="F1340" s="16"/>
      <c r="G1340" s="16"/>
      <c r="H1340" s="21" t="str">
        <f aca="false">IF(OR($B1340="",F1340=0),"",G1340/F1340)</f>
        <v/>
      </c>
      <c r="I1340" s="22" t="str">
        <f aca="false">IF($B1340="","",MAX(F1340-G1340,0))</f>
        <v/>
      </c>
      <c r="J1340" s="23" t="str">
        <f aca="false">IF($B1340="","",IFERROR(INDEX(고객사!$G$5:$G$104,MATCH($B1340,고객사!$A$5:$A$104,0)),""))</f>
        <v/>
      </c>
      <c r="K1340" s="16"/>
      <c r="L1340" s="22" t="str">
        <f aca="false">IF($B1340="","",K1340*IFERROR(INDEX(고객사!$L$5:$L$104,MATCH($B1340,고객사!$A$5:$A$104,0)),0))</f>
        <v/>
      </c>
      <c r="M1340" s="23" t="str">
        <f aca="false">IF($B1340="","",IF(AND(J1340="N",G1340&gt;0,K1340=0,IFERROR(INDEX(고객사!$H$5:$H$104,MATCH($B1340,고객사!$A$5:$A$104,0)),"")="자사 차량 운행"),"차량 미배정",""))</f>
        <v/>
      </c>
      <c r="N1340" s="22" t="str">
        <f aca="false">IF($B1340="","",IFERROR(INDEX(고객사!$J$5:$J$104,MATCH($B1340,고객사!$A$5:$A$104,0)),0))</f>
        <v/>
      </c>
      <c r="O1340" s="22" t="str">
        <f aca="false">IF($B1340="","",G1340*N1340)</f>
        <v/>
      </c>
      <c r="P1340" s="22" t="str">
        <f aca="false">IF($B1340="","",IFERROR(INDEX(고객사!$K$5:$K$104,MATCH($B1340,고객사!$A$5:$A$104,0)),0))</f>
        <v/>
      </c>
      <c r="Q1340" s="22" t="str">
        <f aca="false">IF($B1340="","",G1340*P1340)</f>
        <v/>
      </c>
      <c r="R1340" s="22" t="str">
        <f aca="false">IF($B1340="","",O1340-Q1340-L1340)</f>
        <v/>
      </c>
      <c r="S1340" s="21" t="str">
        <f aca="false">IF(OR($B1340="",N(O1340)=0),"",R1340/O1340)</f>
        <v/>
      </c>
      <c r="T1340" s="14"/>
      <c r="U1340" s="19" t="n">
        <f aca="false">IF(OR($B1340="",$A1340=""),0,IF(COUNTIFS($A$5:$A1340,$A1340,$B$5:$B1340,$B1340)=1,1,0))</f>
        <v>0</v>
      </c>
    </row>
    <row r="1341" customFormat="false" ht="15" hidden="false" customHeight="false" outlineLevel="0" collapsed="false">
      <c r="A1341" s="17"/>
      <c r="B1341" s="13"/>
      <c r="C1341" s="20" t="str">
        <f aca="false">IF($B1341="","",IFERROR(INDEX(고객사!$B$5:$B$104,MATCH($B1341,고객사!$A$5:$A$104,0)),"코드 확인"))</f>
        <v/>
      </c>
      <c r="D1341" s="15"/>
      <c r="E1341" s="15"/>
      <c r="F1341" s="16"/>
      <c r="G1341" s="16"/>
      <c r="H1341" s="21" t="str">
        <f aca="false">IF(OR($B1341="",F1341=0),"",G1341/F1341)</f>
        <v/>
      </c>
      <c r="I1341" s="22" t="str">
        <f aca="false">IF($B1341="","",MAX(F1341-G1341,0))</f>
        <v/>
      </c>
      <c r="J1341" s="23" t="str">
        <f aca="false">IF($B1341="","",IFERROR(INDEX(고객사!$G$5:$G$104,MATCH($B1341,고객사!$A$5:$A$104,0)),""))</f>
        <v/>
      </c>
      <c r="K1341" s="16"/>
      <c r="L1341" s="22" t="str">
        <f aca="false">IF($B1341="","",K1341*IFERROR(INDEX(고객사!$L$5:$L$104,MATCH($B1341,고객사!$A$5:$A$104,0)),0))</f>
        <v/>
      </c>
      <c r="M1341" s="23" t="str">
        <f aca="false">IF($B1341="","",IF(AND(J1341="N",G1341&gt;0,K1341=0,IFERROR(INDEX(고객사!$H$5:$H$104,MATCH($B1341,고객사!$A$5:$A$104,0)),"")="자사 차량 운행"),"차량 미배정",""))</f>
        <v/>
      </c>
      <c r="N1341" s="22" t="str">
        <f aca="false">IF($B1341="","",IFERROR(INDEX(고객사!$J$5:$J$104,MATCH($B1341,고객사!$A$5:$A$104,0)),0))</f>
        <v/>
      </c>
      <c r="O1341" s="22" t="str">
        <f aca="false">IF($B1341="","",G1341*N1341)</f>
        <v/>
      </c>
      <c r="P1341" s="22" t="str">
        <f aca="false">IF($B1341="","",IFERROR(INDEX(고객사!$K$5:$K$104,MATCH($B1341,고객사!$A$5:$A$104,0)),0))</f>
        <v/>
      </c>
      <c r="Q1341" s="22" t="str">
        <f aca="false">IF($B1341="","",G1341*P1341)</f>
        <v/>
      </c>
      <c r="R1341" s="22" t="str">
        <f aca="false">IF($B1341="","",O1341-Q1341-L1341)</f>
        <v/>
      </c>
      <c r="S1341" s="21" t="str">
        <f aca="false">IF(OR($B1341="",N(O1341)=0),"",R1341/O1341)</f>
        <v/>
      </c>
      <c r="T1341" s="14"/>
      <c r="U1341" s="19" t="n">
        <f aca="false">IF(OR($B1341="",$A1341=""),0,IF(COUNTIFS($A$5:$A1341,$A1341,$B$5:$B1341,$B1341)=1,1,0))</f>
        <v>0</v>
      </c>
    </row>
    <row r="1342" customFormat="false" ht="15" hidden="false" customHeight="false" outlineLevel="0" collapsed="false">
      <c r="A1342" s="17"/>
      <c r="B1342" s="13"/>
      <c r="C1342" s="20" t="str">
        <f aca="false">IF($B1342="","",IFERROR(INDEX(고객사!$B$5:$B$104,MATCH($B1342,고객사!$A$5:$A$104,0)),"코드 확인"))</f>
        <v/>
      </c>
      <c r="D1342" s="15"/>
      <c r="E1342" s="15"/>
      <c r="F1342" s="16"/>
      <c r="G1342" s="16"/>
      <c r="H1342" s="21" t="str">
        <f aca="false">IF(OR($B1342="",F1342=0),"",G1342/F1342)</f>
        <v/>
      </c>
      <c r="I1342" s="22" t="str">
        <f aca="false">IF($B1342="","",MAX(F1342-G1342,0))</f>
        <v/>
      </c>
      <c r="J1342" s="23" t="str">
        <f aca="false">IF($B1342="","",IFERROR(INDEX(고객사!$G$5:$G$104,MATCH($B1342,고객사!$A$5:$A$104,0)),""))</f>
        <v/>
      </c>
      <c r="K1342" s="16"/>
      <c r="L1342" s="22" t="str">
        <f aca="false">IF($B1342="","",K1342*IFERROR(INDEX(고객사!$L$5:$L$104,MATCH($B1342,고객사!$A$5:$A$104,0)),0))</f>
        <v/>
      </c>
      <c r="M1342" s="23" t="str">
        <f aca="false">IF($B1342="","",IF(AND(J1342="N",G1342&gt;0,K1342=0,IFERROR(INDEX(고객사!$H$5:$H$104,MATCH($B1342,고객사!$A$5:$A$104,0)),"")="자사 차량 운행"),"차량 미배정",""))</f>
        <v/>
      </c>
      <c r="N1342" s="22" t="str">
        <f aca="false">IF($B1342="","",IFERROR(INDEX(고객사!$J$5:$J$104,MATCH($B1342,고객사!$A$5:$A$104,0)),0))</f>
        <v/>
      </c>
      <c r="O1342" s="22" t="str">
        <f aca="false">IF($B1342="","",G1342*N1342)</f>
        <v/>
      </c>
      <c r="P1342" s="22" t="str">
        <f aca="false">IF($B1342="","",IFERROR(INDEX(고객사!$K$5:$K$104,MATCH($B1342,고객사!$A$5:$A$104,0)),0))</f>
        <v/>
      </c>
      <c r="Q1342" s="22" t="str">
        <f aca="false">IF($B1342="","",G1342*P1342)</f>
        <v/>
      </c>
      <c r="R1342" s="22" t="str">
        <f aca="false">IF($B1342="","",O1342-Q1342-L1342)</f>
        <v/>
      </c>
      <c r="S1342" s="21" t="str">
        <f aca="false">IF(OR($B1342="",N(O1342)=0),"",R1342/O1342)</f>
        <v/>
      </c>
      <c r="T1342" s="14"/>
      <c r="U1342" s="19" t="n">
        <f aca="false">IF(OR($B1342="",$A1342=""),0,IF(COUNTIFS($A$5:$A1342,$A1342,$B$5:$B1342,$B1342)=1,1,0))</f>
        <v>0</v>
      </c>
    </row>
    <row r="1343" customFormat="false" ht="15" hidden="false" customHeight="false" outlineLevel="0" collapsed="false">
      <c r="A1343" s="17"/>
      <c r="B1343" s="13"/>
      <c r="C1343" s="20" t="str">
        <f aca="false">IF($B1343="","",IFERROR(INDEX(고객사!$B$5:$B$104,MATCH($B1343,고객사!$A$5:$A$104,0)),"코드 확인"))</f>
        <v/>
      </c>
      <c r="D1343" s="15"/>
      <c r="E1343" s="15"/>
      <c r="F1343" s="16"/>
      <c r="G1343" s="16"/>
      <c r="H1343" s="21" t="str">
        <f aca="false">IF(OR($B1343="",F1343=0),"",G1343/F1343)</f>
        <v/>
      </c>
      <c r="I1343" s="22" t="str">
        <f aca="false">IF($B1343="","",MAX(F1343-G1343,0))</f>
        <v/>
      </c>
      <c r="J1343" s="23" t="str">
        <f aca="false">IF($B1343="","",IFERROR(INDEX(고객사!$G$5:$G$104,MATCH($B1343,고객사!$A$5:$A$104,0)),""))</f>
        <v/>
      </c>
      <c r="K1343" s="16"/>
      <c r="L1343" s="22" t="str">
        <f aca="false">IF($B1343="","",K1343*IFERROR(INDEX(고객사!$L$5:$L$104,MATCH($B1343,고객사!$A$5:$A$104,0)),0))</f>
        <v/>
      </c>
      <c r="M1343" s="23" t="str">
        <f aca="false">IF($B1343="","",IF(AND(J1343="N",G1343&gt;0,K1343=0,IFERROR(INDEX(고객사!$H$5:$H$104,MATCH($B1343,고객사!$A$5:$A$104,0)),"")="자사 차량 운행"),"차량 미배정",""))</f>
        <v/>
      </c>
      <c r="N1343" s="22" t="str">
        <f aca="false">IF($B1343="","",IFERROR(INDEX(고객사!$J$5:$J$104,MATCH($B1343,고객사!$A$5:$A$104,0)),0))</f>
        <v/>
      </c>
      <c r="O1343" s="22" t="str">
        <f aca="false">IF($B1343="","",G1343*N1343)</f>
        <v/>
      </c>
      <c r="P1343" s="22" t="str">
        <f aca="false">IF($B1343="","",IFERROR(INDEX(고객사!$K$5:$K$104,MATCH($B1343,고객사!$A$5:$A$104,0)),0))</f>
        <v/>
      </c>
      <c r="Q1343" s="22" t="str">
        <f aca="false">IF($B1343="","",G1343*P1343)</f>
        <v/>
      </c>
      <c r="R1343" s="22" t="str">
        <f aca="false">IF($B1343="","",O1343-Q1343-L1343)</f>
        <v/>
      </c>
      <c r="S1343" s="21" t="str">
        <f aca="false">IF(OR($B1343="",N(O1343)=0),"",R1343/O1343)</f>
        <v/>
      </c>
      <c r="T1343" s="14"/>
      <c r="U1343" s="19" t="n">
        <f aca="false">IF(OR($B1343="",$A1343=""),0,IF(COUNTIFS($A$5:$A1343,$A1343,$B$5:$B1343,$B1343)=1,1,0))</f>
        <v>0</v>
      </c>
    </row>
    <row r="1344" customFormat="false" ht="15" hidden="false" customHeight="false" outlineLevel="0" collapsed="false">
      <c r="A1344" s="17"/>
      <c r="B1344" s="13"/>
      <c r="C1344" s="20" t="str">
        <f aca="false">IF($B1344="","",IFERROR(INDEX(고객사!$B$5:$B$104,MATCH($B1344,고객사!$A$5:$A$104,0)),"코드 확인"))</f>
        <v/>
      </c>
      <c r="D1344" s="15"/>
      <c r="E1344" s="15"/>
      <c r="F1344" s="16"/>
      <c r="G1344" s="16"/>
      <c r="H1344" s="21" t="str">
        <f aca="false">IF(OR($B1344="",F1344=0),"",G1344/F1344)</f>
        <v/>
      </c>
      <c r="I1344" s="22" t="str">
        <f aca="false">IF($B1344="","",MAX(F1344-G1344,0))</f>
        <v/>
      </c>
      <c r="J1344" s="23" t="str">
        <f aca="false">IF($B1344="","",IFERROR(INDEX(고객사!$G$5:$G$104,MATCH($B1344,고객사!$A$5:$A$104,0)),""))</f>
        <v/>
      </c>
      <c r="K1344" s="16"/>
      <c r="L1344" s="22" t="str">
        <f aca="false">IF($B1344="","",K1344*IFERROR(INDEX(고객사!$L$5:$L$104,MATCH($B1344,고객사!$A$5:$A$104,0)),0))</f>
        <v/>
      </c>
      <c r="M1344" s="23" t="str">
        <f aca="false">IF($B1344="","",IF(AND(J1344="N",G1344&gt;0,K1344=0,IFERROR(INDEX(고객사!$H$5:$H$104,MATCH($B1344,고객사!$A$5:$A$104,0)),"")="자사 차량 운행"),"차량 미배정",""))</f>
        <v/>
      </c>
      <c r="N1344" s="22" t="str">
        <f aca="false">IF($B1344="","",IFERROR(INDEX(고객사!$J$5:$J$104,MATCH($B1344,고객사!$A$5:$A$104,0)),0))</f>
        <v/>
      </c>
      <c r="O1344" s="22" t="str">
        <f aca="false">IF($B1344="","",G1344*N1344)</f>
        <v/>
      </c>
      <c r="P1344" s="22" t="str">
        <f aca="false">IF($B1344="","",IFERROR(INDEX(고객사!$K$5:$K$104,MATCH($B1344,고객사!$A$5:$A$104,0)),0))</f>
        <v/>
      </c>
      <c r="Q1344" s="22" t="str">
        <f aca="false">IF($B1344="","",G1344*P1344)</f>
        <v/>
      </c>
      <c r="R1344" s="22" t="str">
        <f aca="false">IF($B1344="","",O1344-Q1344-L1344)</f>
        <v/>
      </c>
      <c r="S1344" s="21" t="str">
        <f aca="false">IF(OR($B1344="",N(O1344)=0),"",R1344/O1344)</f>
        <v/>
      </c>
      <c r="T1344" s="14"/>
      <c r="U1344" s="19" t="n">
        <f aca="false">IF(OR($B1344="",$A1344=""),0,IF(COUNTIFS($A$5:$A1344,$A1344,$B$5:$B1344,$B1344)=1,1,0))</f>
        <v>0</v>
      </c>
    </row>
    <row r="1345" customFormat="false" ht="15" hidden="false" customHeight="false" outlineLevel="0" collapsed="false">
      <c r="A1345" s="17"/>
      <c r="B1345" s="13"/>
      <c r="C1345" s="20" t="str">
        <f aca="false">IF($B1345="","",IFERROR(INDEX(고객사!$B$5:$B$104,MATCH($B1345,고객사!$A$5:$A$104,0)),"코드 확인"))</f>
        <v/>
      </c>
      <c r="D1345" s="15"/>
      <c r="E1345" s="15"/>
      <c r="F1345" s="16"/>
      <c r="G1345" s="16"/>
      <c r="H1345" s="21" t="str">
        <f aca="false">IF(OR($B1345="",F1345=0),"",G1345/F1345)</f>
        <v/>
      </c>
      <c r="I1345" s="22" t="str">
        <f aca="false">IF($B1345="","",MAX(F1345-G1345,0))</f>
        <v/>
      </c>
      <c r="J1345" s="23" t="str">
        <f aca="false">IF($B1345="","",IFERROR(INDEX(고객사!$G$5:$G$104,MATCH($B1345,고객사!$A$5:$A$104,0)),""))</f>
        <v/>
      </c>
      <c r="K1345" s="16"/>
      <c r="L1345" s="22" t="str">
        <f aca="false">IF($B1345="","",K1345*IFERROR(INDEX(고객사!$L$5:$L$104,MATCH($B1345,고객사!$A$5:$A$104,0)),0))</f>
        <v/>
      </c>
      <c r="M1345" s="23" t="str">
        <f aca="false">IF($B1345="","",IF(AND(J1345="N",G1345&gt;0,K1345=0,IFERROR(INDEX(고객사!$H$5:$H$104,MATCH($B1345,고객사!$A$5:$A$104,0)),"")="자사 차량 운행"),"차량 미배정",""))</f>
        <v/>
      </c>
      <c r="N1345" s="22" t="str">
        <f aca="false">IF($B1345="","",IFERROR(INDEX(고객사!$J$5:$J$104,MATCH($B1345,고객사!$A$5:$A$104,0)),0))</f>
        <v/>
      </c>
      <c r="O1345" s="22" t="str">
        <f aca="false">IF($B1345="","",G1345*N1345)</f>
        <v/>
      </c>
      <c r="P1345" s="22" t="str">
        <f aca="false">IF($B1345="","",IFERROR(INDEX(고객사!$K$5:$K$104,MATCH($B1345,고객사!$A$5:$A$104,0)),0))</f>
        <v/>
      </c>
      <c r="Q1345" s="22" t="str">
        <f aca="false">IF($B1345="","",G1345*P1345)</f>
        <v/>
      </c>
      <c r="R1345" s="22" t="str">
        <f aca="false">IF($B1345="","",O1345-Q1345-L1345)</f>
        <v/>
      </c>
      <c r="S1345" s="21" t="str">
        <f aca="false">IF(OR($B1345="",N(O1345)=0),"",R1345/O1345)</f>
        <v/>
      </c>
      <c r="T1345" s="14"/>
      <c r="U1345" s="19" t="n">
        <f aca="false">IF(OR($B1345="",$A1345=""),0,IF(COUNTIFS($A$5:$A1345,$A1345,$B$5:$B1345,$B1345)=1,1,0))</f>
        <v>0</v>
      </c>
    </row>
    <row r="1346" customFormat="false" ht="15" hidden="false" customHeight="false" outlineLevel="0" collapsed="false">
      <c r="A1346" s="17"/>
      <c r="B1346" s="13"/>
      <c r="C1346" s="20" t="str">
        <f aca="false">IF($B1346="","",IFERROR(INDEX(고객사!$B$5:$B$104,MATCH($B1346,고객사!$A$5:$A$104,0)),"코드 확인"))</f>
        <v/>
      </c>
      <c r="D1346" s="15"/>
      <c r="E1346" s="15"/>
      <c r="F1346" s="16"/>
      <c r="G1346" s="16"/>
      <c r="H1346" s="21" t="str">
        <f aca="false">IF(OR($B1346="",F1346=0),"",G1346/F1346)</f>
        <v/>
      </c>
      <c r="I1346" s="22" t="str">
        <f aca="false">IF($B1346="","",MAX(F1346-G1346,0))</f>
        <v/>
      </c>
      <c r="J1346" s="23" t="str">
        <f aca="false">IF($B1346="","",IFERROR(INDEX(고객사!$G$5:$G$104,MATCH($B1346,고객사!$A$5:$A$104,0)),""))</f>
        <v/>
      </c>
      <c r="K1346" s="16"/>
      <c r="L1346" s="22" t="str">
        <f aca="false">IF($B1346="","",K1346*IFERROR(INDEX(고객사!$L$5:$L$104,MATCH($B1346,고객사!$A$5:$A$104,0)),0))</f>
        <v/>
      </c>
      <c r="M1346" s="23" t="str">
        <f aca="false">IF($B1346="","",IF(AND(J1346="N",G1346&gt;0,K1346=0,IFERROR(INDEX(고객사!$H$5:$H$104,MATCH($B1346,고객사!$A$5:$A$104,0)),"")="자사 차량 운행"),"차량 미배정",""))</f>
        <v/>
      </c>
      <c r="N1346" s="22" t="str">
        <f aca="false">IF($B1346="","",IFERROR(INDEX(고객사!$J$5:$J$104,MATCH($B1346,고객사!$A$5:$A$104,0)),0))</f>
        <v/>
      </c>
      <c r="O1346" s="22" t="str">
        <f aca="false">IF($B1346="","",G1346*N1346)</f>
        <v/>
      </c>
      <c r="P1346" s="22" t="str">
        <f aca="false">IF($B1346="","",IFERROR(INDEX(고객사!$K$5:$K$104,MATCH($B1346,고객사!$A$5:$A$104,0)),0))</f>
        <v/>
      </c>
      <c r="Q1346" s="22" t="str">
        <f aca="false">IF($B1346="","",G1346*P1346)</f>
        <v/>
      </c>
      <c r="R1346" s="22" t="str">
        <f aca="false">IF($B1346="","",O1346-Q1346-L1346)</f>
        <v/>
      </c>
      <c r="S1346" s="21" t="str">
        <f aca="false">IF(OR($B1346="",N(O1346)=0),"",R1346/O1346)</f>
        <v/>
      </c>
      <c r="T1346" s="14"/>
      <c r="U1346" s="19" t="n">
        <f aca="false">IF(OR($B1346="",$A1346=""),0,IF(COUNTIFS($A$5:$A1346,$A1346,$B$5:$B1346,$B1346)=1,1,0))</f>
        <v>0</v>
      </c>
    </row>
    <row r="1347" customFormat="false" ht="15" hidden="false" customHeight="false" outlineLevel="0" collapsed="false">
      <c r="A1347" s="17"/>
      <c r="B1347" s="13"/>
      <c r="C1347" s="20" t="str">
        <f aca="false">IF($B1347="","",IFERROR(INDEX(고객사!$B$5:$B$104,MATCH($B1347,고객사!$A$5:$A$104,0)),"코드 확인"))</f>
        <v/>
      </c>
      <c r="D1347" s="15"/>
      <c r="E1347" s="15"/>
      <c r="F1347" s="16"/>
      <c r="G1347" s="16"/>
      <c r="H1347" s="21" t="str">
        <f aca="false">IF(OR($B1347="",F1347=0),"",G1347/F1347)</f>
        <v/>
      </c>
      <c r="I1347" s="22" t="str">
        <f aca="false">IF($B1347="","",MAX(F1347-G1347,0))</f>
        <v/>
      </c>
      <c r="J1347" s="23" t="str">
        <f aca="false">IF($B1347="","",IFERROR(INDEX(고객사!$G$5:$G$104,MATCH($B1347,고객사!$A$5:$A$104,0)),""))</f>
        <v/>
      </c>
      <c r="K1347" s="16"/>
      <c r="L1347" s="22" t="str">
        <f aca="false">IF($B1347="","",K1347*IFERROR(INDEX(고객사!$L$5:$L$104,MATCH($B1347,고객사!$A$5:$A$104,0)),0))</f>
        <v/>
      </c>
      <c r="M1347" s="23" t="str">
        <f aca="false">IF($B1347="","",IF(AND(J1347="N",G1347&gt;0,K1347=0,IFERROR(INDEX(고객사!$H$5:$H$104,MATCH($B1347,고객사!$A$5:$A$104,0)),"")="자사 차량 운행"),"차량 미배정",""))</f>
        <v/>
      </c>
      <c r="N1347" s="22" t="str">
        <f aca="false">IF($B1347="","",IFERROR(INDEX(고객사!$J$5:$J$104,MATCH($B1347,고객사!$A$5:$A$104,0)),0))</f>
        <v/>
      </c>
      <c r="O1347" s="22" t="str">
        <f aca="false">IF($B1347="","",G1347*N1347)</f>
        <v/>
      </c>
      <c r="P1347" s="22" t="str">
        <f aca="false">IF($B1347="","",IFERROR(INDEX(고객사!$K$5:$K$104,MATCH($B1347,고객사!$A$5:$A$104,0)),0))</f>
        <v/>
      </c>
      <c r="Q1347" s="22" t="str">
        <f aca="false">IF($B1347="","",G1347*P1347)</f>
        <v/>
      </c>
      <c r="R1347" s="22" t="str">
        <f aca="false">IF($B1347="","",O1347-Q1347-L1347)</f>
        <v/>
      </c>
      <c r="S1347" s="21" t="str">
        <f aca="false">IF(OR($B1347="",N(O1347)=0),"",R1347/O1347)</f>
        <v/>
      </c>
      <c r="T1347" s="14"/>
      <c r="U1347" s="19" t="n">
        <f aca="false">IF(OR($B1347="",$A1347=""),0,IF(COUNTIFS($A$5:$A1347,$A1347,$B$5:$B1347,$B1347)=1,1,0))</f>
        <v>0</v>
      </c>
    </row>
    <row r="1348" customFormat="false" ht="15" hidden="false" customHeight="false" outlineLevel="0" collapsed="false">
      <c r="A1348" s="17"/>
      <c r="B1348" s="13"/>
      <c r="C1348" s="20" t="str">
        <f aca="false">IF($B1348="","",IFERROR(INDEX(고객사!$B$5:$B$104,MATCH($B1348,고객사!$A$5:$A$104,0)),"코드 확인"))</f>
        <v/>
      </c>
      <c r="D1348" s="15"/>
      <c r="E1348" s="15"/>
      <c r="F1348" s="16"/>
      <c r="G1348" s="16"/>
      <c r="H1348" s="21" t="str">
        <f aca="false">IF(OR($B1348="",F1348=0),"",G1348/F1348)</f>
        <v/>
      </c>
      <c r="I1348" s="22" t="str">
        <f aca="false">IF($B1348="","",MAX(F1348-G1348,0))</f>
        <v/>
      </c>
      <c r="J1348" s="23" t="str">
        <f aca="false">IF($B1348="","",IFERROR(INDEX(고객사!$G$5:$G$104,MATCH($B1348,고객사!$A$5:$A$104,0)),""))</f>
        <v/>
      </c>
      <c r="K1348" s="16"/>
      <c r="L1348" s="22" t="str">
        <f aca="false">IF($B1348="","",K1348*IFERROR(INDEX(고객사!$L$5:$L$104,MATCH($B1348,고객사!$A$5:$A$104,0)),0))</f>
        <v/>
      </c>
      <c r="M1348" s="23" t="str">
        <f aca="false">IF($B1348="","",IF(AND(J1348="N",G1348&gt;0,K1348=0,IFERROR(INDEX(고객사!$H$5:$H$104,MATCH($B1348,고객사!$A$5:$A$104,0)),"")="자사 차량 운행"),"차량 미배정",""))</f>
        <v/>
      </c>
      <c r="N1348" s="22" t="str">
        <f aca="false">IF($B1348="","",IFERROR(INDEX(고객사!$J$5:$J$104,MATCH($B1348,고객사!$A$5:$A$104,0)),0))</f>
        <v/>
      </c>
      <c r="O1348" s="22" t="str">
        <f aca="false">IF($B1348="","",G1348*N1348)</f>
        <v/>
      </c>
      <c r="P1348" s="22" t="str">
        <f aca="false">IF($B1348="","",IFERROR(INDEX(고객사!$K$5:$K$104,MATCH($B1348,고객사!$A$5:$A$104,0)),0))</f>
        <v/>
      </c>
      <c r="Q1348" s="22" t="str">
        <f aca="false">IF($B1348="","",G1348*P1348)</f>
        <v/>
      </c>
      <c r="R1348" s="22" t="str">
        <f aca="false">IF($B1348="","",O1348-Q1348-L1348)</f>
        <v/>
      </c>
      <c r="S1348" s="21" t="str">
        <f aca="false">IF(OR($B1348="",N(O1348)=0),"",R1348/O1348)</f>
        <v/>
      </c>
      <c r="T1348" s="14"/>
      <c r="U1348" s="19" t="n">
        <f aca="false">IF(OR($B1348="",$A1348=""),0,IF(COUNTIFS($A$5:$A1348,$A1348,$B$5:$B1348,$B1348)=1,1,0))</f>
        <v>0</v>
      </c>
    </row>
    <row r="1349" customFormat="false" ht="15" hidden="false" customHeight="false" outlineLevel="0" collapsed="false">
      <c r="A1349" s="17"/>
      <c r="B1349" s="13"/>
      <c r="C1349" s="20" t="str">
        <f aca="false">IF($B1349="","",IFERROR(INDEX(고객사!$B$5:$B$104,MATCH($B1349,고객사!$A$5:$A$104,0)),"코드 확인"))</f>
        <v/>
      </c>
      <c r="D1349" s="15"/>
      <c r="E1349" s="15"/>
      <c r="F1349" s="16"/>
      <c r="G1349" s="16"/>
      <c r="H1349" s="21" t="str">
        <f aca="false">IF(OR($B1349="",F1349=0),"",G1349/F1349)</f>
        <v/>
      </c>
      <c r="I1349" s="22" t="str">
        <f aca="false">IF($B1349="","",MAX(F1349-G1349,0))</f>
        <v/>
      </c>
      <c r="J1349" s="23" t="str">
        <f aca="false">IF($B1349="","",IFERROR(INDEX(고객사!$G$5:$G$104,MATCH($B1349,고객사!$A$5:$A$104,0)),""))</f>
        <v/>
      </c>
      <c r="K1349" s="16"/>
      <c r="L1349" s="22" t="str">
        <f aca="false">IF($B1349="","",K1349*IFERROR(INDEX(고객사!$L$5:$L$104,MATCH($B1349,고객사!$A$5:$A$104,0)),0))</f>
        <v/>
      </c>
      <c r="M1349" s="23" t="str">
        <f aca="false">IF($B1349="","",IF(AND(J1349="N",G1349&gt;0,K1349=0,IFERROR(INDEX(고객사!$H$5:$H$104,MATCH($B1349,고객사!$A$5:$A$104,0)),"")="자사 차량 운행"),"차량 미배정",""))</f>
        <v/>
      </c>
      <c r="N1349" s="22" t="str">
        <f aca="false">IF($B1349="","",IFERROR(INDEX(고객사!$J$5:$J$104,MATCH($B1349,고객사!$A$5:$A$104,0)),0))</f>
        <v/>
      </c>
      <c r="O1349" s="22" t="str">
        <f aca="false">IF($B1349="","",G1349*N1349)</f>
        <v/>
      </c>
      <c r="P1349" s="22" t="str">
        <f aca="false">IF($B1349="","",IFERROR(INDEX(고객사!$K$5:$K$104,MATCH($B1349,고객사!$A$5:$A$104,0)),0))</f>
        <v/>
      </c>
      <c r="Q1349" s="22" t="str">
        <f aca="false">IF($B1349="","",G1349*P1349)</f>
        <v/>
      </c>
      <c r="R1349" s="22" t="str">
        <f aca="false">IF($B1349="","",O1349-Q1349-L1349)</f>
        <v/>
      </c>
      <c r="S1349" s="21" t="str">
        <f aca="false">IF(OR($B1349="",N(O1349)=0),"",R1349/O1349)</f>
        <v/>
      </c>
      <c r="T1349" s="14"/>
      <c r="U1349" s="19" t="n">
        <f aca="false">IF(OR($B1349="",$A1349=""),0,IF(COUNTIFS($A$5:$A1349,$A1349,$B$5:$B1349,$B1349)=1,1,0))</f>
        <v>0</v>
      </c>
    </row>
    <row r="1350" customFormat="false" ht="15" hidden="false" customHeight="false" outlineLevel="0" collapsed="false">
      <c r="A1350" s="17"/>
      <c r="B1350" s="13"/>
      <c r="C1350" s="20" t="str">
        <f aca="false">IF($B1350="","",IFERROR(INDEX(고객사!$B$5:$B$104,MATCH($B1350,고객사!$A$5:$A$104,0)),"코드 확인"))</f>
        <v/>
      </c>
      <c r="D1350" s="15"/>
      <c r="E1350" s="15"/>
      <c r="F1350" s="16"/>
      <c r="G1350" s="16"/>
      <c r="H1350" s="21" t="str">
        <f aca="false">IF(OR($B1350="",F1350=0),"",G1350/F1350)</f>
        <v/>
      </c>
      <c r="I1350" s="22" t="str">
        <f aca="false">IF($B1350="","",MAX(F1350-G1350,0))</f>
        <v/>
      </c>
      <c r="J1350" s="23" t="str">
        <f aca="false">IF($B1350="","",IFERROR(INDEX(고객사!$G$5:$G$104,MATCH($B1350,고객사!$A$5:$A$104,0)),""))</f>
        <v/>
      </c>
      <c r="K1350" s="16"/>
      <c r="L1350" s="22" t="str">
        <f aca="false">IF($B1350="","",K1350*IFERROR(INDEX(고객사!$L$5:$L$104,MATCH($B1350,고객사!$A$5:$A$104,0)),0))</f>
        <v/>
      </c>
      <c r="M1350" s="23" t="str">
        <f aca="false">IF($B1350="","",IF(AND(J1350="N",G1350&gt;0,K1350=0,IFERROR(INDEX(고객사!$H$5:$H$104,MATCH($B1350,고객사!$A$5:$A$104,0)),"")="자사 차량 운행"),"차량 미배정",""))</f>
        <v/>
      </c>
      <c r="N1350" s="22" t="str">
        <f aca="false">IF($B1350="","",IFERROR(INDEX(고객사!$J$5:$J$104,MATCH($B1350,고객사!$A$5:$A$104,0)),0))</f>
        <v/>
      </c>
      <c r="O1350" s="22" t="str">
        <f aca="false">IF($B1350="","",G1350*N1350)</f>
        <v/>
      </c>
      <c r="P1350" s="22" t="str">
        <f aca="false">IF($B1350="","",IFERROR(INDEX(고객사!$K$5:$K$104,MATCH($B1350,고객사!$A$5:$A$104,0)),0))</f>
        <v/>
      </c>
      <c r="Q1350" s="22" t="str">
        <f aca="false">IF($B1350="","",G1350*P1350)</f>
        <v/>
      </c>
      <c r="R1350" s="22" t="str">
        <f aca="false">IF($B1350="","",O1350-Q1350-L1350)</f>
        <v/>
      </c>
      <c r="S1350" s="21" t="str">
        <f aca="false">IF(OR($B1350="",N(O1350)=0),"",R1350/O1350)</f>
        <v/>
      </c>
      <c r="T1350" s="14"/>
      <c r="U1350" s="19" t="n">
        <f aca="false">IF(OR($B1350="",$A1350=""),0,IF(COUNTIFS($A$5:$A1350,$A1350,$B$5:$B1350,$B1350)=1,1,0))</f>
        <v>0</v>
      </c>
    </row>
    <row r="1351" customFormat="false" ht="15" hidden="false" customHeight="false" outlineLevel="0" collapsed="false">
      <c r="A1351" s="17"/>
      <c r="B1351" s="13"/>
      <c r="C1351" s="20" t="str">
        <f aca="false">IF($B1351="","",IFERROR(INDEX(고객사!$B$5:$B$104,MATCH($B1351,고객사!$A$5:$A$104,0)),"코드 확인"))</f>
        <v/>
      </c>
      <c r="D1351" s="15"/>
      <c r="E1351" s="15"/>
      <c r="F1351" s="16"/>
      <c r="G1351" s="16"/>
      <c r="H1351" s="21" t="str">
        <f aca="false">IF(OR($B1351="",F1351=0),"",G1351/F1351)</f>
        <v/>
      </c>
      <c r="I1351" s="22" t="str">
        <f aca="false">IF($B1351="","",MAX(F1351-G1351,0))</f>
        <v/>
      </c>
      <c r="J1351" s="23" t="str">
        <f aca="false">IF($B1351="","",IFERROR(INDEX(고객사!$G$5:$G$104,MATCH($B1351,고객사!$A$5:$A$104,0)),""))</f>
        <v/>
      </c>
      <c r="K1351" s="16"/>
      <c r="L1351" s="22" t="str">
        <f aca="false">IF($B1351="","",K1351*IFERROR(INDEX(고객사!$L$5:$L$104,MATCH($B1351,고객사!$A$5:$A$104,0)),0))</f>
        <v/>
      </c>
      <c r="M1351" s="23" t="str">
        <f aca="false">IF($B1351="","",IF(AND(J1351="N",G1351&gt;0,K1351=0,IFERROR(INDEX(고객사!$H$5:$H$104,MATCH($B1351,고객사!$A$5:$A$104,0)),"")="자사 차량 운행"),"차량 미배정",""))</f>
        <v/>
      </c>
      <c r="N1351" s="22" t="str">
        <f aca="false">IF($B1351="","",IFERROR(INDEX(고객사!$J$5:$J$104,MATCH($B1351,고객사!$A$5:$A$104,0)),0))</f>
        <v/>
      </c>
      <c r="O1351" s="22" t="str">
        <f aca="false">IF($B1351="","",G1351*N1351)</f>
        <v/>
      </c>
      <c r="P1351" s="22" t="str">
        <f aca="false">IF($B1351="","",IFERROR(INDEX(고객사!$K$5:$K$104,MATCH($B1351,고객사!$A$5:$A$104,0)),0))</f>
        <v/>
      </c>
      <c r="Q1351" s="22" t="str">
        <f aca="false">IF($B1351="","",G1351*P1351)</f>
        <v/>
      </c>
      <c r="R1351" s="22" t="str">
        <f aca="false">IF($B1351="","",O1351-Q1351-L1351)</f>
        <v/>
      </c>
      <c r="S1351" s="21" t="str">
        <f aca="false">IF(OR($B1351="",N(O1351)=0),"",R1351/O1351)</f>
        <v/>
      </c>
      <c r="T1351" s="14"/>
      <c r="U1351" s="19" t="n">
        <f aca="false">IF(OR($B1351="",$A1351=""),0,IF(COUNTIFS($A$5:$A1351,$A1351,$B$5:$B1351,$B1351)=1,1,0))</f>
        <v>0</v>
      </c>
    </row>
    <row r="1352" customFormat="false" ht="15" hidden="false" customHeight="false" outlineLevel="0" collapsed="false">
      <c r="A1352" s="17"/>
      <c r="B1352" s="13"/>
      <c r="C1352" s="20" t="str">
        <f aca="false">IF($B1352="","",IFERROR(INDEX(고객사!$B$5:$B$104,MATCH($B1352,고객사!$A$5:$A$104,0)),"코드 확인"))</f>
        <v/>
      </c>
      <c r="D1352" s="15"/>
      <c r="E1352" s="15"/>
      <c r="F1352" s="16"/>
      <c r="G1352" s="16"/>
      <c r="H1352" s="21" t="str">
        <f aca="false">IF(OR($B1352="",F1352=0),"",G1352/F1352)</f>
        <v/>
      </c>
      <c r="I1352" s="22" t="str">
        <f aca="false">IF($B1352="","",MAX(F1352-G1352,0))</f>
        <v/>
      </c>
      <c r="J1352" s="23" t="str">
        <f aca="false">IF($B1352="","",IFERROR(INDEX(고객사!$G$5:$G$104,MATCH($B1352,고객사!$A$5:$A$104,0)),""))</f>
        <v/>
      </c>
      <c r="K1352" s="16"/>
      <c r="L1352" s="22" t="str">
        <f aca="false">IF($B1352="","",K1352*IFERROR(INDEX(고객사!$L$5:$L$104,MATCH($B1352,고객사!$A$5:$A$104,0)),0))</f>
        <v/>
      </c>
      <c r="M1352" s="23" t="str">
        <f aca="false">IF($B1352="","",IF(AND(J1352="N",G1352&gt;0,K1352=0,IFERROR(INDEX(고객사!$H$5:$H$104,MATCH($B1352,고객사!$A$5:$A$104,0)),"")="자사 차량 운행"),"차량 미배정",""))</f>
        <v/>
      </c>
      <c r="N1352" s="22" t="str">
        <f aca="false">IF($B1352="","",IFERROR(INDEX(고객사!$J$5:$J$104,MATCH($B1352,고객사!$A$5:$A$104,0)),0))</f>
        <v/>
      </c>
      <c r="O1352" s="22" t="str">
        <f aca="false">IF($B1352="","",G1352*N1352)</f>
        <v/>
      </c>
      <c r="P1352" s="22" t="str">
        <f aca="false">IF($B1352="","",IFERROR(INDEX(고객사!$K$5:$K$104,MATCH($B1352,고객사!$A$5:$A$104,0)),0))</f>
        <v/>
      </c>
      <c r="Q1352" s="22" t="str">
        <f aca="false">IF($B1352="","",G1352*P1352)</f>
        <v/>
      </c>
      <c r="R1352" s="22" t="str">
        <f aca="false">IF($B1352="","",O1352-Q1352-L1352)</f>
        <v/>
      </c>
      <c r="S1352" s="21" t="str">
        <f aca="false">IF(OR($B1352="",N(O1352)=0),"",R1352/O1352)</f>
        <v/>
      </c>
      <c r="T1352" s="14"/>
      <c r="U1352" s="19" t="n">
        <f aca="false">IF(OR($B1352="",$A1352=""),0,IF(COUNTIFS($A$5:$A1352,$A1352,$B$5:$B1352,$B1352)=1,1,0))</f>
        <v>0</v>
      </c>
    </row>
    <row r="1353" customFormat="false" ht="15" hidden="false" customHeight="false" outlineLevel="0" collapsed="false">
      <c r="A1353" s="17"/>
      <c r="B1353" s="13"/>
      <c r="C1353" s="20" t="str">
        <f aca="false">IF($B1353="","",IFERROR(INDEX(고객사!$B$5:$B$104,MATCH($B1353,고객사!$A$5:$A$104,0)),"코드 확인"))</f>
        <v/>
      </c>
      <c r="D1353" s="15"/>
      <c r="E1353" s="15"/>
      <c r="F1353" s="16"/>
      <c r="G1353" s="16"/>
      <c r="H1353" s="21" t="str">
        <f aca="false">IF(OR($B1353="",F1353=0),"",G1353/F1353)</f>
        <v/>
      </c>
      <c r="I1353" s="22" t="str">
        <f aca="false">IF($B1353="","",MAX(F1353-G1353,0))</f>
        <v/>
      </c>
      <c r="J1353" s="23" t="str">
        <f aca="false">IF($B1353="","",IFERROR(INDEX(고객사!$G$5:$G$104,MATCH($B1353,고객사!$A$5:$A$104,0)),""))</f>
        <v/>
      </c>
      <c r="K1353" s="16"/>
      <c r="L1353" s="22" t="str">
        <f aca="false">IF($B1353="","",K1353*IFERROR(INDEX(고객사!$L$5:$L$104,MATCH($B1353,고객사!$A$5:$A$104,0)),0))</f>
        <v/>
      </c>
      <c r="M1353" s="23" t="str">
        <f aca="false">IF($B1353="","",IF(AND(J1353="N",G1353&gt;0,K1353=0,IFERROR(INDEX(고객사!$H$5:$H$104,MATCH($B1353,고객사!$A$5:$A$104,0)),"")="자사 차량 운행"),"차량 미배정",""))</f>
        <v/>
      </c>
      <c r="N1353" s="22" t="str">
        <f aca="false">IF($B1353="","",IFERROR(INDEX(고객사!$J$5:$J$104,MATCH($B1353,고객사!$A$5:$A$104,0)),0))</f>
        <v/>
      </c>
      <c r="O1353" s="22" t="str">
        <f aca="false">IF($B1353="","",G1353*N1353)</f>
        <v/>
      </c>
      <c r="P1353" s="22" t="str">
        <f aca="false">IF($B1353="","",IFERROR(INDEX(고객사!$K$5:$K$104,MATCH($B1353,고객사!$A$5:$A$104,0)),0))</f>
        <v/>
      </c>
      <c r="Q1353" s="22" t="str">
        <f aca="false">IF($B1353="","",G1353*P1353)</f>
        <v/>
      </c>
      <c r="R1353" s="22" t="str">
        <f aca="false">IF($B1353="","",O1353-Q1353-L1353)</f>
        <v/>
      </c>
      <c r="S1353" s="21" t="str">
        <f aca="false">IF(OR($B1353="",N(O1353)=0),"",R1353/O1353)</f>
        <v/>
      </c>
      <c r="T1353" s="14"/>
      <c r="U1353" s="19" t="n">
        <f aca="false">IF(OR($B1353="",$A1353=""),0,IF(COUNTIFS($A$5:$A1353,$A1353,$B$5:$B1353,$B1353)=1,1,0))</f>
        <v>0</v>
      </c>
    </row>
    <row r="1354" customFormat="false" ht="15" hidden="false" customHeight="false" outlineLevel="0" collapsed="false">
      <c r="A1354" s="17"/>
      <c r="B1354" s="13"/>
      <c r="C1354" s="20" t="str">
        <f aca="false">IF($B1354="","",IFERROR(INDEX(고객사!$B$5:$B$104,MATCH($B1354,고객사!$A$5:$A$104,0)),"코드 확인"))</f>
        <v/>
      </c>
      <c r="D1354" s="15"/>
      <c r="E1354" s="15"/>
      <c r="F1354" s="16"/>
      <c r="G1354" s="16"/>
      <c r="H1354" s="21" t="str">
        <f aca="false">IF(OR($B1354="",F1354=0),"",G1354/F1354)</f>
        <v/>
      </c>
      <c r="I1354" s="22" t="str">
        <f aca="false">IF($B1354="","",MAX(F1354-G1354,0))</f>
        <v/>
      </c>
      <c r="J1354" s="23" t="str">
        <f aca="false">IF($B1354="","",IFERROR(INDEX(고객사!$G$5:$G$104,MATCH($B1354,고객사!$A$5:$A$104,0)),""))</f>
        <v/>
      </c>
      <c r="K1354" s="16"/>
      <c r="L1354" s="22" t="str">
        <f aca="false">IF($B1354="","",K1354*IFERROR(INDEX(고객사!$L$5:$L$104,MATCH($B1354,고객사!$A$5:$A$104,0)),0))</f>
        <v/>
      </c>
      <c r="M1354" s="23" t="str">
        <f aca="false">IF($B1354="","",IF(AND(J1354="N",G1354&gt;0,K1354=0,IFERROR(INDEX(고객사!$H$5:$H$104,MATCH($B1354,고객사!$A$5:$A$104,0)),"")="자사 차량 운행"),"차량 미배정",""))</f>
        <v/>
      </c>
      <c r="N1354" s="22" t="str">
        <f aca="false">IF($B1354="","",IFERROR(INDEX(고객사!$J$5:$J$104,MATCH($B1354,고객사!$A$5:$A$104,0)),0))</f>
        <v/>
      </c>
      <c r="O1354" s="22" t="str">
        <f aca="false">IF($B1354="","",G1354*N1354)</f>
        <v/>
      </c>
      <c r="P1354" s="22" t="str">
        <f aca="false">IF($B1354="","",IFERROR(INDEX(고객사!$K$5:$K$104,MATCH($B1354,고객사!$A$5:$A$104,0)),0))</f>
        <v/>
      </c>
      <c r="Q1354" s="22" t="str">
        <f aca="false">IF($B1354="","",G1354*P1354)</f>
        <v/>
      </c>
      <c r="R1354" s="22" t="str">
        <f aca="false">IF($B1354="","",O1354-Q1354-L1354)</f>
        <v/>
      </c>
      <c r="S1354" s="21" t="str">
        <f aca="false">IF(OR($B1354="",N(O1354)=0),"",R1354/O1354)</f>
        <v/>
      </c>
      <c r="T1354" s="14"/>
      <c r="U1354" s="19" t="n">
        <f aca="false">IF(OR($B1354="",$A1354=""),0,IF(COUNTIFS($A$5:$A1354,$A1354,$B$5:$B1354,$B1354)=1,1,0))</f>
        <v>0</v>
      </c>
    </row>
    <row r="1355" customFormat="false" ht="15" hidden="false" customHeight="false" outlineLevel="0" collapsed="false">
      <c r="A1355" s="17"/>
      <c r="B1355" s="13"/>
      <c r="C1355" s="20" t="str">
        <f aca="false">IF($B1355="","",IFERROR(INDEX(고객사!$B$5:$B$104,MATCH($B1355,고객사!$A$5:$A$104,0)),"코드 확인"))</f>
        <v/>
      </c>
      <c r="D1355" s="15"/>
      <c r="E1355" s="15"/>
      <c r="F1355" s="16"/>
      <c r="G1355" s="16"/>
      <c r="H1355" s="21" t="str">
        <f aca="false">IF(OR($B1355="",F1355=0),"",G1355/F1355)</f>
        <v/>
      </c>
      <c r="I1355" s="22" t="str">
        <f aca="false">IF($B1355="","",MAX(F1355-G1355,0))</f>
        <v/>
      </c>
      <c r="J1355" s="23" t="str">
        <f aca="false">IF($B1355="","",IFERROR(INDEX(고객사!$G$5:$G$104,MATCH($B1355,고객사!$A$5:$A$104,0)),""))</f>
        <v/>
      </c>
      <c r="K1355" s="16"/>
      <c r="L1355" s="22" t="str">
        <f aca="false">IF($B1355="","",K1355*IFERROR(INDEX(고객사!$L$5:$L$104,MATCH($B1355,고객사!$A$5:$A$104,0)),0))</f>
        <v/>
      </c>
      <c r="M1355" s="23" t="str">
        <f aca="false">IF($B1355="","",IF(AND(J1355="N",G1355&gt;0,K1355=0,IFERROR(INDEX(고객사!$H$5:$H$104,MATCH($B1355,고객사!$A$5:$A$104,0)),"")="자사 차량 운행"),"차량 미배정",""))</f>
        <v/>
      </c>
      <c r="N1355" s="22" t="str">
        <f aca="false">IF($B1355="","",IFERROR(INDEX(고객사!$J$5:$J$104,MATCH($B1355,고객사!$A$5:$A$104,0)),0))</f>
        <v/>
      </c>
      <c r="O1355" s="22" t="str">
        <f aca="false">IF($B1355="","",G1355*N1355)</f>
        <v/>
      </c>
      <c r="P1355" s="22" t="str">
        <f aca="false">IF($B1355="","",IFERROR(INDEX(고객사!$K$5:$K$104,MATCH($B1355,고객사!$A$5:$A$104,0)),0))</f>
        <v/>
      </c>
      <c r="Q1355" s="22" t="str">
        <f aca="false">IF($B1355="","",G1355*P1355)</f>
        <v/>
      </c>
      <c r="R1355" s="22" t="str">
        <f aca="false">IF($B1355="","",O1355-Q1355-L1355)</f>
        <v/>
      </c>
      <c r="S1355" s="21" t="str">
        <f aca="false">IF(OR($B1355="",N(O1355)=0),"",R1355/O1355)</f>
        <v/>
      </c>
      <c r="T1355" s="14"/>
      <c r="U1355" s="19" t="n">
        <f aca="false">IF(OR($B1355="",$A1355=""),0,IF(COUNTIFS($A$5:$A1355,$A1355,$B$5:$B1355,$B1355)=1,1,0))</f>
        <v>0</v>
      </c>
    </row>
    <row r="1356" customFormat="false" ht="15" hidden="false" customHeight="false" outlineLevel="0" collapsed="false">
      <c r="A1356" s="17"/>
      <c r="B1356" s="13"/>
      <c r="C1356" s="20" t="str">
        <f aca="false">IF($B1356="","",IFERROR(INDEX(고객사!$B$5:$B$104,MATCH($B1356,고객사!$A$5:$A$104,0)),"코드 확인"))</f>
        <v/>
      </c>
      <c r="D1356" s="15"/>
      <c r="E1356" s="15"/>
      <c r="F1356" s="16"/>
      <c r="G1356" s="16"/>
      <c r="H1356" s="21" t="str">
        <f aca="false">IF(OR($B1356="",F1356=0),"",G1356/F1356)</f>
        <v/>
      </c>
      <c r="I1356" s="22" t="str">
        <f aca="false">IF($B1356="","",MAX(F1356-G1356,0))</f>
        <v/>
      </c>
      <c r="J1356" s="23" t="str">
        <f aca="false">IF($B1356="","",IFERROR(INDEX(고객사!$G$5:$G$104,MATCH($B1356,고객사!$A$5:$A$104,0)),""))</f>
        <v/>
      </c>
      <c r="K1356" s="16"/>
      <c r="L1356" s="22" t="str">
        <f aca="false">IF($B1356="","",K1356*IFERROR(INDEX(고객사!$L$5:$L$104,MATCH($B1356,고객사!$A$5:$A$104,0)),0))</f>
        <v/>
      </c>
      <c r="M1356" s="23" t="str">
        <f aca="false">IF($B1356="","",IF(AND(J1356="N",G1356&gt;0,K1356=0,IFERROR(INDEX(고객사!$H$5:$H$104,MATCH($B1356,고객사!$A$5:$A$104,0)),"")="자사 차량 운행"),"차량 미배정",""))</f>
        <v/>
      </c>
      <c r="N1356" s="22" t="str">
        <f aca="false">IF($B1356="","",IFERROR(INDEX(고객사!$J$5:$J$104,MATCH($B1356,고객사!$A$5:$A$104,0)),0))</f>
        <v/>
      </c>
      <c r="O1356" s="22" t="str">
        <f aca="false">IF($B1356="","",G1356*N1356)</f>
        <v/>
      </c>
      <c r="P1356" s="22" t="str">
        <f aca="false">IF($B1356="","",IFERROR(INDEX(고객사!$K$5:$K$104,MATCH($B1356,고객사!$A$5:$A$104,0)),0))</f>
        <v/>
      </c>
      <c r="Q1356" s="22" t="str">
        <f aca="false">IF($B1356="","",G1356*P1356)</f>
        <v/>
      </c>
      <c r="R1356" s="22" t="str">
        <f aca="false">IF($B1356="","",O1356-Q1356-L1356)</f>
        <v/>
      </c>
      <c r="S1356" s="21" t="str">
        <f aca="false">IF(OR($B1356="",N(O1356)=0),"",R1356/O1356)</f>
        <v/>
      </c>
      <c r="T1356" s="14"/>
      <c r="U1356" s="19" t="n">
        <f aca="false">IF(OR($B1356="",$A1356=""),0,IF(COUNTIFS($A$5:$A1356,$A1356,$B$5:$B1356,$B1356)=1,1,0))</f>
        <v>0</v>
      </c>
    </row>
    <row r="1357" customFormat="false" ht="15" hidden="false" customHeight="false" outlineLevel="0" collapsed="false">
      <c r="A1357" s="17"/>
      <c r="B1357" s="13"/>
      <c r="C1357" s="20" t="str">
        <f aca="false">IF($B1357="","",IFERROR(INDEX(고객사!$B$5:$B$104,MATCH($B1357,고객사!$A$5:$A$104,0)),"코드 확인"))</f>
        <v/>
      </c>
      <c r="D1357" s="15"/>
      <c r="E1357" s="15"/>
      <c r="F1357" s="16"/>
      <c r="G1357" s="16"/>
      <c r="H1357" s="21" t="str">
        <f aca="false">IF(OR($B1357="",F1357=0),"",G1357/F1357)</f>
        <v/>
      </c>
      <c r="I1357" s="22" t="str">
        <f aca="false">IF($B1357="","",MAX(F1357-G1357,0))</f>
        <v/>
      </c>
      <c r="J1357" s="23" t="str">
        <f aca="false">IF($B1357="","",IFERROR(INDEX(고객사!$G$5:$G$104,MATCH($B1357,고객사!$A$5:$A$104,0)),""))</f>
        <v/>
      </c>
      <c r="K1357" s="16"/>
      <c r="L1357" s="22" t="str">
        <f aca="false">IF($B1357="","",K1357*IFERROR(INDEX(고객사!$L$5:$L$104,MATCH($B1357,고객사!$A$5:$A$104,0)),0))</f>
        <v/>
      </c>
      <c r="M1357" s="23" t="str">
        <f aca="false">IF($B1357="","",IF(AND(J1357="N",G1357&gt;0,K1357=0,IFERROR(INDEX(고객사!$H$5:$H$104,MATCH($B1357,고객사!$A$5:$A$104,0)),"")="자사 차량 운행"),"차량 미배정",""))</f>
        <v/>
      </c>
      <c r="N1357" s="22" t="str">
        <f aca="false">IF($B1357="","",IFERROR(INDEX(고객사!$J$5:$J$104,MATCH($B1357,고객사!$A$5:$A$104,0)),0))</f>
        <v/>
      </c>
      <c r="O1357" s="22" t="str">
        <f aca="false">IF($B1357="","",G1357*N1357)</f>
        <v/>
      </c>
      <c r="P1357" s="22" t="str">
        <f aca="false">IF($B1357="","",IFERROR(INDEX(고객사!$K$5:$K$104,MATCH($B1357,고객사!$A$5:$A$104,0)),0))</f>
        <v/>
      </c>
      <c r="Q1357" s="22" t="str">
        <f aca="false">IF($B1357="","",G1357*P1357)</f>
        <v/>
      </c>
      <c r="R1357" s="22" t="str">
        <f aca="false">IF($B1357="","",O1357-Q1357-L1357)</f>
        <v/>
      </c>
      <c r="S1357" s="21" t="str">
        <f aca="false">IF(OR($B1357="",N(O1357)=0),"",R1357/O1357)</f>
        <v/>
      </c>
      <c r="T1357" s="14"/>
      <c r="U1357" s="19" t="n">
        <f aca="false">IF(OR($B1357="",$A1357=""),0,IF(COUNTIFS($A$5:$A1357,$A1357,$B$5:$B1357,$B1357)=1,1,0))</f>
        <v>0</v>
      </c>
    </row>
    <row r="1358" customFormat="false" ht="15" hidden="false" customHeight="false" outlineLevel="0" collapsed="false">
      <c r="A1358" s="17"/>
      <c r="B1358" s="13"/>
      <c r="C1358" s="20" t="str">
        <f aca="false">IF($B1358="","",IFERROR(INDEX(고객사!$B$5:$B$104,MATCH($B1358,고객사!$A$5:$A$104,0)),"코드 확인"))</f>
        <v/>
      </c>
      <c r="D1358" s="15"/>
      <c r="E1358" s="15"/>
      <c r="F1358" s="16"/>
      <c r="G1358" s="16"/>
      <c r="H1358" s="21" t="str">
        <f aca="false">IF(OR($B1358="",F1358=0),"",G1358/F1358)</f>
        <v/>
      </c>
      <c r="I1358" s="22" t="str">
        <f aca="false">IF($B1358="","",MAX(F1358-G1358,0))</f>
        <v/>
      </c>
      <c r="J1358" s="23" t="str">
        <f aca="false">IF($B1358="","",IFERROR(INDEX(고객사!$G$5:$G$104,MATCH($B1358,고객사!$A$5:$A$104,0)),""))</f>
        <v/>
      </c>
      <c r="K1358" s="16"/>
      <c r="L1358" s="22" t="str">
        <f aca="false">IF($B1358="","",K1358*IFERROR(INDEX(고객사!$L$5:$L$104,MATCH($B1358,고객사!$A$5:$A$104,0)),0))</f>
        <v/>
      </c>
      <c r="M1358" s="23" t="str">
        <f aca="false">IF($B1358="","",IF(AND(J1358="N",G1358&gt;0,K1358=0,IFERROR(INDEX(고객사!$H$5:$H$104,MATCH($B1358,고객사!$A$5:$A$104,0)),"")="자사 차량 운행"),"차량 미배정",""))</f>
        <v/>
      </c>
      <c r="N1358" s="22" t="str">
        <f aca="false">IF($B1358="","",IFERROR(INDEX(고객사!$J$5:$J$104,MATCH($B1358,고객사!$A$5:$A$104,0)),0))</f>
        <v/>
      </c>
      <c r="O1358" s="22" t="str">
        <f aca="false">IF($B1358="","",G1358*N1358)</f>
        <v/>
      </c>
      <c r="P1358" s="22" t="str">
        <f aca="false">IF($B1358="","",IFERROR(INDEX(고객사!$K$5:$K$104,MATCH($B1358,고객사!$A$5:$A$104,0)),0))</f>
        <v/>
      </c>
      <c r="Q1358" s="22" t="str">
        <f aca="false">IF($B1358="","",G1358*P1358)</f>
        <v/>
      </c>
      <c r="R1358" s="22" t="str">
        <f aca="false">IF($B1358="","",O1358-Q1358-L1358)</f>
        <v/>
      </c>
      <c r="S1358" s="21" t="str">
        <f aca="false">IF(OR($B1358="",N(O1358)=0),"",R1358/O1358)</f>
        <v/>
      </c>
      <c r="T1358" s="14"/>
      <c r="U1358" s="19" t="n">
        <f aca="false">IF(OR($B1358="",$A1358=""),0,IF(COUNTIFS($A$5:$A1358,$A1358,$B$5:$B1358,$B1358)=1,1,0))</f>
        <v>0</v>
      </c>
    </row>
    <row r="1359" customFormat="false" ht="15" hidden="false" customHeight="false" outlineLevel="0" collapsed="false">
      <c r="A1359" s="17"/>
      <c r="B1359" s="13"/>
      <c r="C1359" s="20" t="str">
        <f aca="false">IF($B1359="","",IFERROR(INDEX(고객사!$B$5:$B$104,MATCH($B1359,고객사!$A$5:$A$104,0)),"코드 확인"))</f>
        <v/>
      </c>
      <c r="D1359" s="15"/>
      <c r="E1359" s="15"/>
      <c r="F1359" s="16"/>
      <c r="G1359" s="16"/>
      <c r="H1359" s="21" t="str">
        <f aca="false">IF(OR($B1359="",F1359=0),"",G1359/F1359)</f>
        <v/>
      </c>
      <c r="I1359" s="22" t="str">
        <f aca="false">IF($B1359="","",MAX(F1359-G1359,0))</f>
        <v/>
      </c>
      <c r="J1359" s="23" t="str">
        <f aca="false">IF($B1359="","",IFERROR(INDEX(고객사!$G$5:$G$104,MATCH($B1359,고객사!$A$5:$A$104,0)),""))</f>
        <v/>
      </c>
      <c r="K1359" s="16"/>
      <c r="L1359" s="22" t="str">
        <f aca="false">IF($B1359="","",K1359*IFERROR(INDEX(고객사!$L$5:$L$104,MATCH($B1359,고객사!$A$5:$A$104,0)),0))</f>
        <v/>
      </c>
      <c r="M1359" s="23" t="str">
        <f aca="false">IF($B1359="","",IF(AND(J1359="N",G1359&gt;0,K1359=0,IFERROR(INDEX(고객사!$H$5:$H$104,MATCH($B1359,고객사!$A$5:$A$104,0)),"")="자사 차량 운행"),"차량 미배정",""))</f>
        <v/>
      </c>
      <c r="N1359" s="22" t="str">
        <f aca="false">IF($B1359="","",IFERROR(INDEX(고객사!$J$5:$J$104,MATCH($B1359,고객사!$A$5:$A$104,0)),0))</f>
        <v/>
      </c>
      <c r="O1359" s="22" t="str">
        <f aca="false">IF($B1359="","",G1359*N1359)</f>
        <v/>
      </c>
      <c r="P1359" s="22" t="str">
        <f aca="false">IF($B1359="","",IFERROR(INDEX(고객사!$K$5:$K$104,MATCH($B1359,고객사!$A$5:$A$104,0)),0))</f>
        <v/>
      </c>
      <c r="Q1359" s="22" t="str">
        <f aca="false">IF($B1359="","",G1359*P1359)</f>
        <v/>
      </c>
      <c r="R1359" s="22" t="str">
        <f aca="false">IF($B1359="","",O1359-Q1359-L1359)</f>
        <v/>
      </c>
      <c r="S1359" s="21" t="str">
        <f aca="false">IF(OR($B1359="",N(O1359)=0),"",R1359/O1359)</f>
        <v/>
      </c>
      <c r="T1359" s="14"/>
      <c r="U1359" s="19" t="n">
        <f aca="false">IF(OR($B1359="",$A1359=""),0,IF(COUNTIFS($A$5:$A1359,$A1359,$B$5:$B1359,$B1359)=1,1,0))</f>
        <v>0</v>
      </c>
    </row>
    <row r="1360" customFormat="false" ht="15" hidden="false" customHeight="false" outlineLevel="0" collapsed="false">
      <c r="A1360" s="17"/>
      <c r="B1360" s="13"/>
      <c r="C1360" s="20" t="str">
        <f aca="false">IF($B1360="","",IFERROR(INDEX(고객사!$B$5:$B$104,MATCH($B1360,고객사!$A$5:$A$104,0)),"코드 확인"))</f>
        <v/>
      </c>
      <c r="D1360" s="15"/>
      <c r="E1360" s="15"/>
      <c r="F1360" s="16"/>
      <c r="G1360" s="16"/>
      <c r="H1360" s="21" t="str">
        <f aca="false">IF(OR($B1360="",F1360=0),"",G1360/F1360)</f>
        <v/>
      </c>
      <c r="I1360" s="22" t="str">
        <f aca="false">IF($B1360="","",MAX(F1360-G1360,0))</f>
        <v/>
      </c>
      <c r="J1360" s="23" t="str">
        <f aca="false">IF($B1360="","",IFERROR(INDEX(고객사!$G$5:$G$104,MATCH($B1360,고객사!$A$5:$A$104,0)),""))</f>
        <v/>
      </c>
      <c r="K1360" s="16"/>
      <c r="L1360" s="22" t="str">
        <f aca="false">IF($B1360="","",K1360*IFERROR(INDEX(고객사!$L$5:$L$104,MATCH($B1360,고객사!$A$5:$A$104,0)),0))</f>
        <v/>
      </c>
      <c r="M1360" s="23" t="str">
        <f aca="false">IF($B1360="","",IF(AND(J1360="N",G1360&gt;0,K1360=0,IFERROR(INDEX(고객사!$H$5:$H$104,MATCH($B1360,고객사!$A$5:$A$104,0)),"")="자사 차량 운행"),"차량 미배정",""))</f>
        <v/>
      </c>
      <c r="N1360" s="22" t="str">
        <f aca="false">IF($B1360="","",IFERROR(INDEX(고객사!$J$5:$J$104,MATCH($B1360,고객사!$A$5:$A$104,0)),0))</f>
        <v/>
      </c>
      <c r="O1360" s="22" t="str">
        <f aca="false">IF($B1360="","",G1360*N1360)</f>
        <v/>
      </c>
      <c r="P1360" s="22" t="str">
        <f aca="false">IF($B1360="","",IFERROR(INDEX(고객사!$K$5:$K$104,MATCH($B1360,고객사!$A$5:$A$104,0)),0))</f>
        <v/>
      </c>
      <c r="Q1360" s="22" t="str">
        <f aca="false">IF($B1360="","",G1360*P1360)</f>
        <v/>
      </c>
      <c r="R1360" s="22" t="str">
        <f aca="false">IF($B1360="","",O1360-Q1360-L1360)</f>
        <v/>
      </c>
      <c r="S1360" s="21" t="str">
        <f aca="false">IF(OR($B1360="",N(O1360)=0),"",R1360/O1360)</f>
        <v/>
      </c>
      <c r="T1360" s="14"/>
      <c r="U1360" s="19" t="n">
        <f aca="false">IF(OR($B1360="",$A1360=""),0,IF(COUNTIFS($A$5:$A1360,$A1360,$B$5:$B1360,$B1360)=1,1,0))</f>
        <v>0</v>
      </c>
    </row>
    <row r="1361" customFormat="false" ht="15" hidden="false" customHeight="false" outlineLevel="0" collapsed="false">
      <c r="A1361" s="17"/>
      <c r="B1361" s="13"/>
      <c r="C1361" s="20" t="str">
        <f aca="false">IF($B1361="","",IFERROR(INDEX(고객사!$B$5:$B$104,MATCH($B1361,고객사!$A$5:$A$104,0)),"코드 확인"))</f>
        <v/>
      </c>
      <c r="D1361" s="15"/>
      <c r="E1361" s="15"/>
      <c r="F1361" s="16"/>
      <c r="G1361" s="16"/>
      <c r="H1361" s="21" t="str">
        <f aca="false">IF(OR($B1361="",F1361=0),"",G1361/F1361)</f>
        <v/>
      </c>
      <c r="I1361" s="22" t="str">
        <f aca="false">IF($B1361="","",MAX(F1361-G1361,0))</f>
        <v/>
      </c>
      <c r="J1361" s="23" t="str">
        <f aca="false">IF($B1361="","",IFERROR(INDEX(고객사!$G$5:$G$104,MATCH($B1361,고객사!$A$5:$A$104,0)),""))</f>
        <v/>
      </c>
      <c r="K1361" s="16"/>
      <c r="L1361" s="22" t="str">
        <f aca="false">IF($B1361="","",K1361*IFERROR(INDEX(고객사!$L$5:$L$104,MATCH($B1361,고객사!$A$5:$A$104,0)),0))</f>
        <v/>
      </c>
      <c r="M1361" s="23" t="str">
        <f aca="false">IF($B1361="","",IF(AND(J1361="N",G1361&gt;0,K1361=0,IFERROR(INDEX(고객사!$H$5:$H$104,MATCH($B1361,고객사!$A$5:$A$104,0)),"")="자사 차량 운행"),"차량 미배정",""))</f>
        <v/>
      </c>
      <c r="N1361" s="22" t="str">
        <f aca="false">IF($B1361="","",IFERROR(INDEX(고객사!$J$5:$J$104,MATCH($B1361,고객사!$A$5:$A$104,0)),0))</f>
        <v/>
      </c>
      <c r="O1361" s="22" t="str">
        <f aca="false">IF($B1361="","",G1361*N1361)</f>
        <v/>
      </c>
      <c r="P1361" s="22" t="str">
        <f aca="false">IF($B1361="","",IFERROR(INDEX(고객사!$K$5:$K$104,MATCH($B1361,고객사!$A$5:$A$104,0)),0))</f>
        <v/>
      </c>
      <c r="Q1361" s="22" t="str">
        <f aca="false">IF($B1361="","",G1361*P1361)</f>
        <v/>
      </c>
      <c r="R1361" s="22" t="str">
        <f aca="false">IF($B1361="","",O1361-Q1361-L1361)</f>
        <v/>
      </c>
      <c r="S1361" s="21" t="str">
        <f aca="false">IF(OR($B1361="",N(O1361)=0),"",R1361/O1361)</f>
        <v/>
      </c>
      <c r="T1361" s="14"/>
      <c r="U1361" s="19" t="n">
        <f aca="false">IF(OR($B1361="",$A1361=""),0,IF(COUNTIFS($A$5:$A1361,$A1361,$B$5:$B1361,$B1361)=1,1,0))</f>
        <v>0</v>
      </c>
    </row>
    <row r="1362" customFormat="false" ht="15" hidden="false" customHeight="false" outlineLevel="0" collapsed="false">
      <c r="A1362" s="17"/>
      <c r="B1362" s="13"/>
      <c r="C1362" s="20" t="str">
        <f aca="false">IF($B1362="","",IFERROR(INDEX(고객사!$B$5:$B$104,MATCH($B1362,고객사!$A$5:$A$104,0)),"코드 확인"))</f>
        <v/>
      </c>
      <c r="D1362" s="15"/>
      <c r="E1362" s="15"/>
      <c r="F1362" s="16"/>
      <c r="G1362" s="16"/>
      <c r="H1362" s="21" t="str">
        <f aca="false">IF(OR($B1362="",F1362=0),"",G1362/F1362)</f>
        <v/>
      </c>
      <c r="I1362" s="22" t="str">
        <f aca="false">IF($B1362="","",MAX(F1362-G1362,0))</f>
        <v/>
      </c>
      <c r="J1362" s="23" t="str">
        <f aca="false">IF($B1362="","",IFERROR(INDEX(고객사!$G$5:$G$104,MATCH($B1362,고객사!$A$5:$A$104,0)),""))</f>
        <v/>
      </c>
      <c r="K1362" s="16"/>
      <c r="L1362" s="22" t="str">
        <f aca="false">IF($B1362="","",K1362*IFERROR(INDEX(고객사!$L$5:$L$104,MATCH($B1362,고객사!$A$5:$A$104,0)),0))</f>
        <v/>
      </c>
      <c r="M1362" s="23" t="str">
        <f aca="false">IF($B1362="","",IF(AND(J1362="N",G1362&gt;0,K1362=0,IFERROR(INDEX(고객사!$H$5:$H$104,MATCH($B1362,고객사!$A$5:$A$104,0)),"")="자사 차량 운행"),"차량 미배정",""))</f>
        <v/>
      </c>
      <c r="N1362" s="22" t="str">
        <f aca="false">IF($B1362="","",IFERROR(INDEX(고객사!$J$5:$J$104,MATCH($B1362,고객사!$A$5:$A$104,0)),0))</f>
        <v/>
      </c>
      <c r="O1362" s="22" t="str">
        <f aca="false">IF($B1362="","",G1362*N1362)</f>
        <v/>
      </c>
      <c r="P1362" s="22" t="str">
        <f aca="false">IF($B1362="","",IFERROR(INDEX(고객사!$K$5:$K$104,MATCH($B1362,고객사!$A$5:$A$104,0)),0))</f>
        <v/>
      </c>
      <c r="Q1362" s="22" t="str">
        <f aca="false">IF($B1362="","",G1362*P1362)</f>
        <v/>
      </c>
      <c r="R1362" s="22" t="str">
        <f aca="false">IF($B1362="","",O1362-Q1362-L1362)</f>
        <v/>
      </c>
      <c r="S1362" s="21" t="str">
        <f aca="false">IF(OR($B1362="",N(O1362)=0),"",R1362/O1362)</f>
        <v/>
      </c>
      <c r="T1362" s="14"/>
      <c r="U1362" s="19" t="n">
        <f aca="false">IF(OR($B1362="",$A1362=""),0,IF(COUNTIFS($A$5:$A1362,$A1362,$B$5:$B1362,$B1362)=1,1,0))</f>
        <v>0</v>
      </c>
    </row>
    <row r="1363" customFormat="false" ht="15" hidden="false" customHeight="false" outlineLevel="0" collapsed="false">
      <c r="A1363" s="17"/>
      <c r="B1363" s="13"/>
      <c r="C1363" s="20" t="str">
        <f aca="false">IF($B1363="","",IFERROR(INDEX(고객사!$B$5:$B$104,MATCH($B1363,고객사!$A$5:$A$104,0)),"코드 확인"))</f>
        <v/>
      </c>
      <c r="D1363" s="15"/>
      <c r="E1363" s="15"/>
      <c r="F1363" s="16"/>
      <c r="G1363" s="16"/>
      <c r="H1363" s="21" t="str">
        <f aca="false">IF(OR($B1363="",F1363=0),"",G1363/F1363)</f>
        <v/>
      </c>
      <c r="I1363" s="22" t="str">
        <f aca="false">IF($B1363="","",MAX(F1363-G1363,0))</f>
        <v/>
      </c>
      <c r="J1363" s="23" t="str">
        <f aca="false">IF($B1363="","",IFERROR(INDEX(고객사!$G$5:$G$104,MATCH($B1363,고객사!$A$5:$A$104,0)),""))</f>
        <v/>
      </c>
      <c r="K1363" s="16"/>
      <c r="L1363" s="22" t="str">
        <f aca="false">IF($B1363="","",K1363*IFERROR(INDEX(고객사!$L$5:$L$104,MATCH($B1363,고객사!$A$5:$A$104,0)),0))</f>
        <v/>
      </c>
      <c r="M1363" s="23" t="str">
        <f aca="false">IF($B1363="","",IF(AND(J1363="N",G1363&gt;0,K1363=0,IFERROR(INDEX(고객사!$H$5:$H$104,MATCH($B1363,고객사!$A$5:$A$104,0)),"")="자사 차량 운행"),"차량 미배정",""))</f>
        <v/>
      </c>
      <c r="N1363" s="22" t="str">
        <f aca="false">IF($B1363="","",IFERROR(INDEX(고객사!$J$5:$J$104,MATCH($B1363,고객사!$A$5:$A$104,0)),0))</f>
        <v/>
      </c>
      <c r="O1363" s="22" t="str">
        <f aca="false">IF($B1363="","",G1363*N1363)</f>
        <v/>
      </c>
      <c r="P1363" s="22" t="str">
        <f aca="false">IF($B1363="","",IFERROR(INDEX(고객사!$K$5:$K$104,MATCH($B1363,고객사!$A$5:$A$104,0)),0))</f>
        <v/>
      </c>
      <c r="Q1363" s="22" t="str">
        <f aca="false">IF($B1363="","",G1363*P1363)</f>
        <v/>
      </c>
      <c r="R1363" s="22" t="str">
        <f aca="false">IF($B1363="","",O1363-Q1363-L1363)</f>
        <v/>
      </c>
      <c r="S1363" s="21" t="str">
        <f aca="false">IF(OR($B1363="",N(O1363)=0),"",R1363/O1363)</f>
        <v/>
      </c>
      <c r="T1363" s="14"/>
      <c r="U1363" s="19" t="n">
        <f aca="false">IF(OR($B1363="",$A1363=""),0,IF(COUNTIFS($A$5:$A1363,$A1363,$B$5:$B1363,$B1363)=1,1,0))</f>
        <v>0</v>
      </c>
    </row>
    <row r="1364" customFormat="false" ht="15" hidden="false" customHeight="false" outlineLevel="0" collapsed="false">
      <c r="A1364" s="17"/>
      <c r="B1364" s="13"/>
      <c r="C1364" s="20" t="str">
        <f aca="false">IF($B1364="","",IFERROR(INDEX(고객사!$B$5:$B$104,MATCH($B1364,고객사!$A$5:$A$104,0)),"코드 확인"))</f>
        <v/>
      </c>
      <c r="D1364" s="15"/>
      <c r="E1364" s="15"/>
      <c r="F1364" s="16"/>
      <c r="G1364" s="16"/>
      <c r="H1364" s="21" t="str">
        <f aca="false">IF(OR($B1364="",F1364=0),"",G1364/F1364)</f>
        <v/>
      </c>
      <c r="I1364" s="22" t="str">
        <f aca="false">IF($B1364="","",MAX(F1364-G1364,0))</f>
        <v/>
      </c>
      <c r="J1364" s="23" t="str">
        <f aca="false">IF($B1364="","",IFERROR(INDEX(고객사!$G$5:$G$104,MATCH($B1364,고객사!$A$5:$A$104,0)),""))</f>
        <v/>
      </c>
      <c r="K1364" s="16"/>
      <c r="L1364" s="22" t="str">
        <f aca="false">IF($B1364="","",K1364*IFERROR(INDEX(고객사!$L$5:$L$104,MATCH($B1364,고객사!$A$5:$A$104,0)),0))</f>
        <v/>
      </c>
      <c r="M1364" s="23" t="str">
        <f aca="false">IF($B1364="","",IF(AND(J1364="N",G1364&gt;0,K1364=0,IFERROR(INDEX(고객사!$H$5:$H$104,MATCH($B1364,고객사!$A$5:$A$104,0)),"")="자사 차량 운행"),"차량 미배정",""))</f>
        <v/>
      </c>
      <c r="N1364" s="22" t="str">
        <f aca="false">IF($B1364="","",IFERROR(INDEX(고객사!$J$5:$J$104,MATCH($B1364,고객사!$A$5:$A$104,0)),0))</f>
        <v/>
      </c>
      <c r="O1364" s="22" t="str">
        <f aca="false">IF($B1364="","",G1364*N1364)</f>
        <v/>
      </c>
      <c r="P1364" s="22" t="str">
        <f aca="false">IF($B1364="","",IFERROR(INDEX(고객사!$K$5:$K$104,MATCH($B1364,고객사!$A$5:$A$104,0)),0))</f>
        <v/>
      </c>
      <c r="Q1364" s="22" t="str">
        <f aca="false">IF($B1364="","",G1364*P1364)</f>
        <v/>
      </c>
      <c r="R1364" s="22" t="str">
        <f aca="false">IF($B1364="","",O1364-Q1364-L1364)</f>
        <v/>
      </c>
      <c r="S1364" s="21" t="str">
        <f aca="false">IF(OR($B1364="",N(O1364)=0),"",R1364/O1364)</f>
        <v/>
      </c>
      <c r="T1364" s="14"/>
      <c r="U1364" s="19" t="n">
        <f aca="false">IF(OR($B1364="",$A1364=""),0,IF(COUNTIFS($A$5:$A1364,$A1364,$B$5:$B1364,$B1364)=1,1,0))</f>
        <v>0</v>
      </c>
    </row>
    <row r="1365" customFormat="false" ht="15" hidden="false" customHeight="false" outlineLevel="0" collapsed="false">
      <c r="A1365" s="17"/>
      <c r="B1365" s="13"/>
      <c r="C1365" s="20" t="str">
        <f aca="false">IF($B1365="","",IFERROR(INDEX(고객사!$B$5:$B$104,MATCH($B1365,고객사!$A$5:$A$104,0)),"코드 확인"))</f>
        <v/>
      </c>
      <c r="D1365" s="15"/>
      <c r="E1365" s="15"/>
      <c r="F1365" s="16"/>
      <c r="G1365" s="16"/>
      <c r="H1365" s="21" t="str">
        <f aca="false">IF(OR($B1365="",F1365=0),"",G1365/F1365)</f>
        <v/>
      </c>
      <c r="I1365" s="22" t="str">
        <f aca="false">IF($B1365="","",MAX(F1365-G1365,0))</f>
        <v/>
      </c>
      <c r="J1365" s="23" t="str">
        <f aca="false">IF($B1365="","",IFERROR(INDEX(고객사!$G$5:$G$104,MATCH($B1365,고객사!$A$5:$A$104,0)),""))</f>
        <v/>
      </c>
      <c r="K1365" s="16"/>
      <c r="L1365" s="22" t="str">
        <f aca="false">IF($B1365="","",K1365*IFERROR(INDEX(고객사!$L$5:$L$104,MATCH($B1365,고객사!$A$5:$A$104,0)),0))</f>
        <v/>
      </c>
      <c r="M1365" s="23" t="str">
        <f aca="false">IF($B1365="","",IF(AND(J1365="N",G1365&gt;0,K1365=0,IFERROR(INDEX(고객사!$H$5:$H$104,MATCH($B1365,고객사!$A$5:$A$104,0)),"")="자사 차량 운행"),"차량 미배정",""))</f>
        <v/>
      </c>
      <c r="N1365" s="22" t="str">
        <f aca="false">IF($B1365="","",IFERROR(INDEX(고객사!$J$5:$J$104,MATCH($B1365,고객사!$A$5:$A$104,0)),0))</f>
        <v/>
      </c>
      <c r="O1365" s="22" t="str">
        <f aca="false">IF($B1365="","",G1365*N1365)</f>
        <v/>
      </c>
      <c r="P1365" s="22" t="str">
        <f aca="false">IF($B1365="","",IFERROR(INDEX(고객사!$K$5:$K$104,MATCH($B1365,고객사!$A$5:$A$104,0)),0))</f>
        <v/>
      </c>
      <c r="Q1365" s="22" t="str">
        <f aca="false">IF($B1365="","",G1365*P1365)</f>
        <v/>
      </c>
      <c r="R1365" s="22" t="str">
        <f aca="false">IF($B1365="","",O1365-Q1365-L1365)</f>
        <v/>
      </c>
      <c r="S1365" s="21" t="str">
        <f aca="false">IF(OR($B1365="",N(O1365)=0),"",R1365/O1365)</f>
        <v/>
      </c>
      <c r="T1365" s="14"/>
      <c r="U1365" s="19" t="n">
        <f aca="false">IF(OR($B1365="",$A1365=""),0,IF(COUNTIFS($A$5:$A1365,$A1365,$B$5:$B1365,$B1365)=1,1,0))</f>
        <v>0</v>
      </c>
    </row>
    <row r="1366" customFormat="false" ht="15" hidden="false" customHeight="false" outlineLevel="0" collapsed="false">
      <c r="A1366" s="17"/>
      <c r="B1366" s="13"/>
      <c r="C1366" s="20" t="str">
        <f aca="false">IF($B1366="","",IFERROR(INDEX(고객사!$B$5:$B$104,MATCH($B1366,고객사!$A$5:$A$104,0)),"코드 확인"))</f>
        <v/>
      </c>
      <c r="D1366" s="15"/>
      <c r="E1366" s="15"/>
      <c r="F1366" s="16"/>
      <c r="G1366" s="16"/>
      <c r="H1366" s="21" t="str">
        <f aca="false">IF(OR($B1366="",F1366=0),"",G1366/F1366)</f>
        <v/>
      </c>
      <c r="I1366" s="22" t="str">
        <f aca="false">IF($B1366="","",MAX(F1366-G1366,0))</f>
        <v/>
      </c>
      <c r="J1366" s="23" t="str">
        <f aca="false">IF($B1366="","",IFERROR(INDEX(고객사!$G$5:$G$104,MATCH($B1366,고객사!$A$5:$A$104,0)),""))</f>
        <v/>
      </c>
      <c r="K1366" s="16"/>
      <c r="L1366" s="22" t="str">
        <f aca="false">IF($B1366="","",K1366*IFERROR(INDEX(고객사!$L$5:$L$104,MATCH($B1366,고객사!$A$5:$A$104,0)),0))</f>
        <v/>
      </c>
      <c r="M1366" s="23" t="str">
        <f aca="false">IF($B1366="","",IF(AND(J1366="N",G1366&gt;0,K1366=0,IFERROR(INDEX(고객사!$H$5:$H$104,MATCH($B1366,고객사!$A$5:$A$104,0)),"")="자사 차량 운행"),"차량 미배정",""))</f>
        <v/>
      </c>
      <c r="N1366" s="22" t="str">
        <f aca="false">IF($B1366="","",IFERROR(INDEX(고객사!$J$5:$J$104,MATCH($B1366,고객사!$A$5:$A$104,0)),0))</f>
        <v/>
      </c>
      <c r="O1366" s="22" t="str">
        <f aca="false">IF($B1366="","",G1366*N1366)</f>
        <v/>
      </c>
      <c r="P1366" s="22" t="str">
        <f aca="false">IF($B1366="","",IFERROR(INDEX(고객사!$K$5:$K$104,MATCH($B1366,고객사!$A$5:$A$104,0)),0))</f>
        <v/>
      </c>
      <c r="Q1366" s="22" t="str">
        <f aca="false">IF($B1366="","",G1366*P1366)</f>
        <v/>
      </c>
      <c r="R1366" s="22" t="str">
        <f aca="false">IF($B1366="","",O1366-Q1366-L1366)</f>
        <v/>
      </c>
      <c r="S1366" s="21" t="str">
        <f aca="false">IF(OR($B1366="",N(O1366)=0),"",R1366/O1366)</f>
        <v/>
      </c>
      <c r="T1366" s="14"/>
      <c r="U1366" s="19" t="n">
        <f aca="false">IF(OR($B1366="",$A1366=""),0,IF(COUNTIFS($A$5:$A1366,$A1366,$B$5:$B1366,$B1366)=1,1,0))</f>
        <v>0</v>
      </c>
    </row>
    <row r="1367" customFormat="false" ht="15" hidden="false" customHeight="false" outlineLevel="0" collapsed="false">
      <c r="A1367" s="17"/>
      <c r="B1367" s="13"/>
      <c r="C1367" s="20" t="str">
        <f aca="false">IF($B1367="","",IFERROR(INDEX(고객사!$B$5:$B$104,MATCH($B1367,고객사!$A$5:$A$104,0)),"코드 확인"))</f>
        <v/>
      </c>
      <c r="D1367" s="15"/>
      <c r="E1367" s="15"/>
      <c r="F1367" s="16"/>
      <c r="G1367" s="16"/>
      <c r="H1367" s="21" t="str">
        <f aca="false">IF(OR($B1367="",F1367=0),"",G1367/F1367)</f>
        <v/>
      </c>
      <c r="I1367" s="22" t="str">
        <f aca="false">IF($B1367="","",MAX(F1367-G1367,0))</f>
        <v/>
      </c>
      <c r="J1367" s="23" t="str">
        <f aca="false">IF($B1367="","",IFERROR(INDEX(고객사!$G$5:$G$104,MATCH($B1367,고객사!$A$5:$A$104,0)),""))</f>
        <v/>
      </c>
      <c r="K1367" s="16"/>
      <c r="L1367" s="22" t="str">
        <f aca="false">IF($B1367="","",K1367*IFERROR(INDEX(고객사!$L$5:$L$104,MATCH($B1367,고객사!$A$5:$A$104,0)),0))</f>
        <v/>
      </c>
      <c r="M1367" s="23" t="str">
        <f aca="false">IF($B1367="","",IF(AND(J1367="N",G1367&gt;0,K1367=0,IFERROR(INDEX(고객사!$H$5:$H$104,MATCH($B1367,고객사!$A$5:$A$104,0)),"")="자사 차량 운행"),"차량 미배정",""))</f>
        <v/>
      </c>
      <c r="N1367" s="22" t="str">
        <f aca="false">IF($B1367="","",IFERROR(INDEX(고객사!$J$5:$J$104,MATCH($B1367,고객사!$A$5:$A$104,0)),0))</f>
        <v/>
      </c>
      <c r="O1367" s="22" t="str">
        <f aca="false">IF($B1367="","",G1367*N1367)</f>
        <v/>
      </c>
      <c r="P1367" s="22" t="str">
        <f aca="false">IF($B1367="","",IFERROR(INDEX(고객사!$K$5:$K$104,MATCH($B1367,고객사!$A$5:$A$104,0)),0))</f>
        <v/>
      </c>
      <c r="Q1367" s="22" t="str">
        <f aca="false">IF($B1367="","",G1367*P1367)</f>
        <v/>
      </c>
      <c r="R1367" s="22" t="str">
        <f aca="false">IF($B1367="","",O1367-Q1367-L1367)</f>
        <v/>
      </c>
      <c r="S1367" s="21" t="str">
        <f aca="false">IF(OR($B1367="",N(O1367)=0),"",R1367/O1367)</f>
        <v/>
      </c>
      <c r="T1367" s="14"/>
      <c r="U1367" s="19" t="n">
        <f aca="false">IF(OR($B1367="",$A1367=""),0,IF(COUNTIFS($A$5:$A1367,$A1367,$B$5:$B1367,$B1367)=1,1,0))</f>
        <v>0</v>
      </c>
    </row>
    <row r="1368" customFormat="false" ht="15" hidden="false" customHeight="false" outlineLevel="0" collapsed="false">
      <c r="A1368" s="17"/>
      <c r="B1368" s="13"/>
      <c r="C1368" s="20" t="str">
        <f aca="false">IF($B1368="","",IFERROR(INDEX(고객사!$B$5:$B$104,MATCH($B1368,고객사!$A$5:$A$104,0)),"코드 확인"))</f>
        <v/>
      </c>
      <c r="D1368" s="15"/>
      <c r="E1368" s="15"/>
      <c r="F1368" s="16"/>
      <c r="G1368" s="16"/>
      <c r="H1368" s="21" t="str">
        <f aca="false">IF(OR($B1368="",F1368=0),"",G1368/F1368)</f>
        <v/>
      </c>
      <c r="I1368" s="22" t="str">
        <f aca="false">IF($B1368="","",MAX(F1368-G1368,0))</f>
        <v/>
      </c>
      <c r="J1368" s="23" t="str">
        <f aca="false">IF($B1368="","",IFERROR(INDEX(고객사!$G$5:$G$104,MATCH($B1368,고객사!$A$5:$A$104,0)),""))</f>
        <v/>
      </c>
      <c r="K1368" s="16"/>
      <c r="L1368" s="22" t="str">
        <f aca="false">IF($B1368="","",K1368*IFERROR(INDEX(고객사!$L$5:$L$104,MATCH($B1368,고객사!$A$5:$A$104,0)),0))</f>
        <v/>
      </c>
      <c r="M1368" s="23" t="str">
        <f aca="false">IF($B1368="","",IF(AND(J1368="N",G1368&gt;0,K1368=0,IFERROR(INDEX(고객사!$H$5:$H$104,MATCH($B1368,고객사!$A$5:$A$104,0)),"")="자사 차량 운행"),"차량 미배정",""))</f>
        <v/>
      </c>
      <c r="N1368" s="22" t="str">
        <f aca="false">IF($B1368="","",IFERROR(INDEX(고객사!$J$5:$J$104,MATCH($B1368,고객사!$A$5:$A$104,0)),0))</f>
        <v/>
      </c>
      <c r="O1368" s="22" t="str">
        <f aca="false">IF($B1368="","",G1368*N1368)</f>
        <v/>
      </c>
      <c r="P1368" s="22" t="str">
        <f aca="false">IF($B1368="","",IFERROR(INDEX(고객사!$K$5:$K$104,MATCH($B1368,고객사!$A$5:$A$104,0)),0))</f>
        <v/>
      </c>
      <c r="Q1368" s="22" t="str">
        <f aca="false">IF($B1368="","",G1368*P1368)</f>
        <v/>
      </c>
      <c r="R1368" s="22" t="str">
        <f aca="false">IF($B1368="","",O1368-Q1368-L1368)</f>
        <v/>
      </c>
      <c r="S1368" s="21" t="str">
        <f aca="false">IF(OR($B1368="",N(O1368)=0),"",R1368/O1368)</f>
        <v/>
      </c>
      <c r="T1368" s="14"/>
      <c r="U1368" s="19" t="n">
        <f aca="false">IF(OR($B1368="",$A1368=""),0,IF(COUNTIFS($A$5:$A1368,$A1368,$B$5:$B1368,$B1368)=1,1,0))</f>
        <v>0</v>
      </c>
    </row>
    <row r="1369" customFormat="false" ht="15" hidden="false" customHeight="false" outlineLevel="0" collapsed="false">
      <c r="A1369" s="17"/>
      <c r="B1369" s="13"/>
      <c r="C1369" s="20" t="str">
        <f aca="false">IF($B1369="","",IFERROR(INDEX(고객사!$B$5:$B$104,MATCH($B1369,고객사!$A$5:$A$104,0)),"코드 확인"))</f>
        <v/>
      </c>
      <c r="D1369" s="15"/>
      <c r="E1369" s="15"/>
      <c r="F1369" s="16"/>
      <c r="G1369" s="16"/>
      <c r="H1369" s="21" t="str">
        <f aca="false">IF(OR($B1369="",F1369=0),"",G1369/F1369)</f>
        <v/>
      </c>
      <c r="I1369" s="22" t="str">
        <f aca="false">IF($B1369="","",MAX(F1369-G1369,0))</f>
        <v/>
      </c>
      <c r="J1369" s="23" t="str">
        <f aca="false">IF($B1369="","",IFERROR(INDEX(고객사!$G$5:$G$104,MATCH($B1369,고객사!$A$5:$A$104,0)),""))</f>
        <v/>
      </c>
      <c r="K1369" s="16"/>
      <c r="L1369" s="22" t="str">
        <f aca="false">IF($B1369="","",K1369*IFERROR(INDEX(고객사!$L$5:$L$104,MATCH($B1369,고객사!$A$5:$A$104,0)),0))</f>
        <v/>
      </c>
      <c r="M1369" s="23" t="str">
        <f aca="false">IF($B1369="","",IF(AND(J1369="N",G1369&gt;0,K1369=0,IFERROR(INDEX(고객사!$H$5:$H$104,MATCH($B1369,고객사!$A$5:$A$104,0)),"")="자사 차량 운행"),"차량 미배정",""))</f>
        <v/>
      </c>
      <c r="N1369" s="22" t="str">
        <f aca="false">IF($B1369="","",IFERROR(INDEX(고객사!$J$5:$J$104,MATCH($B1369,고객사!$A$5:$A$104,0)),0))</f>
        <v/>
      </c>
      <c r="O1369" s="22" t="str">
        <f aca="false">IF($B1369="","",G1369*N1369)</f>
        <v/>
      </c>
      <c r="P1369" s="22" t="str">
        <f aca="false">IF($B1369="","",IFERROR(INDEX(고객사!$K$5:$K$104,MATCH($B1369,고객사!$A$5:$A$104,0)),0))</f>
        <v/>
      </c>
      <c r="Q1369" s="22" t="str">
        <f aca="false">IF($B1369="","",G1369*P1369)</f>
        <v/>
      </c>
      <c r="R1369" s="22" t="str">
        <f aca="false">IF($B1369="","",O1369-Q1369-L1369)</f>
        <v/>
      </c>
      <c r="S1369" s="21" t="str">
        <f aca="false">IF(OR($B1369="",N(O1369)=0),"",R1369/O1369)</f>
        <v/>
      </c>
      <c r="T1369" s="14"/>
      <c r="U1369" s="19" t="n">
        <f aca="false">IF(OR($B1369="",$A1369=""),0,IF(COUNTIFS($A$5:$A1369,$A1369,$B$5:$B1369,$B1369)=1,1,0))</f>
        <v>0</v>
      </c>
    </row>
    <row r="1370" customFormat="false" ht="15" hidden="false" customHeight="false" outlineLevel="0" collapsed="false">
      <c r="A1370" s="17"/>
      <c r="B1370" s="13"/>
      <c r="C1370" s="20" t="str">
        <f aca="false">IF($B1370="","",IFERROR(INDEX(고객사!$B$5:$B$104,MATCH($B1370,고객사!$A$5:$A$104,0)),"코드 확인"))</f>
        <v/>
      </c>
      <c r="D1370" s="15"/>
      <c r="E1370" s="15"/>
      <c r="F1370" s="16"/>
      <c r="G1370" s="16"/>
      <c r="H1370" s="21" t="str">
        <f aca="false">IF(OR($B1370="",F1370=0),"",G1370/F1370)</f>
        <v/>
      </c>
      <c r="I1370" s="22" t="str">
        <f aca="false">IF($B1370="","",MAX(F1370-G1370,0))</f>
        <v/>
      </c>
      <c r="J1370" s="23" t="str">
        <f aca="false">IF($B1370="","",IFERROR(INDEX(고객사!$G$5:$G$104,MATCH($B1370,고객사!$A$5:$A$104,0)),""))</f>
        <v/>
      </c>
      <c r="K1370" s="16"/>
      <c r="L1370" s="22" t="str">
        <f aca="false">IF($B1370="","",K1370*IFERROR(INDEX(고객사!$L$5:$L$104,MATCH($B1370,고객사!$A$5:$A$104,0)),0))</f>
        <v/>
      </c>
      <c r="M1370" s="23" t="str">
        <f aca="false">IF($B1370="","",IF(AND(J1370="N",G1370&gt;0,K1370=0,IFERROR(INDEX(고객사!$H$5:$H$104,MATCH($B1370,고객사!$A$5:$A$104,0)),"")="자사 차량 운행"),"차량 미배정",""))</f>
        <v/>
      </c>
      <c r="N1370" s="22" t="str">
        <f aca="false">IF($B1370="","",IFERROR(INDEX(고객사!$J$5:$J$104,MATCH($B1370,고객사!$A$5:$A$104,0)),0))</f>
        <v/>
      </c>
      <c r="O1370" s="22" t="str">
        <f aca="false">IF($B1370="","",G1370*N1370)</f>
        <v/>
      </c>
      <c r="P1370" s="22" t="str">
        <f aca="false">IF($B1370="","",IFERROR(INDEX(고객사!$K$5:$K$104,MATCH($B1370,고객사!$A$5:$A$104,0)),0))</f>
        <v/>
      </c>
      <c r="Q1370" s="22" t="str">
        <f aca="false">IF($B1370="","",G1370*P1370)</f>
        <v/>
      </c>
      <c r="R1370" s="22" t="str">
        <f aca="false">IF($B1370="","",O1370-Q1370-L1370)</f>
        <v/>
      </c>
      <c r="S1370" s="21" t="str">
        <f aca="false">IF(OR($B1370="",N(O1370)=0),"",R1370/O1370)</f>
        <v/>
      </c>
      <c r="T1370" s="14"/>
      <c r="U1370" s="19" t="n">
        <f aca="false">IF(OR($B1370="",$A1370=""),0,IF(COUNTIFS($A$5:$A1370,$A1370,$B$5:$B1370,$B1370)=1,1,0))</f>
        <v>0</v>
      </c>
    </row>
    <row r="1371" customFormat="false" ht="15" hidden="false" customHeight="false" outlineLevel="0" collapsed="false">
      <c r="A1371" s="17"/>
      <c r="B1371" s="13"/>
      <c r="C1371" s="20" t="str">
        <f aca="false">IF($B1371="","",IFERROR(INDEX(고객사!$B$5:$B$104,MATCH($B1371,고객사!$A$5:$A$104,0)),"코드 확인"))</f>
        <v/>
      </c>
      <c r="D1371" s="15"/>
      <c r="E1371" s="15"/>
      <c r="F1371" s="16"/>
      <c r="G1371" s="16"/>
      <c r="H1371" s="21" t="str">
        <f aca="false">IF(OR($B1371="",F1371=0),"",G1371/F1371)</f>
        <v/>
      </c>
      <c r="I1371" s="22" t="str">
        <f aca="false">IF($B1371="","",MAX(F1371-G1371,0))</f>
        <v/>
      </c>
      <c r="J1371" s="23" t="str">
        <f aca="false">IF($B1371="","",IFERROR(INDEX(고객사!$G$5:$G$104,MATCH($B1371,고객사!$A$5:$A$104,0)),""))</f>
        <v/>
      </c>
      <c r="K1371" s="16"/>
      <c r="L1371" s="22" t="str">
        <f aca="false">IF($B1371="","",K1371*IFERROR(INDEX(고객사!$L$5:$L$104,MATCH($B1371,고객사!$A$5:$A$104,0)),0))</f>
        <v/>
      </c>
      <c r="M1371" s="23" t="str">
        <f aca="false">IF($B1371="","",IF(AND(J1371="N",G1371&gt;0,K1371=0,IFERROR(INDEX(고객사!$H$5:$H$104,MATCH($B1371,고객사!$A$5:$A$104,0)),"")="자사 차량 운행"),"차량 미배정",""))</f>
        <v/>
      </c>
      <c r="N1371" s="22" t="str">
        <f aca="false">IF($B1371="","",IFERROR(INDEX(고객사!$J$5:$J$104,MATCH($B1371,고객사!$A$5:$A$104,0)),0))</f>
        <v/>
      </c>
      <c r="O1371" s="22" t="str">
        <f aca="false">IF($B1371="","",G1371*N1371)</f>
        <v/>
      </c>
      <c r="P1371" s="22" t="str">
        <f aca="false">IF($B1371="","",IFERROR(INDEX(고객사!$K$5:$K$104,MATCH($B1371,고객사!$A$5:$A$104,0)),0))</f>
        <v/>
      </c>
      <c r="Q1371" s="22" t="str">
        <f aca="false">IF($B1371="","",G1371*P1371)</f>
        <v/>
      </c>
      <c r="R1371" s="22" t="str">
        <f aca="false">IF($B1371="","",O1371-Q1371-L1371)</f>
        <v/>
      </c>
      <c r="S1371" s="21" t="str">
        <f aca="false">IF(OR($B1371="",N(O1371)=0),"",R1371/O1371)</f>
        <v/>
      </c>
      <c r="T1371" s="14"/>
      <c r="U1371" s="19" t="n">
        <f aca="false">IF(OR($B1371="",$A1371=""),0,IF(COUNTIFS($A$5:$A1371,$A1371,$B$5:$B1371,$B1371)=1,1,0))</f>
        <v>0</v>
      </c>
    </row>
    <row r="1372" customFormat="false" ht="15" hidden="false" customHeight="false" outlineLevel="0" collapsed="false">
      <c r="A1372" s="17"/>
      <c r="B1372" s="13"/>
      <c r="C1372" s="20" t="str">
        <f aca="false">IF($B1372="","",IFERROR(INDEX(고객사!$B$5:$B$104,MATCH($B1372,고객사!$A$5:$A$104,0)),"코드 확인"))</f>
        <v/>
      </c>
      <c r="D1372" s="15"/>
      <c r="E1372" s="15"/>
      <c r="F1372" s="16"/>
      <c r="G1372" s="16"/>
      <c r="H1372" s="21" t="str">
        <f aca="false">IF(OR($B1372="",F1372=0),"",G1372/F1372)</f>
        <v/>
      </c>
      <c r="I1372" s="22" t="str">
        <f aca="false">IF($B1372="","",MAX(F1372-G1372,0))</f>
        <v/>
      </c>
      <c r="J1372" s="23" t="str">
        <f aca="false">IF($B1372="","",IFERROR(INDEX(고객사!$G$5:$G$104,MATCH($B1372,고객사!$A$5:$A$104,0)),""))</f>
        <v/>
      </c>
      <c r="K1372" s="16"/>
      <c r="L1372" s="22" t="str">
        <f aca="false">IF($B1372="","",K1372*IFERROR(INDEX(고객사!$L$5:$L$104,MATCH($B1372,고객사!$A$5:$A$104,0)),0))</f>
        <v/>
      </c>
      <c r="M1372" s="23" t="str">
        <f aca="false">IF($B1372="","",IF(AND(J1372="N",G1372&gt;0,K1372=0,IFERROR(INDEX(고객사!$H$5:$H$104,MATCH($B1372,고객사!$A$5:$A$104,0)),"")="자사 차량 운행"),"차량 미배정",""))</f>
        <v/>
      </c>
      <c r="N1372" s="22" t="str">
        <f aca="false">IF($B1372="","",IFERROR(INDEX(고객사!$J$5:$J$104,MATCH($B1372,고객사!$A$5:$A$104,0)),0))</f>
        <v/>
      </c>
      <c r="O1372" s="22" t="str">
        <f aca="false">IF($B1372="","",G1372*N1372)</f>
        <v/>
      </c>
      <c r="P1372" s="22" t="str">
        <f aca="false">IF($B1372="","",IFERROR(INDEX(고객사!$K$5:$K$104,MATCH($B1372,고객사!$A$5:$A$104,0)),0))</f>
        <v/>
      </c>
      <c r="Q1372" s="22" t="str">
        <f aca="false">IF($B1372="","",G1372*P1372)</f>
        <v/>
      </c>
      <c r="R1372" s="22" t="str">
        <f aca="false">IF($B1372="","",O1372-Q1372-L1372)</f>
        <v/>
      </c>
      <c r="S1372" s="21" t="str">
        <f aca="false">IF(OR($B1372="",N(O1372)=0),"",R1372/O1372)</f>
        <v/>
      </c>
      <c r="T1372" s="14"/>
      <c r="U1372" s="19" t="n">
        <f aca="false">IF(OR($B1372="",$A1372=""),0,IF(COUNTIFS($A$5:$A1372,$A1372,$B$5:$B1372,$B1372)=1,1,0))</f>
        <v>0</v>
      </c>
    </row>
    <row r="1373" customFormat="false" ht="15" hidden="false" customHeight="false" outlineLevel="0" collapsed="false">
      <c r="A1373" s="17"/>
      <c r="B1373" s="13"/>
      <c r="C1373" s="20" t="str">
        <f aca="false">IF($B1373="","",IFERROR(INDEX(고객사!$B$5:$B$104,MATCH($B1373,고객사!$A$5:$A$104,0)),"코드 확인"))</f>
        <v/>
      </c>
      <c r="D1373" s="15"/>
      <c r="E1373" s="15"/>
      <c r="F1373" s="16"/>
      <c r="G1373" s="16"/>
      <c r="H1373" s="21" t="str">
        <f aca="false">IF(OR($B1373="",F1373=0),"",G1373/F1373)</f>
        <v/>
      </c>
      <c r="I1373" s="22" t="str">
        <f aca="false">IF($B1373="","",MAX(F1373-G1373,0))</f>
        <v/>
      </c>
      <c r="J1373" s="23" t="str">
        <f aca="false">IF($B1373="","",IFERROR(INDEX(고객사!$G$5:$G$104,MATCH($B1373,고객사!$A$5:$A$104,0)),""))</f>
        <v/>
      </c>
      <c r="K1373" s="16"/>
      <c r="L1373" s="22" t="str">
        <f aca="false">IF($B1373="","",K1373*IFERROR(INDEX(고객사!$L$5:$L$104,MATCH($B1373,고객사!$A$5:$A$104,0)),0))</f>
        <v/>
      </c>
      <c r="M1373" s="23" t="str">
        <f aca="false">IF($B1373="","",IF(AND(J1373="N",G1373&gt;0,K1373=0,IFERROR(INDEX(고객사!$H$5:$H$104,MATCH($B1373,고객사!$A$5:$A$104,0)),"")="자사 차량 운행"),"차량 미배정",""))</f>
        <v/>
      </c>
      <c r="N1373" s="22" t="str">
        <f aca="false">IF($B1373="","",IFERROR(INDEX(고객사!$J$5:$J$104,MATCH($B1373,고객사!$A$5:$A$104,0)),0))</f>
        <v/>
      </c>
      <c r="O1373" s="22" t="str">
        <f aca="false">IF($B1373="","",G1373*N1373)</f>
        <v/>
      </c>
      <c r="P1373" s="22" t="str">
        <f aca="false">IF($B1373="","",IFERROR(INDEX(고객사!$K$5:$K$104,MATCH($B1373,고객사!$A$5:$A$104,0)),0))</f>
        <v/>
      </c>
      <c r="Q1373" s="22" t="str">
        <f aca="false">IF($B1373="","",G1373*P1373)</f>
        <v/>
      </c>
      <c r="R1373" s="22" t="str">
        <f aca="false">IF($B1373="","",O1373-Q1373-L1373)</f>
        <v/>
      </c>
      <c r="S1373" s="21" t="str">
        <f aca="false">IF(OR($B1373="",N(O1373)=0),"",R1373/O1373)</f>
        <v/>
      </c>
      <c r="T1373" s="14"/>
      <c r="U1373" s="19" t="n">
        <f aca="false">IF(OR($B1373="",$A1373=""),0,IF(COUNTIFS($A$5:$A1373,$A1373,$B$5:$B1373,$B1373)=1,1,0))</f>
        <v>0</v>
      </c>
    </row>
    <row r="1374" customFormat="false" ht="15" hidden="false" customHeight="false" outlineLevel="0" collapsed="false">
      <c r="A1374" s="17"/>
      <c r="B1374" s="13"/>
      <c r="C1374" s="20" t="str">
        <f aca="false">IF($B1374="","",IFERROR(INDEX(고객사!$B$5:$B$104,MATCH($B1374,고객사!$A$5:$A$104,0)),"코드 확인"))</f>
        <v/>
      </c>
      <c r="D1374" s="15"/>
      <c r="E1374" s="15"/>
      <c r="F1374" s="16"/>
      <c r="G1374" s="16"/>
      <c r="H1374" s="21" t="str">
        <f aca="false">IF(OR($B1374="",F1374=0),"",G1374/F1374)</f>
        <v/>
      </c>
      <c r="I1374" s="22" t="str">
        <f aca="false">IF($B1374="","",MAX(F1374-G1374,0))</f>
        <v/>
      </c>
      <c r="J1374" s="23" t="str">
        <f aca="false">IF($B1374="","",IFERROR(INDEX(고객사!$G$5:$G$104,MATCH($B1374,고객사!$A$5:$A$104,0)),""))</f>
        <v/>
      </c>
      <c r="K1374" s="16"/>
      <c r="L1374" s="22" t="str">
        <f aca="false">IF($B1374="","",K1374*IFERROR(INDEX(고객사!$L$5:$L$104,MATCH($B1374,고객사!$A$5:$A$104,0)),0))</f>
        <v/>
      </c>
      <c r="M1374" s="23" t="str">
        <f aca="false">IF($B1374="","",IF(AND(J1374="N",G1374&gt;0,K1374=0,IFERROR(INDEX(고객사!$H$5:$H$104,MATCH($B1374,고객사!$A$5:$A$104,0)),"")="자사 차량 운행"),"차량 미배정",""))</f>
        <v/>
      </c>
      <c r="N1374" s="22" t="str">
        <f aca="false">IF($B1374="","",IFERROR(INDEX(고객사!$J$5:$J$104,MATCH($B1374,고객사!$A$5:$A$104,0)),0))</f>
        <v/>
      </c>
      <c r="O1374" s="22" t="str">
        <f aca="false">IF($B1374="","",G1374*N1374)</f>
        <v/>
      </c>
      <c r="P1374" s="22" t="str">
        <f aca="false">IF($B1374="","",IFERROR(INDEX(고객사!$K$5:$K$104,MATCH($B1374,고객사!$A$5:$A$104,0)),0))</f>
        <v/>
      </c>
      <c r="Q1374" s="22" t="str">
        <f aca="false">IF($B1374="","",G1374*P1374)</f>
        <v/>
      </c>
      <c r="R1374" s="22" t="str">
        <f aca="false">IF($B1374="","",O1374-Q1374-L1374)</f>
        <v/>
      </c>
      <c r="S1374" s="21" t="str">
        <f aca="false">IF(OR($B1374="",N(O1374)=0),"",R1374/O1374)</f>
        <v/>
      </c>
      <c r="T1374" s="14"/>
      <c r="U1374" s="19" t="n">
        <f aca="false">IF(OR($B1374="",$A1374=""),0,IF(COUNTIFS($A$5:$A1374,$A1374,$B$5:$B1374,$B1374)=1,1,0))</f>
        <v>0</v>
      </c>
    </row>
    <row r="1375" customFormat="false" ht="15" hidden="false" customHeight="false" outlineLevel="0" collapsed="false">
      <c r="A1375" s="17"/>
      <c r="B1375" s="13"/>
      <c r="C1375" s="20" t="str">
        <f aca="false">IF($B1375="","",IFERROR(INDEX(고객사!$B$5:$B$104,MATCH($B1375,고객사!$A$5:$A$104,0)),"코드 확인"))</f>
        <v/>
      </c>
      <c r="D1375" s="15"/>
      <c r="E1375" s="15"/>
      <c r="F1375" s="16"/>
      <c r="G1375" s="16"/>
      <c r="H1375" s="21" t="str">
        <f aca="false">IF(OR($B1375="",F1375=0),"",G1375/F1375)</f>
        <v/>
      </c>
      <c r="I1375" s="22" t="str">
        <f aca="false">IF($B1375="","",MAX(F1375-G1375,0))</f>
        <v/>
      </c>
      <c r="J1375" s="23" t="str">
        <f aca="false">IF($B1375="","",IFERROR(INDEX(고객사!$G$5:$G$104,MATCH($B1375,고객사!$A$5:$A$104,0)),""))</f>
        <v/>
      </c>
      <c r="K1375" s="16"/>
      <c r="L1375" s="22" t="str">
        <f aca="false">IF($B1375="","",K1375*IFERROR(INDEX(고객사!$L$5:$L$104,MATCH($B1375,고객사!$A$5:$A$104,0)),0))</f>
        <v/>
      </c>
      <c r="M1375" s="23" t="str">
        <f aca="false">IF($B1375="","",IF(AND(J1375="N",G1375&gt;0,K1375=0,IFERROR(INDEX(고객사!$H$5:$H$104,MATCH($B1375,고객사!$A$5:$A$104,0)),"")="자사 차량 운행"),"차량 미배정",""))</f>
        <v/>
      </c>
      <c r="N1375" s="22" t="str">
        <f aca="false">IF($B1375="","",IFERROR(INDEX(고객사!$J$5:$J$104,MATCH($B1375,고객사!$A$5:$A$104,0)),0))</f>
        <v/>
      </c>
      <c r="O1375" s="22" t="str">
        <f aca="false">IF($B1375="","",G1375*N1375)</f>
        <v/>
      </c>
      <c r="P1375" s="22" t="str">
        <f aca="false">IF($B1375="","",IFERROR(INDEX(고객사!$K$5:$K$104,MATCH($B1375,고객사!$A$5:$A$104,0)),0))</f>
        <v/>
      </c>
      <c r="Q1375" s="22" t="str">
        <f aca="false">IF($B1375="","",G1375*P1375)</f>
        <v/>
      </c>
      <c r="R1375" s="22" t="str">
        <f aca="false">IF($B1375="","",O1375-Q1375-L1375)</f>
        <v/>
      </c>
      <c r="S1375" s="21" t="str">
        <f aca="false">IF(OR($B1375="",N(O1375)=0),"",R1375/O1375)</f>
        <v/>
      </c>
      <c r="T1375" s="14"/>
      <c r="U1375" s="19" t="n">
        <f aca="false">IF(OR($B1375="",$A1375=""),0,IF(COUNTIFS($A$5:$A1375,$A1375,$B$5:$B1375,$B1375)=1,1,0))</f>
        <v>0</v>
      </c>
    </row>
    <row r="1376" customFormat="false" ht="15" hidden="false" customHeight="false" outlineLevel="0" collapsed="false">
      <c r="A1376" s="17"/>
      <c r="B1376" s="13"/>
      <c r="C1376" s="20" t="str">
        <f aca="false">IF($B1376="","",IFERROR(INDEX(고객사!$B$5:$B$104,MATCH($B1376,고객사!$A$5:$A$104,0)),"코드 확인"))</f>
        <v/>
      </c>
      <c r="D1376" s="15"/>
      <c r="E1376" s="15"/>
      <c r="F1376" s="16"/>
      <c r="G1376" s="16"/>
      <c r="H1376" s="21" t="str">
        <f aca="false">IF(OR($B1376="",F1376=0),"",G1376/F1376)</f>
        <v/>
      </c>
      <c r="I1376" s="22" t="str">
        <f aca="false">IF($B1376="","",MAX(F1376-G1376,0))</f>
        <v/>
      </c>
      <c r="J1376" s="23" t="str">
        <f aca="false">IF($B1376="","",IFERROR(INDEX(고객사!$G$5:$G$104,MATCH($B1376,고객사!$A$5:$A$104,0)),""))</f>
        <v/>
      </c>
      <c r="K1376" s="16"/>
      <c r="L1376" s="22" t="str">
        <f aca="false">IF($B1376="","",K1376*IFERROR(INDEX(고객사!$L$5:$L$104,MATCH($B1376,고객사!$A$5:$A$104,0)),0))</f>
        <v/>
      </c>
      <c r="M1376" s="23" t="str">
        <f aca="false">IF($B1376="","",IF(AND(J1376="N",G1376&gt;0,K1376=0,IFERROR(INDEX(고객사!$H$5:$H$104,MATCH($B1376,고객사!$A$5:$A$104,0)),"")="자사 차량 운행"),"차량 미배정",""))</f>
        <v/>
      </c>
      <c r="N1376" s="22" t="str">
        <f aca="false">IF($B1376="","",IFERROR(INDEX(고객사!$J$5:$J$104,MATCH($B1376,고객사!$A$5:$A$104,0)),0))</f>
        <v/>
      </c>
      <c r="O1376" s="22" t="str">
        <f aca="false">IF($B1376="","",G1376*N1376)</f>
        <v/>
      </c>
      <c r="P1376" s="22" t="str">
        <f aca="false">IF($B1376="","",IFERROR(INDEX(고객사!$K$5:$K$104,MATCH($B1376,고객사!$A$5:$A$104,0)),0))</f>
        <v/>
      </c>
      <c r="Q1376" s="22" t="str">
        <f aca="false">IF($B1376="","",G1376*P1376)</f>
        <v/>
      </c>
      <c r="R1376" s="22" t="str">
        <f aca="false">IF($B1376="","",O1376-Q1376-L1376)</f>
        <v/>
      </c>
      <c r="S1376" s="21" t="str">
        <f aca="false">IF(OR($B1376="",N(O1376)=0),"",R1376/O1376)</f>
        <v/>
      </c>
      <c r="T1376" s="14"/>
      <c r="U1376" s="19" t="n">
        <f aca="false">IF(OR($B1376="",$A1376=""),0,IF(COUNTIFS($A$5:$A1376,$A1376,$B$5:$B1376,$B1376)=1,1,0))</f>
        <v>0</v>
      </c>
    </row>
    <row r="1377" customFormat="false" ht="15" hidden="false" customHeight="false" outlineLevel="0" collapsed="false">
      <c r="A1377" s="17"/>
      <c r="B1377" s="13"/>
      <c r="C1377" s="20" t="str">
        <f aca="false">IF($B1377="","",IFERROR(INDEX(고객사!$B$5:$B$104,MATCH($B1377,고객사!$A$5:$A$104,0)),"코드 확인"))</f>
        <v/>
      </c>
      <c r="D1377" s="15"/>
      <c r="E1377" s="15"/>
      <c r="F1377" s="16"/>
      <c r="G1377" s="16"/>
      <c r="H1377" s="21" t="str">
        <f aca="false">IF(OR($B1377="",F1377=0),"",G1377/F1377)</f>
        <v/>
      </c>
      <c r="I1377" s="22" t="str">
        <f aca="false">IF($B1377="","",MAX(F1377-G1377,0))</f>
        <v/>
      </c>
      <c r="J1377" s="23" t="str">
        <f aca="false">IF($B1377="","",IFERROR(INDEX(고객사!$G$5:$G$104,MATCH($B1377,고객사!$A$5:$A$104,0)),""))</f>
        <v/>
      </c>
      <c r="K1377" s="16"/>
      <c r="L1377" s="22" t="str">
        <f aca="false">IF($B1377="","",K1377*IFERROR(INDEX(고객사!$L$5:$L$104,MATCH($B1377,고객사!$A$5:$A$104,0)),0))</f>
        <v/>
      </c>
      <c r="M1377" s="23" t="str">
        <f aca="false">IF($B1377="","",IF(AND(J1377="N",G1377&gt;0,K1377=0,IFERROR(INDEX(고객사!$H$5:$H$104,MATCH($B1377,고객사!$A$5:$A$104,0)),"")="자사 차량 운행"),"차량 미배정",""))</f>
        <v/>
      </c>
      <c r="N1377" s="22" t="str">
        <f aca="false">IF($B1377="","",IFERROR(INDEX(고객사!$J$5:$J$104,MATCH($B1377,고객사!$A$5:$A$104,0)),0))</f>
        <v/>
      </c>
      <c r="O1377" s="22" t="str">
        <f aca="false">IF($B1377="","",G1377*N1377)</f>
        <v/>
      </c>
      <c r="P1377" s="22" t="str">
        <f aca="false">IF($B1377="","",IFERROR(INDEX(고객사!$K$5:$K$104,MATCH($B1377,고객사!$A$5:$A$104,0)),0))</f>
        <v/>
      </c>
      <c r="Q1377" s="22" t="str">
        <f aca="false">IF($B1377="","",G1377*P1377)</f>
        <v/>
      </c>
      <c r="R1377" s="22" t="str">
        <f aca="false">IF($B1377="","",O1377-Q1377-L1377)</f>
        <v/>
      </c>
      <c r="S1377" s="21" t="str">
        <f aca="false">IF(OR($B1377="",N(O1377)=0),"",R1377/O1377)</f>
        <v/>
      </c>
      <c r="T1377" s="14"/>
      <c r="U1377" s="19" t="n">
        <f aca="false">IF(OR($B1377="",$A1377=""),0,IF(COUNTIFS($A$5:$A1377,$A1377,$B$5:$B1377,$B1377)=1,1,0))</f>
        <v>0</v>
      </c>
    </row>
    <row r="1378" customFormat="false" ht="15" hidden="false" customHeight="false" outlineLevel="0" collapsed="false">
      <c r="A1378" s="17"/>
      <c r="B1378" s="13"/>
      <c r="C1378" s="20" t="str">
        <f aca="false">IF($B1378="","",IFERROR(INDEX(고객사!$B$5:$B$104,MATCH($B1378,고객사!$A$5:$A$104,0)),"코드 확인"))</f>
        <v/>
      </c>
      <c r="D1378" s="15"/>
      <c r="E1378" s="15"/>
      <c r="F1378" s="16"/>
      <c r="G1378" s="16"/>
      <c r="H1378" s="21" t="str">
        <f aca="false">IF(OR($B1378="",F1378=0),"",G1378/F1378)</f>
        <v/>
      </c>
      <c r="I1378" s="22" t="str">
        <f aca="false">IF($B1378="","",MAX(F1378-G1378,0))</f>
        <v/>
      </c>
      <c r="J1378" s="23" t="str">
        <f aca="false">IF($B1378="","",IFERROR(INDEX(고객사!$G$5:$G$104,MATCH($B1378,고객사!$A$5:$A$104,0)),""))</f>
        <v/>
      </c>
      <c r="K1378" s="16"/>
      <c r="L1378" s="22" t="str">
        <f aca="false">IF($B1378="","",K1378*IFERROR(INDEX(고객사!$L$5:$L$104,MATCH($B1378,고객사!$A$5:$A$104,0)),0))</f>
        <v/>
      </c>
      <c r="M1378" s="23" t="str">
        <f aca="false">IF($B1378="","",IF(AND(J1378="N",G1378&gt;0,K1378=0,IFERROR(INDEX(고객사!$H$5:$H$104,MATCH($B1378,고객사!$A$5:$A$104,0)),"")="자사 차량 운행"),"차량 미배정",""))</f>
        <v/>
      </c>
      <c r="N1378" s="22" t="str">
        <f aca="false">IF($B1378="","",IFERROR(INDEX(고객사!$J$5:$J$104,MATCH($B1378,고객사!$A$5:$A$104,0)),0))</f>
        <v/>
      </c>
      <c r="O1378" s="22" t="str">
        <f aca="false">IF($B1378="","",G1378*N1378)</f>
        <v/>
      </c>
      <c r="P1378" s="22" t="str">
        <f aca="false">IF($B1378="","",IFERROR(INDEX(고객사!$K$5:$K$104,MATCH($B1378,고객사!$A$5:$A$104,0)),0))</f>
        <v/>
      </c>
      <c r="Q1378" s="22" t="str">
        <f aca="false">IF($B1378="","",G1378*P1378)</f>
        <v/>
      </c>
      <c r="R1378" s="22" t="str">
        <f aca="false">IF($B1378="","",O1378-Q1378-L1378)</f>
        <v/>
      </c>
      <c r="S1378" s="21" t="str">
        <f aca="false">IF(OR($B1378="",N(O1378)=0),"",R1378/O1378)</f>
        <v/>
      </c>
      <c r="T1378" s="14"/>
      <c r="U1378" s="19" t="n">
        <f aca="false">IF(OR($B1378="",$A1378=""),0,IF(COUNTIFS($A$5:$A1378,$A1378,$B$5:$B1378,$B1378)=1,1,0))</f>
        <v>0</v>
      </c>
    </row>
    <row r="1379" customFormat="false" ht="15" hidden="false" customHeight="false" outlineLevel="0" collapsed="false">
      <c r="A1379" s="17"/>
      <c r="B1379" s="13"/>
      <c r="C1379" s="20" t="str">
        <f aca="false">IF($B1379="","",IFERROR(INDEX(고객사!$B$5:$B$104,MATCH($B1379,고객사!$A$5:$A$104,0)),"코드 확인"))</f>
        <v/>
      </c>
      <c r="D1379" s="15"/>
      <c r="E1379" s="15"/>
      <c r="F1379" s="16"/>
      <c r="G1379" s="16"/>
      <c r="H1379" s="21" t="str">
        <f aca="false">IF(OR($B1379="",F1379=0),"",G1379/F1379)</f>
        <v/>
      </c>
      <c r="I1379" s="22" t="str">
        <f aca="false">IF($B1379="","",MAX(F1379-G1379,0))</f>
        <v/>
      </c>
      <c r="J1379" s="23" t="str">
        <f aca="false">IF($B1379="","",IFERROR(INDEX(고객사!$G$5:$G$104,MATCH($B1379,고객사!$A$5:$A$104,0)),""))</f>
        <v/>
      </c>
      <c r="K1379" s="16"/>
      <c r="L1379" s="22" t="str">
        <f aca="false">IF($B1379="","",K1379*IFERROR(INDEX(고객사!$L$5:$L$104,MATCH($B1379,고객사!$A$5:$A$104,0)),0))</f>
        <v/>
      </c>
      <c r="M1379" s="23" t="str">
        <f aca="false">IF($B1379="","",IF(AND(J1379="N",G1379&gt;0,K1379=0,IFERROR(INDEX(고객사!$H$5:$H$104,MATCH($B1379,고객사!$A$5:$A$104,0)),"")="자사 차량 운행"),"차량 미배정",""))</f>
        <v/>
      </c>
      <c r="N1379" s="22" t="str">
        <f aca="false">IF($B1379="","",IFERROR(INDEX(고객사!$J$5:$J$104,MATCH($B1379,고객사!$A$5:$A$104,0)),0))</f>
        <v/>
      </c>
      <c r="O1379" s="22" t="str">
        <f aca="false">IF($B1379="","",G1379*N1379)</f>
        <v/>
      </c>
      <c r="P1379" s="22" t="str">
        <f aca="false">IF($B1379="","",IFERROR(INDEX(고객사!$K$5:$K$104,MATCH($B1379,고객사!$A$5:$A$104,0)),0))</f>
        <v/>
      </c>
      <c r="Q1379" s="22" t="str">
        <f aca="false">IF($B1379="","",G1379*P1379)</f>
        <v/>
      </c>
      <c r="R1379" s="22" t="str">
        <f aca="false">IF($B1379="","",O1379-Q1379-L1379)</f>
        <v/>
      </c>
      <c r="S1379" s="21" t="str">
        <f aca="false">IF(OR($B1379="",N(O1379)=0),"",R1379/O1379)</f>
        <v/>
      </c>
      <c r="T1379" s="14"/>
      <c r="U1379" s="19" t="n">
        <f aca="false">IF(OR($B1379="",$A1379=""),0,IF(COUNTIFS($A$5:$A1379,$A1379,$B$5:$B1379,$B1379)=1,1,0))</f>
        <v>0</v>
      </c>
    </row>
    <row r="1380" customFormat="false" ht="15" hidden="false" customHeight="false" outlineLevel="0" collapsed="false">
      <c r="A1380" s="17"/>
      <c r="B1380" s="13"/>
      <c r="C1380" s="20" t="str">
        <f aca="false">IF($B1380="","",IFERROR(INDEX(고객사!$B$5:$B$104,MATCH($B1380,고객사!$A$5:$A$104,0)),"코드 확인"))</f>
        <v/>
      </c>
      <c r="D1380" s="15"/>
      <c r="E1380" s="15"/>
      <c r="F1380" s="16"/>
      <c r="G1380" s="16"/>
      <c r="H1380" s="21" t="str">
        <f aca="false">IF(OR($B1380="",F1380=0),"",G1380/F1380)</f>
        <v/>
      </c>
      <c r="I1380" s="22" t="str">
        <f aca="false">IF($B1380="","",MAX(F1380-G1380,0))</f>
        <v/>
      </c>
      <c r="J1380" s="23" t="str">
        <f aca="false">IF($B1380="","",IFERROR(INDEX(고객사!$G$5:$G$104,MATCH($B1380,고객사!$A$5:$A$104,0)),""))</f>
        <v/>
      </c>
      <c r="K1380" s="16"/>
      <c r="L1380" s="22" t="str">
        <f aca="false">IF($B1380="","",K1380*IFERROR(INDEX(고객사!$L$5:$L$104,MATCH($B1380,고객사!$A$5:$A$104,0)),0))</f>
        <v/>
      </c>
      <c r="M1380" s="23" t="str">
        <f aca="false">IF($B1380="","",IF(AND(J1380="N",G1380&gt;0,K1380=0,IFERROR(INDEX(고객사!$H$5:$H$104,MATCH($B1380,고객사!$A$5:$A$104,0)),"")="자사 차량 운행"),"차량 미배정",""))</f>
        <v/>
      </c>
      <c r="N1380" s="22" t="str">
        <f aca="false">IF($B1380="","",IFERROR(INDEX(고객사!$J$5:$J$104,MATCH($B1380,고객사!$A$5:$A$104,0)),0))</f>
        <v/>
      </c>
      <c r="O1380" s="22" t="str">
        <f aca="false">IF($B1380="","",G1380*N1380)</f>
        <v/>
      </c>
      <c r="P1380" s="22" t="str">
        <f aca="false">IF($B1380="","",IFERROR(INDEX(고객사!$K$5:$K$104,MATCH($B1380,고객사!$A$5:$A$104,0)),0))</f>
        <v/>
      </c>
      <c r="Q1380" s="22" t="str">
        <f aca="false">IF($B1380="","",G1380*P1380)</f>
        <v/>
      </c>
      <c r="R1380" s="22" t="str">
        <f aca="false">IF($B1380="","",O1380-Q1380-L1380)</f>
        <v/>
      </c>
      <c r="S1380" s="21" t="str">
        <f aca="false">IF(OR($B1380="",N(O1380)=0),"",R1380/O1380)</f>
        <v/>
      </c>
      <c r="T1380" s="14"/>
      <c r="U1380" s="19" t="n">
        <f aca="false">IF(OR($B1380="",$A1380=""),0,IF(COUNTIFS($A$5:$A1380,$A1380,$B$5:$B1380,$B1380)=1,1,0))</f>
        <v>0</v>
      </c>
    </row>
    <row r="1381" customFormat="false" ht="15" hidden="false" customHeight="false" outlineLevel="0" collapsed="false">
      <c r="A1381" s="17"/>
      <c r="B1381" s="13"/>
      <c r="C1381" s="20" t="str">
        <f aca="false">IF($B1381="","",IFERROR(INDEX(고객사!$B$5:$B$104,MATCH($B1381,고객사!$A$5:$A$104,0)),"코드 확인"))</f>
        <v/>
      </c>
      <c r="D1381" s="15"/>
      <c r="E1381" s="15"/>
      <c r="F1381" s="16"/>
      <c r="G1381" s="16"/>
      <c r="H1381" s="21" t="str">
        <f aca="false">IF(OR($B1381="",F1381=0),"",G1381/F1381)</f>
        <v/>
      </c>
      <c r="I1381" s="22" t="str">
        <f aca="false">IF($B1381="","",MAX(F1381-G1381,0))</f>
        <v/>
      </c>
      <c r="J1381" s="23" t="str">
        <f aca="false">IF($B1381="","",IFERROR(INDEX(고객사!$G$5:$G$104,MATCH($B1381,고객사!$A$5:$A$104,0)),""))</f>
        <v/>
      </c>
      <c r="K1381" s="16"/>
      <c r="L1381" s="22" t="str">
        <f aca="false">IF($B1381="","",K1381*IFERROR(INDEX(고객사!$L$5:$L$104,MATCH($B1381,고객사!$A$5:$A$104,0)),0))</f>
        <v/>
      </c>
      <c r="M1381" s="23" t="str">
        <f aca="false">IF($B1381="","",IF(AND(J1381="N",G1381&gt;0,K1381=0,IFERROR(INDEX(고객사!$H$5:$H$104,MATCH($B1381,고객사!$A$5:$A$104,0)),"")="자사 차량 운행"),"차량 미배정",""))</f>
        <v/>
      </c>
      <c r="N1381" s="22" t="str">
        <f aca="false">IF($B1381="","",IFERROR(INDEX(고객사!$J$5:$J$104,MATCH($B1381,고객사!$A$5:$A$104,0)),0))</f>
        <v/>
      </c>
      <c r="O1381" s="22" t="str">
        <f aca="false">IF($B1381="","",G1381*N1381)</f>
        <v/>
      </c>
      <c r="P1381" s="22" t="str">
        <f aca="false">IF($B1381="","",IFERROR(INDEX(고객사!$K$5:$K$104,MATCH($B1381,고객사!$A$5:$A$104,0)),0))</f>
        <v/>
      </c>
      <c r="Q1381" s="22" t="str">
        <f aca="false">IF($B1381="","",G1381*P1381)</f>
        <v/>
      </c>
      <c r="R1381" s="22" t="str">
        <f aca="false">IF($B1381="","",O1381-Q1381-L1381)</f>
        <v/>
      </c>
      <c r="S1381" s="21" t="str">
        <f aca="false">IF(OR($B1381="",N(O1381)=0),"",R1381/O1381)</f>
        <v/>
      </c>
      <c r="T1381" s="14"/>
      <c r="U1381" s="19" t="n">
        <f aca="false">IF(OR($B1381="",$A1381=""),0,IF(COUNTIFS($A$5:$A1381,$A1381,$B$5:$B1381,$B1381)=1,1,0))</f>
        <v>0</v>
      </c>
    </row>
    <row r="1382" customFormat="false" ht="15" hidden="false" customHeight="false" outlineLevel="0" collapsed="false">
      <c r="A1382" s="17"/>
      <c r="B1382" s="13"/>
      <c r="C1382" s="20" t="str">
        <f aca="false">IF($B1382="","",IFERROR(INDEX(고객사!$B$5:$B$104,MATCH($B1382,고객사!$A$5:$A$104,0)),"코드 확인"))</f>
        <v/>
      </c>
      <c r="D1382" s="15"/>
      <c r="E1382" s="15"/>
      <c r="F1382" s="16"/>
      <c r="G1382" s="16"/>
      <c r="H1382" s="21" t="str">
        <f aca="false">IF(OR($B1382="",F1382=0),"",G1382/F1382)</f>
        <v/>
      </c>
      <c r="I1382" s="22" t="str">
        <f aca="false">IF($B1382="","",MAX(F1382-G1382,0))</f>
        <v/>
      </c>
      <c r="J1382" s="23" t="str">
        <f aca="false">IF($B1382="","",IFERROR(INDEX(고객사!$G$5:$G$104,MATCH($B1382,고객사!$A$5:$A$104,0)),""))</f>
        <v/>
      </c>
      <c r="K1382" s="16"/>
      <c r="L1382" s="22" t="str">
        <f aca="false">IF($B1382="","",K1382*IFERROR(INDEX(고객사!$L$5:$L$104,MATCH($B1382,고객사!$A$5:$A$104,0)),0))</f>
        <v/>
      </c>
      <c r="M1382" s="23" t="str">
        <f aca="false">IF($B1382="","",IF(AND(J1382="N",G1382&gt;0,K1382=0,IFERROR(INDEX(고객사!$H$5:$H$104,MATCH($B1382,고객사!$A$5:$A$104,0)),"")="자사 차량 운행"),"차량 미배정",""))</f>
        <v/>
      </c>
      <c r="N1382" s="22" t="str">
        <f aca="false">IF($B1382="","",IFERROR(INDEX(고객사!$J$5:$J$104,MATCH($B1382,고객사!$A$5:$A$104,0)),0))</f>
        <v/>
      </c>
      <c r="O1382" s="22" t="str">
        <f aca="false">IF($B1382="","",G1382*N1382)</f>
        <v/>
      </c>
      <c r="P1382" s="22" t="str">
        <f aca="false">IF($B1382="","",IFERROR(INDEX(고객사!$K$5:$K$104,MATCH($B1382,고객사!$A$5:$A$104,0)),0))</f>
        <v/>
      </c>
      <c r="Q1382" s="22" t="str">
        <f aca="false">IF($B1382="","",G1382*P1382)</f>
        <v/>
      </c>
      <c r="R1382" s="22" t="str">
        <f aca="false">IF($B1382="","",O1382-Q1382-L1382)</f>
        <v/>
      </c>
      <c r="S1382" s="21" t="str">
        <f aca="false">IF(OR($B1382="",N(O1382)=0),"",R1382/O1382)</f>
        <v/>
      </c>
      <c r="T1382" s="14"/>
      <c r="U1382" s="19" t="n">
        <f aca="false">IF(OR($B1382="",$A1382=""),0,IF(COUNTIFS($A$5:$A1382,$A1382,$B$5:$B1382,$B1382)=1,1,0))</f>
        <v>0</v>
      </c>
    </row>
    <row r="1383" customFormat="false" ht="15" hidden="false" customHeight="false" outlineLevel="0" collapsed="false">
      <c r="A1383" s="17"/>
      <c r="B1383" s="13"/>
      <c r="C1383" s="20" t="str">
        <f aca="false">IF($B1383="","",IFERROR(INDEX(고객사!$B$5:$B$104,MATCH($B1383,고객사!$A$5:$A$104,0)),"코드 확인"))</f>
        <v/>
      </c>
      <c r="D1383" s="15"/>
      <c r="E1383" s="15"/>
      <c r="F1383" s="16"/>
      <c r="G1383" s="16"/>
      <c r="H1383" s="21" t="str">
        <f aca="false">IF(OR($B1383="",F1383=0),"",G1383/F1383)</f>
        <v/>
      </c>
      <c r="I1383" s="22" t="str">
        <f aca="false">IF($B1383="","",MAX(F1383-G1383,0))</f>
        <v/>
      </c>
      <c r="J1383" s="23" t="str">
        <f aca="false">IF($B1383="","",IFERROR(INDEX(고객사!$G$5:$G$104,MATCH($B1383,고객사!$A$5:$A$104,0)),""))</f>
        <v/>
      </c>
      <c r="K1383" s="16"/>
      <c r="L1383" s="22" t="str">
        <f aca="false">IF($B1383="","",K1383*IFERROR(INDEX(고객사!$L$5:$L$104,MATCH($B1383,고객사!$A$5:$A$104,0)),0))</f>
        <v/>
      </c>
      <c r="M1383" s="23" t="str">
        <f aca="false">IF($B1383="","",IF(AND(J1383="N",G1383&gt;0,K1383=0,IFERROR(INDEX(고객사!$H$5:$H$104,MATCH($B1383,고객사!$A$5:$A$104,0)),"")="자사 차량 운행"),"차량 미배정",""))</f>
        <v/>
      </c>
      <c r="N1383" s="22" t="str">
        <f aca="false">IF($B1383="","",IFERROR(INDEX(고객사!$J$5:$J$104,MATCH($B1383,고객사!$A$5:$A$104,0)),0))</f>
        <v/>
      </c>
      <c r="O1383" s="22" t="str">
        <f aca="false">IF($B1383="","",G1383*N1383)</f>
        <v/>
      </c>
      <c r="P1383" s="22" t="str">
        <f aca="false">IF($B1383="","",IFERROR(INDEX(고객사!$K$5:$K$104,MATCH($B1383,고객사!$A$5:$A$104,0)),0))</f>
        <v/>
      </c>
      <c r="Q1383" s="22" t="str">
        <f aca="false">IF($B1383="","",G1383*P1383)</f>
        <v/>
      </c>
      <c r="R1383" s="22" t="str">
        <f aca="false">IF($B1383="","",O1383-Q1383-L1383)</f>
        <v/>
      </c>
      <c r="S1383" s="21" t="str">
        <f aca="false">IF(OR($B1383="",N(O1383)=0),"",R1383/O1383)</f>
        <v/>
      </c>
      <c r="T1383" s="14"/>
      <c r="U1383" s="19" t="n">
        <f aca="false">IF(OR($B1383="",$A1383=""),0,IF(COUNTIFS($A$5:$A1383,$A1383,$B$5:$B1383,$B1383)=1,1,0))</f>
        <v>0</v>
      </c>
    </row>
    <row r="1384" customFormat="false" ht="15" hidden="false" customHeight="false" outlineLevel="0" collapsed="false">
      <c r="A1384" s="17"/>
      <c r="B1384" s="13"/>
      <c r="C1384" s="20" t="str">
        <f aca="false">IF($B1384="","",IFERROR(INDEX(고객사!$B$5:$B$104,MATCH($B1384,고객사!$A$5:$A$104,0)),"코드 확인"))</f>
        <v/>
      </c>
      <c r="D1384" s="15"/>
      <c r="E1384" s="15"/>
      <c r="F1384" s="16"/>
      <c r="G1384" s="16"/>
      <c r="H1384" s="21" t="str">
        <f aca="false">IF(OR($B1384="",F1384=0),"",G1384/F1384)</f>
        <v/>
      </c>
      <c r="I1384" s="22" t="str">
        <f aca="false">IF($B1384="","",MAX(F1384-G1384,0))</f>
        <v/>
      </c>
      <c r="J1384" s="23" t="str">
        <f aca="false">IF($B1384="","",IFERROR(INDEX(고객사!$G$5:$G$104,MATCH($B1384,고객사!$A$5:$A$104,0)),""))</f>
        <v/>
      </c>
      <c r="K1384" s="16"/>
      <c r="L1384" s="22" t="str">
        <f aca="false">IF($B1384="","",K1384*IFERROR(INDEX(고객사!$L$5:$L$104,MATCH($B1384,고객사!$A$5:$A$104,0)),0))</f>
        <v/>
      </c>
      <c r="M1384" s="23" t="str">
        <f aca="false">IF($B1384="","",IF(AND(J1384="N",G1384&gt;0,K1384=0,IFERROR(INDEX(고객사!$H$5:$H$104,MATCH($B1384,고객사!$A$5:$A$104,0)),"")="자사 차량 운행"),"차량 미배정",""))</f>
        <v/>
      </c>
      <c r="N1384" s="22" t="str">
        <f aca="false">IF($B1384="","",IFERROR(INDEX(고객사!$J$5:$J$104,MATCH($B1384,고객사!$A$5:$A$104,0)),0))</f>
        <v/>
      </c>
      <c r="O1384" s="22" t="str">
        <f aca="false">IF($B1384="","",G1384*N1384)</f>
        <v/>
      </c>
      <c r="P1384" s="22" t="str">
        <f aca="false">IF($B1384="","",IFERROR(INDEX(고객사!$K$5:$K$104,MATCH($B1384,고객사!$A$5:$A$104,0)),0))</f>
        <v/>
      </c>
      <c r="Q1384" s="22" t="str">
        <f aca="false">IF($B1384="","",G1384*P1384)</f>
        <v/>
      </c>
      <c r="R1384" s="22" t="str">
        <f aca="false">IF($B1384="","",O1384-Q1384-L1384)</f>
        <v/>
      </c>
      <c r="S1384" s="21" t="str">
        <f aca="false">IF(OR($B1384="",N(O1384)=0),"",R1384/O1384)</f>
        <v/>
      </c>
      <c r="T1384" s="14"/>
      <c r="U1384" s="19" t="n">
        <f aca="false">IF(OR($B1384="",$A1384=""),0,IF(COUNTIFS($A$5:$A1384,$A1384,$B$5:$B1384,$B1384)=1,1,0))</f>
        <v>0</v>
      </c>
    </row>
    <row r="1385" customFormat="false" ht="15" hidden="false" customHeight="false" outlineLevel="0" collapsed="false">
      <c r="A1385" s="17"/>
      <c r="B1385" s="13"/>
      <c r="C1385" s="20" t="str">
        <f aca="false">IF($B1385="","",IFERROR(INDEX(고객사!$B$5:$B$104,MATCH($B1385,고객사!$A$5:$A$104,0)),"코드 확인"))</f>
        <v/>
      </c>
      <c r="D1385" s="15"/>
      <c r="E1385" s="15"/>
      <c r="F1385" s="16"/>
      <c r="G1385" s="16"/>
      <c r="H1385" s="21" t="str">
        <f aca="false">IF(OR($B1385="",F1385=0),"",G1385/F1385)</f>
        <v/>
      </c>
      <c r="I1385" s="22" t="str">
        <f aca="false">IF($B1385="","",MAX(F1385-G1385,0))</f>
        <v/>
      </c>
      <c r="J1385" s="23" t="str">
        <f aca="false">IF($B1385="","",IFERROR(INDEX(고객사!$G$5:$G$104,MATCH($B1385,고객사!$A$5:$A$104,0)),""))</f>
        <v/>
      </c>
      <c r="K1385" s="16"/>
      <c r="L1385" s="22" t="str">
        <f aca="false">IF($B1385="","",K1385*IFERROR(INDEX(고객사!$L$5:$L$104,MATCH($B1385,고객사!$A$5:$A$104,0)),0))</f>
        <v/>
      </c>
      <c r="M1385" s="23" t="str">
        <f aca="false">IF($B1385="","",IF(AND(J1385="N",G1385&gt;0,K1385=0,IFERROR(INDEX(고객사!$H$5:$H$104,MATCH($B1385,고객사!$A$5:$A$104,0)),"")="자사 차량 운행"),"차량 미배정",""))</f>
        <v/>
      </c>
      <c r="N1385" s="22" t="str">
        <f aca="false">IF($B1385="","",IFERROR(INDEX(고객사!$J$5:$J$104,MATCH($B1385,고객사!$A$5:$A$104,0)),0))</f>
        <v/>
      </c>
      <c r="O1385" s="22" t="str">
        <f aca="false">IF($B1385="","",G1385*N1385)</f>
        <v/>
      </c>
      <c r="P1385" s="22" t="str">
        <f aca="false">IF($B1385="","",IFERROR(INDEX(고객사!$K$5:$K$104,MATCH($B1385,고객사!$A$5:$A$104,0)),0))</f>
        <v/>
      </c>
      <c r="Q1385" s="22" t="str">
        <f aca="false">IF($B1385="","",G1385*P1385)</f>
        <v/>
      </c>
      <c r="R1385" s="22" t="str">
        <f aca="false">IF($B1385="","",O1385-Q1385-L1385)</f>
        <v/>
      </c>
      <c r="S1385" s="21" t="str">
        <f aca="false">IF(OR($B1385="",N(O1385)=0),"",R1385/O1385)</f>
        <v/>
      </c>
      <c r="T1385" s="14"/>
      <c r="U1385" s="19" t="n">
        <f aca="false">IF(OR($B1385="",$A1385=""),0,IF(COUNTIFS($A$5:$A1385,$A1385,$B$5:$B1385,$B1385)=1,1,0))</f>
        <v>0</v>
      </c>
    </row>
    <row r="1386" customFormat="false" ht="15" hidden="false" customHeight="false" outlineLevel="0" collapsed="false">
      <c r="A1386" s="17"/>
      <c r="B1386" s="13"/>
      <c r="C1386" s="20" t="str">
        <f aca="false">IF($B1386="","",IFERROR(INDEX(고객사!$B$5:$B$104,MATCH($B1386,고객사!$A$5:$A$104,0)),"코드 확인"))</f>
        <v/>
      </c>
      <c r="D1386" s="15"/>
      <c r="E1386" s="15"/>
      <c r="F1386" s="16"/>
      <c r="G1386" s="16"/>
      <c r="H1386" s="21" t="str">
        <f aca="false">IF(OR($B1386="",F1386=0),"",G1386/F1386)</f>
        <v/>
      </c>
      <c r="I1386" s="22" t="str">
        <f aca="false">IF($B1386="","",MAX(F1386-G1386,0))</f>
        <v/>
      </c>
      <c r="J1386" s="23" t="str">
        <f aca="false">IF($B1386="","",IFERROR(INDEX(고객사!$G$5:$G$104,MATCH($B1386,고객사!$A$5:$A$104,0)),""))</f>
        <v/>
      </c>
      <c r="K1386" s="16"/>
      <c r="L1386" s="22" t="str">
        <f aca="false">IF($B1386="","",K1386*IFERROR(INDEX(고객사!$L$5:$L$104,MATCH($B1386,고객사!$A$5:$A$104,0)),0))</f>
        <v/>
      </c>
      <c r="M1386" s="23" t="str">
        <f aca="false">IF($B1386="","",IF(AND(J1386="N",G1386&gt;0,K1386=0,IFERROR(INDEX(고객사!$H$5:$H$104,MATCH($B1386,고객사!$A$5:$A$104,0)),"")="자사 차량 운행"),"차량 미배정",""))</f>
        <v/>
      </c>
      <c r="N1386" s="22" t="str">
        <f aca="false">IF($B1386="","",IFERROR(INDEX(고객사!$J$5:$J$104,MATCH($B1386,고객사!$A$5:$A$104,0)),0))</f>
        <v/>
      </c>
      <c r="O1386" s="22" t="str">
        <f aca="false">IF($B1386="","",G1386*N1386)</f>
        <v/>
      </c>
      <c r="P1386" s="22" t="str">
        <f aca="false">IF($B1386="","",IFERROR(INDEX(고객사!$K$5:$K$104,MATCH($B1386,고객사!$A$5:$A$104,0)),0))</f>
        <v/>
      </c>
      <c r="Q1386" s="22" t="str">
        <f aca="false">IF($B1386="","",G1386*P1386)</f>
        <v/>
      </c>
      <c r="R1386" s="22" t="str">
        <f aca="false">IF($B1386="","",O1386-Q1386-L1386)</f>
        <v/>
      </c>
      <c r="S1386" s="21" t="str">
        <f aca="false">IF(OR($B1386="",N(O1386)=0),"",R1386/O1386)</f>
        <v/>
      </c>
      <c r="T1386" s="14"/>
      <c r="U1386" s="19" t="n">
        <f aca="false">IF(OR($B1386="",$A1386=""),0,IF(COUNTIFS($A$5:$A1386,$A1386,$B$5:$B1386,$B1386)=1,1,0))</f>
        <v>0</v>
      </c>
    </row>
    <row r="1387" customFormat="false" ht="15" hidden="false" customHeight="false" outlineLevel="0" collapsed="false">
      <c r="A1387" s="17"/>
      <c r="B1387" s="13"/>
      <c r="C1387" s="20" t="str">
        <f aca="false">IF($B1387="","",IFERROR(INDEX(고객사!$B$5:$B$104,MATCH($B1387,고객사!$A$5:$A$104,0)),"코드 확인"))</f>
        <v/>
      </c>
      <c r="D1387" s="15"/>
      <c r="E1387" s="15"/>
      <c r="F1387" s="16"/>
      <c r="G1387" s="16"/>
      <c r="H1387" s="21" t="str">
        <f aca="false">IF(OR($B1387="",F1387=0),"",G1387/F1387)</f>
        <v/>
      </c>
      <c r="I1387" s="22" t="str">
        <f aca="false">IF($B1387="","",MAX(F1387-G1387,0))</f>
        <v/>
      </c>
      <c r="J1387" s="23" t="str">
        <f aca="false">IF($B1387="","",IFERROR(INDEX(고객사!$G$5:$G$104,MATCH($B1387,고객사!$A$5:$A$104,0)),""))</f>
        <v/>
      </c>
      <c r="K1387" s="16"/>
      <c r="L1387" s="22" t="str">
        <f aca="false">IF($B1387="","",K1387*IFERROR(INDEX(고객사!$L$5:$L$104,MATCH($B1387,고객사!$A$5:$A$104,0)),0))</f>
        <v/>
      </c>
      <c r="M1387" s="23" t="str">
        <f aca="false">IF($B1387="","",IF(AND(J1387="N",G1387&gt;0,K1387=0,IFERROR(INDEX(고객사!$H$5:$H$104,MATCH($B1387,고객사!$A$5:$A$104,0)),"")="자사 차량 운행"),"차량 미배정",""))</f>
        <v/>
      </c>
      <c r="N1387" s="22" t="str">
        <f aca="false">IF($B1387="","",IFERROR(INDEX(고객사!$J$5:$J$104,MATCH($B1387,고객사!$A$5:$A$104,0)),0))</f>
        <v/>
      </c>
      <c r="O1387" s="22" t="str">
        <f aca="false">IF($B1387="","",G1387*N1387)</f>
        <v/>
      </c>
      <c r="P1387" s="22" t="str">
        <f aca="false">IF($B1387="","",IFERROR(INDEX(고객사!$K$5:$K$104,MATCH($B1387,고객사!$A$5:$A$104,0)),0))</f>
        <v/>
      </c>
      <c r="Q1387" s="22" t="str">
        <f aca="false">IF($B1387="","",G1387*P1387)</f>
        <v/>
      </c>
      <c r="R1387" s="22" t="str">
        <f aca="false">IF($B1387="","",O1387-Q1387-L1387)</f>
        <v/>
      </c>
      <c r="S1387" s="21" t="str">
        <f aca="false">IF(OR($B1387="",N(O1387)=0),"",R1387/O1387)</f>
        <v/>
      </c>
      <c r="T1387" s="14"/>
      <c r="U1387" s="19" t="n">
        <f aca="false">IF(OR($B1387="",$A1387=""),0,IF(COUNTIFS($A$5:$A1387,$A1387,$B$5:$B1387,$B1387)=1,1,0))</f>
        <v>0</v>
      </c>
    </row>
    <row r="1388" customFormat="false" ht="15" hidden="false" customHeight="false" outlineLevel="0" collapsed="false">
      <c r="A1388" s="17"/>
      <c r="B1388" s="13"/>
      <c r="C1388" s="20" t="str">
        <f aca="false">IF($B1388="","",IFERROR(INDEX(고객사!$B$5:$B$104,MATCH($B1388,고객사!$A$5:$A$104,0)),"코드 확인"))</f>
        <v/>
      </c>
      <c r="D1388" s="15"/>
      <c r="E1388" s="15"/>
      <c r="F1388" s="16"/>
      <c r="G1388" s="16"/>
      <c r="H1388" s="21" t="str">
        <f aca="false">IF(OR($B1388="",F1388=0),"",G1388/F1388)</f>
        <v/>
      </c>
      <c r="I1388" s="22" t="str">
        <f aca="false">IF($B1388="","",MAX(F1388-G1388,0))</f>
        <v/>
      </c>
      <c r="J1388" s="23" t="str">
        <f aca="false">IF($B1388="","",IFERROR(INDEX(고객사!$G$5:$G$104,MATCH($B1388,고객사!$A$5:$A$104,0)),""))</f>
        <v/>
      </c>
      <c r="K1388" s="16"/>
      <c r="L1388" s="22" t="str">
        <f aca="false">IF($B1388="","",K1388*IFERROR(INDEX(고객사!$L$5:$L$104,MATCH($B1388,고객사!$A$5:$A$104,0)),0))</f>
        <v/>
      </c>
      <c r="M1388" s="23" t="str">
        <f aca="false">IF($B1388="","",IF(AND(J1388="N",G1388&gt;0,K1388=0,IFERROR(INDEX(고객사!$H$5:$H$104,MATCH($B1388,고객사!$A$5:$A$104,0)),"")="자사 차량 운행"),"차량 미배정",""))</f>
        <v/>
      </c>
      <c r="N1388" s="22" t="str">
        <f aca="false">IF($B1388="","",IFERROR(INDEX(고객사!$J$5:$J$104,MATCH($B1388,고객사!$A$5:$A$104,0)),0))</f>
        <v/>
      </c>
      <c r="O1388" s="22" t="str">
        <f aca="false">IF($B1388="","",G1388*N1388)</f>
        <v/>
      </c>
      <c r="P1388" s="22" t="str">
        <f aca="false">IF($B1388="","",IFERROR(INDEX(고객사!$K$5:$K$104,MATCH($B1388,고객사!$A$5:$A$104,0)),0))</f>
        <v/>
      </c>
      <c r="Q1388" s="22" t="str">
        <f aca="false">IF($B1388="","",G1388*P1388)</f>
        <v/>
      </c>
      <c r="R1388" s="22" t="str">
        <f aca="false">IF($B1388="","",O1388-Q1388-L1388)</f>
        <v/>
      </c>
      <c r="S1388" s="21" t="str">
        <f aca="false">IF(OR($B1388="",N(O1388)=0),"",R1388/O1388)</f>
        <v/>
      </c>
      <c r="T1388" s="14"/>
      <c r="U1388" s="19" t="n">
        <f aca="false">IF(OR($B1388="",$A1388=""),0,IF(COUNTIFS($A$5:$A1388,$A1388,$B$5:$B1388,$B1388)=1,1,0))</f>
        <v>0</v>
      </c>
    </row>
    <row r="1389" customFormat="false" ht="15" hidden="false" customHeight="false" outlineLevel="0" collapsed="false">
      <c r="A1389" s="17"/>
      <c r="B1389" s="13"/>
      <c r="C1389" s="20" t="str">
        <f aca="false">IF($B1389="","",IFERROR(INDEX(고객사!$B$5:$B$104,MATCH($B1389,고객사!$A$5:$A$104,0)),"코드 확인"))</f>
        <v/>
      </c>
      <c r="D1389" s="15"/>
      <c r="E1389" s="15"/>
      <c r="F1389" s="16"/>
      <c r="G1389" s="16"/>
      <c r="H1389" s="21" t="str">
        <f aca="false">IF(OR($B1389="",F1389=0),"",G1389/F1389)</f>
        <v/>
      </c>
      <c r="I1389" s="22" t="str">
        <f aca="false">IF($B1389="","",MAX(F1389-G1389,0))</f>
        <v/>
      </c>
      <c r="J1389" s="23" t="str">
        <f aca="false">IF($B1389="","",IFERROR(INDEX(고객사!$G$5:$G$104,MATCH($B1389,고객사!$A$5:$A$104,0)),""))</f>
        <v/>
      </c>
      <c r="K1389" s="16"/>
      <c r="L1389" s="22" t="str">
        <f aca="false">IF($B1389="","",K1389*IFERROR(INDEX(고객사!$L$5:$L$104,MATCH($B1389,고객사!$A$5:$A$104,0)),0))</f>
        <v/>
      </c>
      <c r="M1389" s="23" t="str">
        <f aca="false">IF($B1389="","",IF(AND(J1389="N",G1389&gt;0,K1389=0,IFERROR(INDEX(고객사!$H$5:$H$104,MATCH($B1389,고객사!$A$5:$A$104,0)),"")="자사 차량 운행"),"차량 미배정",""))</f>
        <v/>
      </c>
      <c r="N1389" s="22" t="str">
        <f aca="false">IF($B1389="","",IFERROR(INDEX(고객사!$J$5:$J$104,MATCH($B1389,고객사!$A$5:$A$104,0)),0))</f>
        <v/>
      </c>
      <c r="O1389" s="22" t="str">
        <f aca="false">IF($B1389="","",G1389*N1389)</f>
        <v/>
      </c>
      <c r="P1389" s="22" t="str">
        <f aca="false">IF($B1389="","",IFERROR(INDEX(고객사!$K$5:$K$104,MATCH($B1389,고객사!$A$5:$A$104,0)),0))</f>
        <v/>
      </c>
      <c r="Q1389" s="22" t="str">
        <f aca="false">IF($B1389="","",G1389*P1389)</f>
        <v/>
      </c>
      <c r="R1389" s="22" t="str">
        <f aca="false">IF($B1389="","",O1389-Q1389-L1389)</f>
        <v/>
      </c>
      <c r="S1389" s="21" t="str">
        <f aca="false">IF(OR($B1389="",N(O1389)=0),"",R1389/O1389)</f>
        <v/>
      </c>
      <c r="T1389" s="14"/>
      <c r="U1389" s="19" t="n">
        <f aca="false">IF(OR($B1389="",$A1389=""),0,IF(COUNTIFS($A$5:$A1389,$A1389,$B$5:$B1389,$B1389)=1,1,0))</f>
        <v>0</v>
      </c>
    </row>
    <row r="1390" customFormat="false" ht="15" hidden="false" customHeight="false" outlineLevel="0" collapsed="false">
      <c r="A1390" s="17"/>
      <c r="B1390" s="13"/>
      <c r="C1390" s="20" t="str">
        <f aca="false">IF($B1390="","",IFERROR(INDEX(고객사!$B$5:$B$104,MATCH($B1390,고객사!$A$5:$A$104,0)),"코드 확인"))</f>
        <v/>
      </c>
      <c r="D1390" s="15"/>
      <c r="E1390" s="15"/>
      <c r="F1390" s="16"/>
      <c r="G1390" s="16"/>
      <c r="H1390" s="21" t="str">
        <f aca="false">IF(OR($B1390="",F1390=0),"",G1390/F1390)</f>
        <v/>
      </c>
      <c r="I1390" s="22" t="str">
        <f aca="false">IF($B1390="","",MAX(F1390-G1390,0))</f>
        <v/>
      </c>
      <c r="J1390" s="23" t="str">
        <f aca="false">IF($B1390="","",IFERROR(INDEX(고객사!$G$5:$G$104,MATCH($B1390,고객사!$A$5:$A$104,0)),""))</f>
        <v/>
      </c>
      <c r="K1390" s="16"/>
      <c r="L1390" s="22" t="str">
        <f aca="false">IF($B1390="","",K1390*IFERROR(INDEX(고객사!$L$5:$L$104,MATCH($B1390,고객사!$A$5:$A$104,0)),0))</f>
        <v/>
      </c>
      <c r="M1390" s="23" t="str">
        <f aca="false">IF($B1390="","",IF(AND(J1390="N",G1390&gt;0,K1390=0,IFERROR(INDEX(고객사!$H$5:$H$104,MATCH($B1390,고객사!$A$5:$A$104,0)),"")="자사 차량 운행"),"차량 미배정",""))</f>
        <v/>
      </c>
      <c r="N1390" s="22" t="str">
        <f aca="false">IF($B1390="","",IFERROR(INDEX(고객사!$J$5:$J$104,MATCH($B1390,고객사!$A$5:$A$104,0)),0))</f>
        <v/>
      </c>
      <c r="O1390" s="22" t="str">
        <f aca="false">IF($B1390="","",G1390*N1390)</f>
        <v/>
      </c>
      <c r="P1390" s="22" t="str">
        <f aca="false">IF($B1390="","",IFERROR(INDEX(고객사!$K$5:$K$104,MATCH($B1390,고객사!$A$5:$A$104,0)),0))</f>
        <v/>
      </c>
      <c r="Q1390" s="22" t="str">
        <f aca="false">IF($B1390="","",G1390*P1390)</f>
        <v/>
      </c>
      <c r="R1390" s="22" t="str">
        <f aca="false">IF($B1390="","",O1390-Q1390-L1390)</f>
        <v/>
      </c>
      <c r="S1390" s="21" t="str">
        <f aca="false">IF(OR($B1390="",N(O1390)=0),"",R1390/O1390)</f>
        <v/>
      </c>
      <c r="T1390" s="14"/>
      <c r="U1390" s="19" t="n">
        <f aca="false">IF(OR($B1390="",$A1390=""),0,IF(COUNTIFS($A$5:$A1390,$A1390,$B$5:$B1390,$B1390)=1,1,0))</f>
        <v>0</v>
      </c>
    </row>
    <row r="1391" customFormat="false" ht="15" hidden="false" customHeight="false" outlineLevel="0" collapsed="false">
      <c r="A1391" s="17"/>
      <c r="B1391" s="13"/>
      <c r="C1391" s="20" t="str">
        <f aca="false">IF($B1391="","",IFERROR(INDEX(고객사!$B$5:$B$104,MATCH($B1391,고객사!$A$5:$A$104,0)),"코드 확인"))</f>
        <v/>
      </c>
      <c r="D1391" s="15"/>
      <c r="E1391" s="15"/>
      <c r="F1391" s="16"/>
      <c r="G1391" s="16"/>
      <c r="H1391" s="21" t="str">
        <f aca="false">IF(OR($B1391="",F1391=0),"",G1391/F1391)</f>
        <v/>
      </c>
      <c r="I1391" s="22" t="str">
        <f aca="false">IF($B1391="","",MAX(F1391-G1391,0))</f>
        <v/>
      </c>
      <c r="J1391" s="23" t="str">
        <f aca="false">IF($B1391="","",IFERROR(INDEX(고객사!$G$5:$G$104,MATCH($B1391,고객사!$A$5:$A$104,0)),""))</f>
        <v/>
      </c>
      <c r="K1391" s="16"/>
      <c r="L1391" s="22" t="str">
        <f aca="false">IF($B1391="","",K1391*IFERROR(INDEX(고객사!$L$5:$L$104,MATCH($B1391,고객사!$A$5:$A$104,0)),0))</f>
        <v/>
      </c>
      <c r="M1391" s="23" t="str">
        <f aca="false">IF($B1391="","",IF(AND(J1391="N",G1391&gt;0,K1391=0,IFERROR(INDEX(고객사!$H$5:$H$104,MATCH($B1391,고객사!$A$5:$A$104,0)),"")="자사 차량 운행"),"차량 미배정",""))</f>
        <v/>
      </c>
      <c r="N1391" s="22" t="str">
        <f aca="false">IF($B1391="","",IFERROR(INDEX(고객사!$J$5:$J$104,MATCH($B1391,고객사!$A$5:$A$104,0)),0))</f>
        <v/>
      </c>
      <c r="O1391" s="22" t="str">
        <f aca="false">IF($B1391="","",G1391*N1391)</f>
        <v/>
      </c>
      <c r="P1391" s="22" t="str">
        <f aca="false">IF($B1391="","",IFERROR(INDEX(고객사!$K$5:$K$104,MATCH($B1391,고객사!$A$5:$A$104,0)),0))</f>
        <v/>
      </c>
      <c r="Q1391" s="22" t="str">
        <f aca="false">IF($B1391="","",G1391*P1391)</f>
        <v/>
      </c>
      <c r="R1391" s="22" t="str">
        <f aca="false">IF($B1391="","",O1391-Q1391-L1391)</f>
        <v/>
      </c>
      <c r="S1391" s="21" t="str">
        <f aca="false">IF(OR($B1391="",N(O1391)=0),"",R1391/O1391)</f>
        <v/>
      </c>
      <c r="T1391" s="14"/>
      <c r="U1391" s="19" t="n">
        <f aca="false">IF(OR($B1391="",$A1391=""),0,IF(COUNTIFS($A$5:$A1391,$A1391,$B$5:$B1391,$B1391)=1,1,0))</f>
        <v>0</v>
      </c>
    </row>
    <row r="1392" customFormat="false" ht="15" hidden="false" customHeight="false" outlineLevel="0" collapsed="false">
      <c r="A1392" s="17"/>
      <c r="B1392" s="13"/>
      <c r="C1392" s="20" t="str">
        <f aca="false">IF($B1392="","",IFERROR(INDEX(고객사!$B$5:$B$104,MATCH($B1392,고객사!$A$5:$A$104,0)),"코드 확인"))</f>
        <v/>
      </c>
      <c r="D1392" s="15"/>
      <c r="E1392" s="15"/>
      <c r="F1392" s="16"/>
      <c r="G1392" s="16"/>
      <c r="H1392" s="21" t="str">
        <f aca="false">IF(OR($B1392="",F1392=0),"",G1392/F1392)</f>
        <v/>
      </c>
      <c r="I1392" s="22" t="str">
        <f aca="false">IF($B1392="","",MAX(F1392-G1392,0))</f>
        <v/>
      </c>
      <c r="J1392" s="23" t="str">
        <f aca="false">IF($B1392="","",IFERROR(INDEX(고객사!$G$5:$G$104,MATCH($B1392,고객사!$A$5:$A$104,0)),""))</f>
        <v/>
      </c>
      <c r="K1392" s="16"/>
      <c r="L1392" s="22" t="str">
        <f aca="false">IF($B1392="","",K1392*IFERROR(INDEX(고객사!$L$5:$L$104,MATCH($B1392,고객사!$A$5:$A$104,0)),0))</f>
        <v/>
      </c>
      <c r="M1392" s="23" t="str">
        <f aca="false">IF($B1392="","",IF(AND(J1392="N",G1392&gt;0,K1392=0,IFERROR(INDEX(고객사!$H$5:$H$104,MATCH($B1392,고객사!$A$5:$A$104,0)),"")="자사 차량 운행"),"차량 미배정",""))</f>
        <v/>
      </c>
      <c r="N1392" s="22" t="str">
        <f aca="false">IF($B1392="","",IFERROR(INDEX(고객사!$J$5:$J$104,MATCH($B1392,고객사!$A$5:$A$104,0)),0))</f>
        <v/>
      </c>
      <c r="O1392" s="22" t="str">
        <f aca="false">IF($B1392="","",G1392*N1392)</f>
        <v/>
      </c>
      <c r="P1392" s="22" t="str">
        <f aca="false">IF($B1392="","",IFERROR(INDEX(고객사!$K$5:$K$104,MATCH($B1392,고객사!$A$5:$A$104,0)),0))</f>
        <v/>
      </c>
      <c r="Q1392" s="22" t="str">
        <f aca="false">IF($B1392="","",G1392*P1392)</f>
        <v/>
      </c>
      <c r="R1392" s="22" t="str">
        <f aca="false">IF($B1392="","",O1392-Q1392-L1392)</f>
        <v/>
      </c>
      <c r="S1392" s="21" t="str">
        <f aca="false">IF(OR($B1392="",N(O1392)=0),"",R1392/O1392)</f>
        <v/>
      </c>
      <c r="T1392" s="14"/>
      <c r="U1392" s="19" t="n">
        <f aca="false">IF(OR($B1392="",$A1392=""),0,IF(COUNTIFS($A$5:$A1392,$A1392,$B$5:$B1392,$B1392)=1,1,0))</f>
        <v>0</v>
      </c>
    </row>
    <row r="1393" customFormat="false" ht="15" hidden="false" customHeight="false" outlineLevel="0" collapsed="false">
      <c r="A1393" s="17"/>
      <c r="B1393" s="13"/>
      <c r="C1393" s="20" t="str">
        <f aca="false">IF($B1393="","",IFERROR(INDEX(고객사!$B$5:$B$104,MATCH($B1393,고객사!$A$5:$A$104,0)),"코드 확인"))</f>
        <v/>
      </c>
      <c r="D1393" s="15"/>
      <c r="E1393" s="15"/>
      <c r="F1393" s="16"/>
      <c r="G1393" s="16"/>
      <c r="H1393" s="21" t="str">
        <f aca="false">IF(OR($B1393="",F1393=0),"",G1393/F1393)</f>
        <v/>
      </c>
      <c r="I1393" s="22" t="str">
        <f aca="false">IF($B1393="","",MAX(F1393-G1393,0))</f>
        <v/>
      </c>
      <c r="J1393" s="23" t="str">
        <f aca="false">IF($B1393="","",IFERROR(INDEX(고객사!$G$5:$G$104,MATCH($B1393,고객사!$A$5:$A$104,0)),""))</f>
        <v/>
      </c>
      <c r="K1393" s="16"/>
      <c r="L1393" s="22" t="str">
        <f aca="false">IF($B1393="","",K1393*IFERROR(INDEX(고객사!$L$5:$L$104,MATCH($B1393,고객사!$A$5:$A$104,0)),0))</f>
        <v/>
      </c>
      <c r="M1393" s="23" t="str">
        <f aca="false">IF($B1393="","",IF(AND(J1393="N",G1393&gt;0,K1393=0,IFERROR(INDEX(고객사!$H$5:$H$104,MATCH($B1393,고객사!$A$5:$A$104,0)),"")="자사 차량 운행"),"차량 미배정",""))</f>
        <v/>
      </c>
      <c r="N1393" s="22" t="str">
        <f aca="false">IF($B1393="","",IFERROR(INDEX(고객사!$J$5:$J$104,MATCH($B1393,고객사!$A$5:$A$104,0)),0))</f>
        <v/>
      </c>
      <c r="O1393" s="22" t="str">
        <f aca="false">IF($B1393="","",G1393*N1393)</f>
        <v/>
      </c>
      <c r="P1393" s="22" t="str">
        <f aca="false">IF($B1393="","",IFERROR(INDEX(고객사!$K$5:$K$104,MATCH($B1393,고객사!$A$5:$A$104,0)),0))</f>
        <v/>
      </c>
      <c r="Q1393" s="22" t="str">
        <f aca="false">IF($B1393="","",G1393*P1393)</f>
        <v/>
      </c>
      <c r="R1393" s="22" t="str">
        <f aca="false">IF($B1393="","",O1393-Q1393-L1393)</f>
        <v/>
      </c>
      <c r="S1393" s="21" t="str">
        <f aca="false">IF(OR($B1393="",N(O1393)=0),"",R1393/O1393)</f>
        <v/>
      </c>
      <c r="T1393" s="14"/>
      <c r="U1393" s="19" t="n">
        <f aca="false">IF(OR($B1393="",$A1393=""),0,IF(COUNTIFS($A$5:$A1393,$A1393,$B$5:$B1393,$B1393)=1,1,0))</f>
        <v>0</v>
      </c>
    </row>
    <row r="1394" customFormat="false" ht="15" hidden="false" customHeight="false" outlineLevel="0" collapsed="false">
      <c r="A1394" s="17"/>
      <c r="B1394" s="13"/>
      <c r="C1394" s="20" t="str">
        <f aca="false">IF($B1394="","",IFERROR(INDEX(고객사!$B$5:$B$104,MATCH($B1394,고객사!$A$5:$A$104,0)),"코드 확인"))</f>
        <v/>
      </c>
      <c r="D1394" s="15"/>
      <c r="E1394" s="15"/>
      <c r="F1394" s="16"/>
      <c r="G1394" s="16"/>
      <c r="H1394" s="21" t="str">
        <f aca="false">IF(OR($B1394="",F1394=0),"",G1394/F1394)</f>
        <v/>
      </c>
      <c r="I1394" s="22" t="str">
        <f aca="false">IF($B1394="","",MAX(F1394-G1394,0))</f>
        <v/>
      </c>
      <c r="J1394" s="23" t="str">
        <f aca="false">IF($B1394="","",IFERROR(INDEX(고객사!$G$5:$G$104,MATCH($B1394,고객사!$A$5:$A$104,0)),""))</f>
        <v/>
      </c>
      <c r="K1394" s="16"/>
      <c r="L1394" s="22" t="str">
        <f aca="false">IF($B1394="","",K1394*IFERROR(INDEX(고객사!$L$5:$L$104,MATCH($B1394,고객사!$A$5:$A$104,0)),0))</f>
        <v/>
      </c>
      <c r="M1394" s="23" t="str">
        <f aca="false">IF($B1394="","",IF(AND(J1394="N",G1394&gt;0,K1394=0,IFERROR(INDEX(고객사!$H$5:$H$104,MATCH($B1394,고객사!$A$5:$A$104,0)),"")="자사 차량 운행"),"차량 미배정",""))</f>
        <v/>
      </c>
      <c r="N1394" s="22" t="str">
        <f aca="false">IF($B1394="","",IFERROR(INDEX(고객사!$J$5:$J$104,MATCH($B1394,고객사!$A$5:$A$104,0)),0))</f>
        <v/>
      </c>
      <c r="O1394" s="22" t="str">
        <f aca="false">IF($B1394="","",G1394*N1394)</f>
        <v/>
      </c>
      <c r="P1394" s="22" t="str">
        <f aca="false">IF($B1394="","",IFERROR(INDEX(고객사!$K$5:$K$104,MATCH($B1394,고객사!$A$5:$A$104,0)),0))</f>
        <v/>
      </c>
      <c r="Q1394" s="22" t="str">
        <f aca="false">IF($B1394="","",G1394*P1394)</f>
        <v/>
      </c>
      <c r="R1394" s="22" t="str">
        <f aca="false">IF($B1394="","",O1394-Q1394-L1394)</f>
        <v/>
      </c>
      <c r="S1394" s="21" t="str">
        <f aca="false">IF(OR($B1394="",N(O1394)=0),"",R1394/O1394)</f>
        <v/>
      </c>
      <c r="T1394" s="14"/>
      <c r="U1394" s="19" t="n">
        <f aca="false">IF(OR($B1394="",$A1394=""),0,IF(COUNTIFS($A$5:$A1394,$A1394,$B$5:$B1394,$B1394)=1,1,0))</f>
        <v>0</v>
      </c>
    </row>
    <row r="1395" customFormat="false" ht="15" hidden="false" customHeight="false" outlineLevel="0" collapsed="false">
      <c r="A1395" s="17"/>
      <c r="B1395" s="13"/>
      <c r="C1395" s="20" t="str">
        <f aca="false">IF($B1395="","",IFERROR(INDEX(고객사!$B$5:$B$104,MATCH($B1395,고객사!$A$5:$A$104,0)),"코드 확인"))</f>
        <v/>
      </c>
      <c r="D1395" s="15"/>
      <c r="E1395" s="15"/>
      <c r="F1395" s="16"/>
      <c r="G1395" s="16"/>
      <c r="H1395" s="21" t="str">
        <f aca="false">IF(OR($B1395="",F1395=0),"",G1395/F1395)</f>
        <v/>
      </c>
      <c r="I1395" s="22" t="str">
        <f aca="false">IF($B1395="","",MAX(F1395-G1395,0))</f>
        <v/>
      </c>
      <c r="J1395" s="23" t="str">
        <f aca="false">IF($B1395="","",IFERROR(INDEX(고객사!$G$5:$G$104,MATCH($B1395,고객사!$A$5:$A$104,0)),""))</f>
        <v/>
      </c>
      <c r="K1395" s="16"/>
      <c r="L1395" s="22" t="str">
        <f aca="false">IF($B1395="","",K1395*IFERROR(INDEX(고객사!$L$5:$L$104,MATCH($B1395,고객사!$A$5:$A$104,0)),0))</f>
        <v/>
      </c>
      <c r="M1395" s="23" t="str">
        <f aca="false">IF($B1395="","",IF(AND(J1395="N",G1395&gt;0,K1395=0,IFERROR(INDEX(고객사!$H$5:$H$104,MATCH($B1395,고객사!$A$5:$A$104,0)),"")="자사 차량 운행"),"차량 미배정",""))</f>
        <v/>
      </c>
      <c r="N1395" s="22" t="str">
        <f aca="false">IF($B1395="","",IFERROR(INDEX(고객사!$J$5:$J$104,MATCH($B1395,고객사!$A$5:$A$104,0)),0))</f>
        <v/>
      </c>
      <c r="O1395" s="22" t="str">
        <f aca="false">IF($B1395="","",G1395*N1395)</f>
        <v/>
      </c>
      <c r="P1395" s="22" t="str">
        <f aca="false">IF($B1395="","",IFERROR(INDEX(고객사!$K$5:$K$104,MATCH($B1395,고객사!$A$5:$A$104,0)),0))</f>
        <v/>
      </c>
      <c r="Q1395" s="22" t="str">
        <f aca="false">IF($B1395="","",G1395*P1395)</f>
        <v/>
      </c>
      <c r="R1395" s="22" t="str">
        <f aca="false">IF($B1395="","",O1395-Q1395-L1395)</f>
        <v/>
      </c>
      <c r="S1395" s="21" t="str">
        <f aca="false">IF(OR($B1395="",N(O1395)=0),"",R1395/O1395)</f>
        <v/>
      </c>
      <c r="T1395" s="14"/>
      <c r="U1395" s="19" t="n">
        <f aca="false">IF(OR($B1395="",$A1395=""),0,IF(COUNTIFS($A$5:$A1395,$A1395,$B$5:$B1395,$B1395)=1,1,0))</f>
        <v>0</v>
      </c>
    </row>
    <row r="1396" customFormat="false" ht="15" hidden="false" customHeight="false" outlineLevel="0" collapsed="false">
      <c r="A1396" s="17"/>
      <c r="B1396" s="13"/>
      <c r="C1396" s="20" t="str">
        <f aca="false">IF($B1396="","",IFERROR(INDEX(고객사!$B$5:$B$104,MATCH($B1396,고객사!$A$5:$A$104,0)),"코드 확인"))</f>
        <v/>
      </c>
      <c r="D1396" s="15"/>
      <c r="E1396" s="15"/>
      <c r="F1396" s="16"/>
      <c r="G1396" s="16"/>
      <c r="H1396" s="21" t="str">
        <f aca="false">IF(OR($B1396="",F1396=0),"",G1396/F1396)</f>
        <v/>
      </c>
      <c r="I1396" s="22" t="str">
        <f aca="false">IF($B1396="","",MAX(F1396-G1396,0))</f>
        <v/>
      </c>
      <c r="J1396" s="23" t="str">
        <f aca="false">IF($B1396="","",IFERROR(INDEX(고객사!$G$5:$G$104,MATCH($B1396,고객사!$A$5:$A$104,0)),""))</f>
        <v/>
      </c>
      <c r="K1396" s="16"/>
      <c r="L1396" s="22" t="str">
        <f aca="false">IF($B1396="","",K1396*IFERROR(INDEX(고객사!$L$5:$L$104,MATCH($B1396,고객사!$A$5:$A$104,0)),0))</f>
        <v/>
      </c>
      <c r="M1396" s="23" t="str">
        <f aca="false">IF($B1396="","",IF(AND(J1396="N",G1396&gt;0,K1396=0,IFERROR(INDEX(고객사!$H$5:$H$104,MATCH($B1396,고객사!$A$5:$A$104,0)),"")="자사 차량 운행"),"차량 미배정",""))</f>
        <v/>
      </c>
      <c r="N1396" s="22" t="str">
        <f aca="false">IF($B1396="","",IFERROR(INDEX(고객사!$J$5:$J$104,MATCH($B1396,고객사!$A$5:$A$104,0)),0))</f>
        <v/>
      </c>
      <c r="O1396" s="22" t="str">
        <f aca="false">IF($B1396="","",G1396*N1396)</f>
        <v/>
      </c>
      <c r="P1396" s="22" t="str">
        <f aca="false">IF($B1396="","",IFERROR(INDEX(고객사!$K$5:$K$104,MATCH($B1396,고객사!$A$5:$A$104,0)),0))</f>
        <v/>
      </c>
      <c r="Q1396" s="22" t="str">
        <f aca="false">IF($B1396="","",G1396*P1396)</f>
        <v/>
      </c>
      <c r="R1396" s="22" t="str">
        <f aca="false">IF($B1396="","",O1396-Q1396-L1396)</f>
        <v/>
      </c>
      <c r="S1396" s="21" t="str">
        <f aca="false">IF(OR($B1396="",N(O1396)=0),"",R1396/O1396)</f>
        <v/>
      </c>
      <c r="T1396" s="14"/>
      <c r="U1396" s="19" t="n">
        <f aca="false">IF(OR($B1396="",$A1396=""),0,IF(COUNTIFS($A$5:$A1396,$A1396,$B$5:$B1396,$B1396)=1,1,0))</f>
        <v>0</v>
      </c>
    </row>
    <row r="1397" customFormat="false" ht="15" hidden="false" customHeight="false" outlineLevel="0" collapsed="false">
      <c r="A1397" s="17"/>
      <c r="B1397" s="13"/>
      <c r="C1397" s="20" t="str">
        <f aca="false">IF($B1397="","",IFERROR(INDEX(고객사!$B$5:$B$104,MATCH($B1397,고객사!$A$5:$A$104,0)),"코드 확인"))</f>
        <v/>
      </c>
      <c r="D1397" s="15"/>
      <c r="E1397" s="15"/>
      <c r="F1397" s="16"/>
      <c r="G1397" s="16"/>
      <c r="H1397" s="21" t="str">
        <f aca="false">IF(OR($B1397="",F1397=0),"",G1397/F1397)</f>
        <v/>
      </c>
      <c r="I1397" s="22" t="str">
        <f aca="false">IF($B1397="","",MAX(F1397-G1397,0))</f>
        <v/>
      </c>
      <c r="J1397" s="23" t="str">
        <f aca="false">IF($B1397="","",IFERROR(INDEX(고객사!$G$5:$G$104,MATCH($B1397,고객사!$A$5:$A$104,0)),""))</f>
        <v/>
      </c>
      <c r="K1397" s="16"/>
      <c r="L1397" s="22" t="str">
        <f aca="false">IF($B1397="","",K1397*IFERROR(INDEX(고객사!$L$5:$L$104,MATCH($B1397,고객사!$A$5:$A$104,0)),0))</f>
        <v/>
      </c>
      <c r="M1397" s="23" t="str">
        <f aca="false">IF($B1397="","",IF(AND(J1397="N",G1397&gt;0,K1397=0,IFERROR(INDEX(고객사!$H$5:$H$104,MATCH($B1397,고객사!$A$5:$A$104,0)),"")="자사 차량 운행"),"차량 미배정",""))</f>
        <v/>
      </c>
      <c r="N1397" s="22" t="str">
        <f aca="false">IF($B1397="","",IFERROR(INDEX(고객사!$J$5:$J$104,MATCH($B1397,고객사!$A$5:$A$104,0)),0))</f>
        <v/>
      </c>
      <c r="O1397" s="22" t="str">
        <f aca="false">IF($B1397="","",G1397*N1397)</f>
        <v/>
      </c>
      <c r="P1397" s="22" t="str">
        <f aca="false">IF($B1397="","",IFERROR(INDEX(고객사!$K$5:$K$104,MATCH($B1397,고객사!$A$5:$A$104,0)),0))</f>
        <v/>
      </c>
      <c r="Q1397" s="22" t="str">
        <f aca="false">IF($B1397="","",G1397*P1397)</f>
        <v/>
      </c>
      <c r="R1397" s="22" t="str">
        <f aca="false">IF($B1397="","",O1397-Q1397-L1397)</f>
        <v/>
      </c>
      <c r="S1397" s="21" t="str">
        <f aca="false">IF(OR($B1397="",N(O1397)=0),"",R1397/O1397)</f>
        <v/>
      </c>
      <c r="T1397" s="14"/>
      <c r="U1397" s="19" t="n">
        <f aca="false">IF(OR($B1397="",$A1397=""),0,IF(COUNTIFS($A$5:$A1397,$A1397,$B$5:$B1397,$B1397)=1,1,0))</f>
        <v>0</v>
      </c>
    </row>
    <row r="1398" customFormat="false" ht="15" hidden="false" customHeight="false" outlineLevel="0" collapsed="false">
      <c r="A1398" s="17"/>
      <c r="B1398" s="13"/>
      <c r="C1398" s="20" t="str">
        <f aca="false">IF($B1398="","",IFERROR(INDEX(고객사!$B$5:$B$104,MATCH($B1398,고객사!$A$5:$A$104,0)),"코드 확인"))</f>
        <v/>
      </c>
      <c r="D1398" s="15"/>
      <c r="E1398" s="15"/>
      <c r="F1398" s="16"/>
      <c r="G1398" s="16"/>
      <c r="H1398" s="21" t="str">
        <f aca="false">IF(OR($B1398="",F1398=0),"",G1398/F1398)</f>
        <v/>
      </c>
      <c r="I1398" s="22" t="str">
        <f aca="false">IF($B1398="","",MAX(F1398-G1398,0))</f>
        <v/>
      </c>
      <c r="J1398" s="23" t="str">
        <f aca="false">IF($B1398="","",IFERROR(INDEX(고객사!$G$5:$G$104,MATCH($B1398,고객사!$A$5:$A$104,0)),""))</f>
        <v/>
      </c>
      <c r="K1398" s="16"/>
      <c r="L1398" s="22" t="str">
        <f aca="false">IF($B1398="","",K1398*IFERROR(INDEX(고객사!$L$5:$L$104,MATCH($B1398,고객사!$A$5:$A$104,0)),0))</f>
        <v/>
      </c>
      <c r="M1398" s="23" t="str">
        <f aca="false">IF($B1398="","",IF(AND(J1398="N",G1398&gt;0,K1398=0,IFERROR(INDEX(고객사!$H$5:$H$104,MATCH($B1398,고객사!$A$5:$A$104,0)),"")="자사 차량 운행"),"차량 미배정",""))</f>
        <v/>
      </c>
      <c r="N1398" s="22" t="str">
        <f aca="false">IF($B1398="","",IFERROR(INDEX(고객사!$J$5:$J$104,MATCH($B1398,고객사!$A$5:$A$104,0)),0))</f>
        <v/>
      </c>
      <c r="O1398" s="22" t="str">
        <f aca="false">IF($B1398="","",G1398*N1398)</f>
        <v/>
      </c>
      <c r="P1398" s="22" t="str">
        <f aca="false">IF($B1398="","",IFERROR(INDEX(고객사!$K$5:$K$104,MATCH($B1398,고객사!$A$5:$A$104,0)),0))</f>
        <v/>
      </c>
      <c r="Q1398" s="22" t="str">
        <f aca="false">IF($B1398="","",G1398*P1398)</f>
        <v/>
      </c>
      <c r="R1398" s="22" t="str">
        <f aca="false">IF($B1398="","",O1398-Q1398-L1398)</f>
        <v/>
      </c>
      <c r="S1398" s="21" t="str">
        <f aca="false">IF(OR($B1398="",N(O1398)=0),"",R1398/O1398)</f>
        <v/>
      </c>
      <c r="T1398" s="14"/>
      <c r="U1398" s="19" t="n">
        <f aca="false">IF(OR($B1398="",$A1398=""),0,IF(COUNTIFS($A$5:$A1398,$A1398,$B$5:$B1398,$B1398)=1,1,0))</f>
        <v>0</v>
      </c>
    </row>
    <row r="1399" customFormat="false" ht="15" hidden="false" customHeight="false" outlineLevel="0" collapsed="false">
      <c r="A1399" s="17"/>
      <c r="B1399" s="13"/>
      <c r="C1399" s="20" t="str">
        <f aca="false">IF($B1399="","",IFERROR(INDEX(고객사!$B$5:$B$104,MATCH($B1399,고객사!$A$5:$A$104,0)),"코드 확인"))</f>
        <v/>
      </c>
      <c r="D1399" s="15"/>
      <c r="E1399" s="15"/>
      <c r="F1399" s="16"/>
      <c r="G1399" s="16"/>
      <c r="H1399" s="21" t="str">
        <f aca="false">IF(OR($B1399="",F1399=0),"",G1399/F1399)</f>
        <v/>
      </c>
      <c r="I1399" s="22" t="str">
        <f aca="false">IF($B1399="","",MAX(F1399-G1399,0))</f>
        <v/>
      </c>
      <c r="J1399" s="23" t="str">
        <f aca="false">IF($B1399="","",IFERROR(INDEX(고객사!$G$5:$G$104,MATCH($B1399,고객사!$A$5:$A$104,0)),""))</f>
        <v/>
      </c>
      <c r="K1399" s="16"/>
      <c r="L1399" s="22" t="str">
        <f aca="false">IF($B1399="","",K1399*IFERROR(INDEX(고객사!$L$5:$L$104,MATCH($B1399,고객사!$A$5:$A$104,0)),0))</f>
        <v/>
      </c>
      <c r="M1399" s="23" t="str">
        <f aca="false">IF($B1399="","",IF(AND(J1399="N",G1399&gt;0,K1399=0,IFERROR(INDEX(고객사!$H$5:$H$104,MATCH($B1399,고객사!$A$5:$A$104,0)),"")="자사 차량 운행"),"차량 미배정",""))</f>
        <v/>
      </c>
      <c r="N1399" s="22" t="str">
        <f aca="false">IF($B1399="","",IFERROR(INDEX(고객사!$J$5:$J$104,MATCH($B1399,고객사!$A$5:$A$104,0)),0))</f>
        <v/>
      </c>
      <c r="O1399" s="22" t="str">
        <f aca="false">IF($B1399="","",G1399*N1399)</f>
        <v/>
      </c>
      <c r="P1399" s="22" t="str">
        <f aca="false">IF($B1399="","",IFERROR(INDEX(고객사!$K$5:$K$104,MATCH($B1399,고객사!$A$5:$A$104,0)),0))</f>
        <v/>
      </c>
      <c r="Q1399" s="22" t="str">
        <f aca="false">IF($B1399="","",G1399*P1399)</f>
        <v/>
      </c>
      <c r="R1399" s="22" t="str">
        <f aca="false">IF($B1399="","",O1399-Q1399-L1399)</f>
        <v/>
      </c>
      <c r="S1399" s="21" t="str">
        <f aca="false">IF(OR($B1399="",N(O1399)=0),"",R1399/O1399)</f>
        <v/>
      </c>
      <c r="T1399" s="14"/>
      <c r="U1399" s="19" t="n">
        <f aca="false">IF(OR($B1399="",$A1399=""),0,IF(COUNTIFS($A$5:$A1399,$A1399,$B$5:$B1399,$B1399)=1,1,0))</f>
        <v>0</v>
      </c>
    </row>
    <row r="1400" customFormat="false" ht="15" hidden="false" customHeight="false" outlineLevel="0" collapsed="false">
      <c r="A1400" s="17"/>
      <c r="B1400" s="13"/>
      <c r="C1400" s="20" t="str">
        <f aca="false">IF($B1400="","",IFERROR(INDEX(고객사!$B$5:$B$104,MATCH($B1400,고객사!$A$5:$A$104,0)),"코드 확인"))</f>
        <v/>
      </c>
      <c r="D1400" s="15"/>
      <c r="E1400" s="15"/>
      <c r="F1400" s="16"/>
      <c r="G1400" s="16"/>
      <c r="H1400" s="21" t="str">
        <f aca="false">IF(OR($B1400="",F1400=0),"",G1400/F1400)</f>
        <v/>
      </c>
      <c r="I1400" s="22" t="str">
        <f aca="false">IF($B1400="","",MAX(F1400-G1400,0))</f>
        <v/>
      </c>
      <c r="J1400" s="23" t="str">
        <f aca="false">IF($B1400="","",IFERROR(INDEX(고객사!$G$5:$G$104,MATCH($B1400,고객사!$A$5:$A$104,0)),""))</f>
        <v/>
      </c>
      <c r="K1400" s="16"/>
      <c r="L1400" s="22" t="str">
        <f aca="false">IF($B1400="","",K1400*IFERROR(INDEX(고객사!$L$5:$L$104,MATCH($B1400,고객사!$A$5:$A$104,0)),0))</f>
        <v/>
      </c>
      <c r="M1400" s="23" t="str">
        <f aca="false">IF($B1400="","",IF(AND(J1400="N",G1400&gt;0,K1400=0,IFERROR(INDEX(고객사!$H$5:$H$104,MATCH($B1400,고객사!$A$5:$A$104,0)),"")="자사 차량 운행"),"차량 미배정",""))</f>
        <v/>
      </c>
      <c r="N1400" s="22" t="str">
        <f aca="false">IF($B1400="","",IFERROR(INDEX(고객사!$J$5:$J$104,MATCH($B1400,고객사!$A$5:$A$104,0)),0))</f>
        <v/>
      </c>
      <c r="O1400" s="22" t="str">
        <f aca="false">IF($B1400="","",G1400*N1400)</f>
        <v/>
      </c>
      <c r="P1400" s="22" t="str">
        <f aca="false">IF($B1400="","",IFERROR(INDEX(고객사!$K$5:$K$104,MATCH($B1400,고객사!$A$5:$A$104,0)),0))</f>
        <v/>
      </c>
      <c r="Q1400" s="22" t="str">
        <f aca="false">IF($B1400="","",G1400*P1400)</f>
        <v/>
      </c>
      <c r="R1400" s="22" t="str">
        <f aca="false">IF($B1400="","",O1400-Q1400-L1400)</f>
        <v/>
      </c>
      <c r="S1400" s="21" t="str">
        <f aca="false">IF(OR($B1400="",N(O1400)=0),"",R1400/O1400)</f>
        <v/>
      </c>
      <c r="T1400" s="14"/>
      <c r="U1400" s="19" t="n">
        <f aca="false">IF(OR($B1400="",$A1400=""),0,IF(COUNTIFS($A$5:$A1400,$A1400,$B$5:$B1400,$B1400)=1,1,0))</f>
        <v>0</v>
      </c>
    </row>
    <row r="1401" customFormat="false" ht="15" hidden="false" customHeight="false" outlineLevel="0" collapsed="false">
      <c r="A1401" s="17"/>
      <c r="B1401" s="13"/>
      <c r="C1401" s="20" t="str">
        <f aca="false">IF($B1401="","",IFERROR(INDEX(고객사!$B$5:$B$104,MATCH($B1401,고객사!$A$5:$A$104,0)),"코드 확인"))</f>
        <v/>
      </c>
      <c r="D1401" s="15"/>
      <c r="E1401" s="15"/>
      <c r="F1401" s="16"/>
      <c r="G1401" s="16"/>
      <c r="H1401" s="21" t="str">
        <f aca="false">IF(OR($B1401="",F1401=0),"",G1401/F1401)</f>
        <v/>
      </c>
      <c r="I1401" s="22" t="str">
        <f aca="false">IF($B1401="","",MAX(F1401-G1401,0))</f>
        <v/>
      </c>
      <c r="J1401" s="23" t="str">
        <f aca="false">IF($B1401="","",IFERROR(INDEX(고객사!$G$5:$G$104,MATCH($B1401,고객사!$A$5:$A$104,0)),""))</f>
        <v/>
      </c>
      <c r="K1401" s="16"/>
      <c r="L1401" s="22" t="str">
        <f aca="false">IF($B1401="","",K1401*IFERROR(INDEX(고객사!$L$5:$L$104,MATCH($B1401,고객사!$A$5:$A$104,0)),0))</f>
        <v/>
      </c>
      <c r="M1401" s="23" t="str">
        <f aca="false">IF($B1401="","",IF(AND(J1401="N",G1401&gt;0,K1401=0,IFERROR(INDEX(고객사!$H$5:$H$104,MATCH($B1401,고객사!$A$5:$A$104,0)),"")="자사 차량 운행"),"차량 미배정",""))</f>
        <v/>
      </c>
      <c r="N1401" s="22" t="str">
        <f aca="false">IF($B1401="","",IFERROR(INDEX(고객사!$J$5:$J$104,MATCH($B1401,고객사!$A$5:$A$104,0)),0))</f>
        <v/>
      </c>
      <c r="O1401" s="22" t="str">
        <f aca="false">IF($B1401="","",G1401*N1401)</f>
        <v/>
      </c>
      <c r="P1401" s="22" t="str">
        <f aca="false">IF($B1401="","",IFERROR(INDEX(고객사!$K$5:$K$104,MATCH($B1401,고객사!$A$5:$A$104,0)),0))</f>
        <v/>
      </c>
      <c r="Q1401" s="22" t="str">
        <f aca="false">IF($B1401="","",G1401*P1401)</f>
        <v/>
      </c>
      <c r="R1401" s="22" t="str">
        <f aca="false">IF($B1401="","",O1401-Q1401-L1401)</f>
        <v/>
      </c>
      <c r="S1401" s="21" t="str">
        <f aca="false">IF(OR($B1401="",N(O1401)=0),"",R1401/O1401)</f>
        <v/>
      </c>
      <c r="T1401" s="14"/>
      <c r="U1401" s="19" t="n">
        <f aca="false">IF(OR($B1401="",$A1401=""),0,IF(COUNTIFS($A$5:$A1401,$A1401,$B$5:$B1401,$B1401)=1,1,0))</f>
        <v>0</v>
      </c>
    </row>
    <row r="1402" customFormat="false" ht="15" hidden="false" customHeight="false" outlineLevel="0" collapsed="false">
      <c r="A1402" s="17"/>
      <c r="B1402" s="13"/>
      <c r="C1402" s="20" t="str">
        <f aca="false">IF($B1402="","",IFERROR(INDEX(고객사!$B$5:$B$104,MATCH($B1402,고객사!$A$5:$A$104,0)),"코드 확인"))</f>
        <v/>
      </c>
      <c r="D1402" s="15"/>
      <c r="E1402" s="15"/>
      <c r="F1402" s="16"/>
      <c r="G1402" s="16"/>
      <c r="H1402" s="21" t="str">
        <f aca="false">IF(OR($B1402="",F1402=0),"",G1402/F1402)</f>
        <v/>
      </c>
      <c r="I1402" s="22" t="str">
        <f aca="false">IF($B1402="","",MAX(F1402-G1402,0))</f>
        <v/>
      </c>
      <c r="J1402" s="23" t="str">
        <f aca="false">IF($B1402="","",IFERROR(INDEX(고객사!$G$5:$G$104,MATCH($B1402,고객사!$A$5:$A$104,0)),""))</f>
        <v/>
      </c>
      <c r="K1402" s="16"/>
      <c r="L1402" s="22" t="str">
        <f aca="false">IF($B1402="","",K1402*IFERROR(INDEX(고객사!$L$5:$L$104,MATCH($B1402,고객사!$A$5:$A$104,0)),0))</f>
        <v/>
      </c>
      <c r="M1402" s="23" t="str">
        <f aca="false">IF($B1402="","",IF(AND(J1402="N",G1402&gt;0,K1402=0,IFERROR(INDEX(고객사!$H$5:$H$104,MATCH($B1402,고객사!$A$5:$A$104,0)),"")="자사 차량 운행"),"차량 미배정",""))</f>
        <v/>
      </c>
      <c r="N1402" s="22" t="str">
        <f aca="false">IF($B1402="","",IFERROR(INDEX(고객사!$J$5:$J$104,MATCH($B1402,고객사!$A$5:$A$104,0)),0))</f>
        <v/>
      </c>
      <c r="O1402" s="22" t="str">
        <f aca="false">IF($B1402="","",G1402*N1402)</f>
        <v/>
      </c>
      <c r="P1402" s="22" t="str">
        <f aca="false">IF($B1402="","",IFERROR(INDEX(고객사!$K$5:$K$104,MATCH($B1402,고객사!$A$5:$A$104,0)),0))</f>
        <v/>
      </c>
      <c r="Q1402" s="22" t="str">
        <f aca="false">IF($B1402="","",G1402*P1402)</f>
        <v/>
      </c>
      <c r="R1402" s="22" t="str">
        <f aca="false">IF($B1402="","",O1402-Q1402-L1402)</f>
        <v/>
      </c>
      <c r="S1402" s="21" t="str">
        <f aca="false">IF(OR($B1402="",N(O1402)=0),"",R1402/O1402)</f>
        <v/>
      </c>
      <c r="T1402" s="14"/>
      <c r="U1402" s="19" t="n">
        <f aca="false">IF(OR($B1402="",$A1402=""),0,IF(COUNTIFS($A$5:$A1402,$A1402,$B$5:$B1402,$B1402)=1,1,0))</f>
        <v>0</v>
      </c>
    </row>
    <row r="1403" customFormat="false" ht="15" hidden="false" customHeight="false" outlineLevel="0" collapsed="false">
      <c r="A1403" s="17"/>
      <c r="B1403" s="13"/>
      <c r="C1403" s="20" t="str">
        <f aca="false">IF($B1403="","",IFERROR(INDEX(고객사!$B$5:$B$104,MATCH($B1403,고객사!$A$5:$A$104,0)),"코드 확인"))</f>
        <v/>
      </c>
      <c r="D1403" s="15"/>
      <c r="E1403" s="15"/>
      <c r="F1403" s="16"/>
      <c r="G1403" s="16"/>
      <c r="H1403" s="21" t="str">
        <f aca="false">IF(OR($B1403="",F1403=0),"",G1403/F1403)</f>
        <v/>
      </c>
      <c r="I1403" s="22" t="str">
        <f aca="false">IF($B1403="","",MAX(F1403-G1403,0))</f>
        <v/>
      </c>
      <c r="J1403" s="23" t="str">
        <f aca="false">IF($B1403="","",IFERROR(INDEX(고객사!$G$5:$G$104,MATCH($B1403,고객사!$A$5:$A$104,0)),""))</f>
        <v/>
      </c>
      <c r="K1403" s="16"/>
      <c r="L1403" s="22" t="str">
        <f aca="false">IF($B1403="","",K1403*IFERROR(INDEX(고객사!$L$5:$L$104,MATCH($B1403,고객사!$A$5:$A$104,0)),0))</f>
        <v/>
      </c>
      <c r="M1403" s="23" t="str">
        <f aca="false">IF($B1403="","",IF(AND(J1403="N",G1403&gt;0,K1403=0,IFERROR(INDEX(고객사!$H$5:$H$104,MATCH($B1403,고객사!$A$5:$A$104,0)),"")="자사 차량 운행"),"차량 미배정",""))</f>
        <v/>
      </c>
      <c r="N1403" s="22" t="str">
        <f aca="false">IF($B1403="","",IFERROR(INDEX(고객사!$J$5:$J$104,MATCH($B1403,고객사!$A$5:$A$104,0)),0))</f>
        <v/>
      </c>
      <c r="O1403" s="22" t="str">
        <f aca="false">IF($B1403="","",G1403*N1403)</f>
        <v/>
      </c>
      <c r="P1403" s="22" t="str">
        <f aca="false">IF($B1403="","",IFERROR(INDEX(고객사!$K$5:$K$104,MATCH($B1403,고객사!$A$5:$A$104,0)),0))</f>
        <v/>
      </c>
      <c r="Q1403" s="22" t="str">
        <f aca="false">IF($B1403="","",G1403*P1403)</f>
        <v/>
      </c>
      <c r="R1403" s="22" t="str">
        <f aca="false">IF($B1403="","",O1403-Q1403-L1403)</f>
        <v/>
      </c>
      <c r="S1403" s="21" t="str">
        <f aca="false">IF(OR($B1403="",N(O1403)=0),"",R1403/O1403)</f>
        <v/>
      </c>
      <c r="T1403" s="14"/>
      <c r="U1403" s="19" t="n">
        <f aca="false">IF(OR($B1403="",$A1403=""),0,IF(COUNTIFS($A$5:$A1403,$A1403,$B$5:$B1403,$B1403)=1,1,0))</f>
        <v>0</v>
      </c>
    </row>
    <row r="1404" customFormat="false" ht="15" hidden="false" customHeight="false" outlineLevel="0" collapsed="false">
      <c r="A1404" s="17"/>
      <c r="B1404" s="13"/>
      <c r="C1404" s="20" t="str">
        <f aca="false">IF($B1404="","",IFERROR(INDEX(고객사!$B$5:$B$104,MATCH($B1404,고객사!$A$5:$A$104,0)),"코드 확인"))</f>
        <v/>
      </c>
      <c r="D1404" s="15"/>
      <c r="E1404" s="15"/>
      <c r="F1404" s="16"/>
      <c r="G1404" s="16"/>
      <c r="H1404" s="21" t="str">
        <f aca="false">IF(OR($B1404="",F1404=0),"",G1404/F1404)</f>
        <v/>
      </c>
      <c r="I1404" s="22" t="str">
        <f aca="false">IF($B1404="","",MAX(F1404-G1404,0))</f>
        <v/>
      </c>
      <c r="J1404" s="23" t="str">
        <f aca="false">IF($B1404="","",IFERROR(INDEX(고객사!$G$5:$G$104,MATCH($B1404,고객사!$A$5:$A$104,0)),""))</f>
        <v/>
      </c>
      <c r="K1404" s="16"/>
      <c r="L1404" s="22" t="str">
        <f aca="false">IF($B1404="","",K1404*IFERROR(INDEX(고객사!$L$5:$L$104,MATCH($B1404,고객사!$A$5:$A$104,0)),0))</f>
        <v/>
      </c>
      <c r="M1404" s="23" t="str">
        <f aca="false">IF($B1404="","",IF(AND(J1404="N",G1404&gt;0,K1404=0,IFERROR(INDEX(고객사!$H$5:$H$104,MATCH($B1404,고객사!$A$5:$A$104,0)),"")="자사 차량 운행"),"차량 미배정",""))</f>
        <v/>
      </c>
      <c r="N1404" s="22" t="str">
        <f aca="false">IF($B1404="","",IFERROR(INDEX(고객사!$J$5:$J$104,MATCH($B1404,고객사!$A$5:$A$104,0)),0))</f>
        <v/>
      </c>
      <c r="O1404" s="22" t="str">
        <f aca="false">IF($B1404="","",G1404*N1404)</f>
        <v/>
      </c>
      <c r="P1404" s="22" t="str">
        <f aca="false">IF($B1404="","",IFERROR(INDEX(고객사!$K$5:$K$104,MATCH($B1404,고객사!$A$5:$A$104,0)),0))</f>
        <v/>
      </c>
      <c r="Q1404" s="22" t="str">
        <f aca="false">IF($B1404="","",G1404*P1404)</f>
        <v/>
      </c>
      <c r="R1404" s="22" t="str">
        <f aca="false">IF($B1404="","",O1404-Q1404-L1404)</f>
        <v/>
      </c>
      <c r="S1404" s="21" t="str">
        <f aca="false">IF(OR($B1404="",N(O1404)=0),"",R1404/O1404)</f>
        <v/>
      </c>
      <c r="T1404" s="14"/>
      <c r="U1404" s="19" t="n">
        <f aca="false">IF(OR($B1404="",$A1404=""),0,IF(COUNTIFS($A$5:$A1404,$A1404,$B$5:$B1404,$B1404)=1,1,0))</f>
        <v>0</v>
      </c>
    </row>
    <row r="1405" customFormat="false" ht="15" hidden="false" customHeight="false" outlineLevel="0" collapsed="false">
      <c r="A1405" s="17"/>
      <c r="B1405" s="13"/>
      <c r="C1405" s="20" t="str">
        <f aca="false">IF($B1405="","",IFERROR(INDEX(고객사!$B$5:$B$104,MATCH($B1405,고객사!$A$5:$A$104,0)),"코드 확인"))</f>
        <v/>
      </c>
      <c r="D1405" s="15"/>
      <c r="E1405" s="15"/>
      <c r="F1405" s="16"/>
      <c r="G1405" s="16"/>
      <c r="H1405" s="21" t="str">
        <f aca="false">IF(OR($B1405="",F1405=0),"",G1405/F1405)</f>
        <v/>
      </c>
      <c r="I1405" s="22" t="str">
        <f aca="false">IF($B1405="","",MAX(F1405-G1405,0))</f>
        <v/>
      </c>
      <c r="J1405" s="23" t="str">
        <f aca="false">IF($B1405="","",IFERROR(INDEX(고객사!$G$5:$G$104,MATCH($B1405,고객사!$A$5:$A$104,0)),""))</f>
        <v/>
      </c>
      <c r="K1405" s="16"/>
      <c r="L1405" s="22" t="str">
        <f aca="false">IF($B1405="","",K1405*IFERROR(INDEX(고객사!$L$5:$L$104,MATCH($B1405,고객사!$A$5:$A$104,0)),0))</f>
        <v/>
      </c>
      <c r="M1405" s="23" t="str">
        <f aca="false">IF($B1405="","",IF(AND(J1405="N",G1405&gt;0,K1405=0,IFERROR(INDEX(고객사!$H$5:$H$104,MATCH($B1405,고객사!$A$5:$A$104,0)),"")="자사 차량 운행"),"차량 미배정",""))</f>
        <v/>
      </c>
      <c r="N1405" s="22" t="str">
        <f aca="false">IF($B1405="","",IFERROR(INDEX(고객사!$J$5:$J$104,MATCH($B1405,고객사!$A$5:$A$104,0)),0))</f>
        <v/>
      </c>
      <c r="O1405" s="22" t="str">
        <f aca="false">IF($B1405="","",G1405*N1405)</f>
        <v/>
      </c>
      <c r="P1405" s="22" t="str">
        <f aca="false">IF($B1405="","",IFERROR(INDEX(고객사!$K$5:$K$104,MATCH($B1405,고객사!$A$5:$A$104,0)),0))</f>
        <v/>
      </c>
      <c r="Q1405" s="22" t="str">
        <f aca="false">IF($B1405="","",G1405*P1405)</f>
        <v/>
      </c>
      <c r="R1405" s="22" t="str">
        <f aca="false">IF($B1405="","",O1405-Q1405-L1405)</f>
        <v/>
      </c>
      <c r="S1405" s="21" t="str">
        <f aca="false">IF(OR($B1405="",N(O1405)=0),"",R1405/O1405)</f>
        <v/>
      </c>
      <c r="T1405" s="14"/>
      <c r="U1405" s="19" t="n">
        <f aca="false">IF(OR($B1405="",$A1405=""),0,IF(COUNTIFS($A$5:$A1405,$A1405,$B$5:$B1405,$B1405)=1,1,0))</f>
        <v>0</v>
      </c>
    </row>
    <row r="1406" customFormat="false" ht="15" hidden="false" customHeight="false" outlineLevel="0" collapsed="false">
      <c r="A1406" s="17"/>
      <c r="B1406" s="13"/>
      <c r="C1406" s="20" t="str">
        <f aca="false">IF($B1406="","",IFERROR(INDEX(고객사!$B$5:$B$104,MATCH($B1406,고객사!$A$5:$A$104,0)),"코드 확인"))</f>
        <v/>
      </c>
      <c r="D1406" s="15"/>
      <c r="E1406" s="15"/>
      <c r="F1406" s="16"/>
      <c r="G1406" s="16"/>
      <c r="H1406" s="21" t="str">
        <f aca="false">IF(OR($B1406="",F1406=0),"",G1406/F1406)</f>
        <v/>
      </c>
      <c r="I1406" s="22" t="str">
        <f aca="false">IF($B1406="","",MAX(F1406-G1406,0))</f>
        <v/>
      </c>
      <c r="J1406" s="23" t="str">
        <f aca="false">IF($B1406="","",IFERROR(INDEX(고객사!$G$5:$G$104,MATCH($B1406,고객사!$A$5:$A$104,0)),""))</f>
        <v/>
      </c>
      <c r="K1406" s="16"/>
      <c r="L1406" s="22" t="str">
        <f aca="false">IF($B1406="","",K1406*IFERROR(INDEX(고객사!$L$5:$L$104,MATCH($B1406,고객사!$A$5:$A$104,0)),0))</f>
        <v/>
      </c>
      <c r="M1406" s="23" t="str">
        <f aca="false">IF($B1406="","",IF(AND(J1406="N",G1406&gt;0,K1406=0,IFERROR(INDEX(고객사!$H$5:$H$104,MATCH($B1406,고객사!$A$5:$A$104,0)),"")="자사 차량 운행"),"차량 미배정",""))</f>
        <v/>
      </c>
      <c r="N1406" s="22" t="str">
        <f aca="false">IF($B1406="","",IFERROR(INDEX(고객사!$J$5:$J$104,MATCH($B1406,고객사!$A$5:$A$104,0)),0))</f>
        <v/>
      </c>
      <c r="O1406" s="22" t="str">
        <f aca="false">IF($B1406="","",G1406*N1406)</f>
        <v/>
      </c>
      <c r="P1406" s="22" t="str">
        <f aca="false">IF($B1406="","",IFERROR(INDEX(고객사!$K$5:$K$104,MATCH($B1406,고객사!$A$5:$A$104,0)),0))</f>
        <v/>
      </c>
      <c r="Q1406" s="22" t="str">
        <f aca="false">IF($B1406="","",G1406*P1406)</f>
        <v/>
      </c>
      <c r="R1406" s="22" t="str">
        <f aca="false">IF($B1406="","",O1406-Q1406-L1406)</f>
        <v/>
      </c>
      <c r="S1406" s="21" t="str">
        <f aca="false">IF(OR($B1406="",N(O1406)=0),"",R1406/O1406)</f>
        <v/>
      </c>
      <c r="T1406" s="14"/>
      <c r="U1406" s="19" t="n">
        <f aca="false">IF(OR($B1406="",$A1406=""),0,IF(COUNTIFS($A$5:$A1406,$A1406,$B$5:$B1406,$B1406)=1,1,0))</f>
        <v>0</v>
      </c>
    </row>
    <row r="1407" customFormat="false" ht="15" hidden="false" customHeight="false" outlineLevel="0" collapsed="false">
      <c r="A1407" s="17"/>
      <c r="B1407" s="13"/>
      <c r="C1407" s="20" t="str">
        <f aca="false">IF($B1407="","",IFERROR(INDEX(고객사!$B$5:$B$104,MATCH($B1407,고객사!$A$5:$A$104,0)),"코드 확인"))</f>
        <v/>
      </c>
      <c r="D1407" s="15"/>
      <c r="E1407" s="15"/>
      <c r="F1407" s="16"/>
      <c r="G1407" s="16"/>
      <c r="H1407" s="21" t="str">
        <f aca="false">IF(OR($B1407="",F1407=0),"",G1407/F1407)</f>
        <v/>
      </c>
      <c r="I1407" s="22" t="str">
        <f aca="false">IF($B1407="","",MAX(F1407-G1407,0))</f>
        <v/>
      </c>
      <c r="J1407" s="23" t="str">
        <f aca="false">IF($B1407="","",IFERROR(INDEX(고객사!$G$5:$G$104,MATCH($B1407,고객사!$A$5:$A$104,0)),""))</f>
        <v/>
      </c>
      <c r="K1407" s="16"/>
      <c r="L1407" s="22" t="str">
        <f aca="false">IF($B1407="","",K1407*IFERROR(INDEX(고객사!$L$5:$L$104,MATCH($B1407,고객사!$A$5:$A$104,0)),0))</f>
        <v/>
      </c>
      <c r="M1407" s="23" t="str">
        <f aca="false">IF($B1407="","",IF(AND(J1407="N",G1407&gt;0,K1407=0,IFERROR(INDEX(고객사!$H$5:$H$104,MATCH($B1407,고객사!$A$5:$A$104,0)),"")="자사 차량 운행"),"차량 미배정",""))</f>
        <v/>
      </c>
      <c r="N1407" s="22" t="str">
        <f aca="false">IF($B1407="","",IFERROR(INDEX(고객사!$J$5:$J$104,MATCH($B1407,고객사!$A$5:$A$104,0)),0))</f>
        <v/>
      </c>
      <c r="O1407" s="22" t="str">
        <f aca="false">IF($B1407="","",G1407*N1407)</f>
        <v/>
      </c>
      <c r="P1407" s="22" t="str">
        <f aca="false">IF($B1407="","",IFERROR(INDEX(고객사!$K$5:$K$104,MATCH($B1407,고객사!$A$5:$A$104,0)),0))</f>
        <v/>
      </c>
      <c r="Q1407" s="22" t="str">
        <f aca="false">IF($B1407="","",G1407*P1407)</f>
        <v/>
      </c>
      <c r="R1407" s="22" t="str">
        <f aca="false">IF($B1407="","",O1407-Q1407-L1407)</f>
        <v/>
      </c>
      <c r="S1407" s="21" t="str">
        <f aca="false">IF(OR($B1407="",N(O1407)=0),"",R1407/O1407)</f>
        <v/>
      </c>
      <c r="T1407" s="14"/>
      <c r="U1407" s="19" t="n">
        <f aca="false">IF(OR($B1407="",$A1407=""),0,IF(COUNTIFS($A$5:$A1407,$A1407,$B$5:$B1407,$B1407)=1,1,0))</f>
        <v>0</v>
      </c>
    </row>
    <row r="1408" customFormat="false" ht="15" hidden="false" customHeight="false" outlineLevel="0" collapsed="false">
      <c r="A1408" s="17"/>
      <c r="B1408" s="13"/>
      <c r="C1408" s="20" t="str">
        <f aca="false">IF($B1408="","",IFERROR(INDEX(고객사!$B$5:$B$104,MATCH($B1408,고객사!$A$5:$A$104,0)),"코드 확인"))</f>
        <v/>
      </c>
      <c r="D1408" s="15"/>
      <c r="E1408" s="15"/>
      <c r="F1408" s="16"/>
      <c r="G1408" s="16"/>
      <c r="H1408" s="21" t="str">
        <f aca="false">IF(OR($B1408="",F1408=0),"",G1408/F1408)</f>
        <v/>
      </c>
      <c r="I1408" s="22" t="str">
        <f aca="false">IF($B1408="","",MAX(F1408-G1408,0))</f>
        <v/>
      </c>
      <c r="J1408" s="23" t="str">
        <f aca="false">IF($B1408="","",IFERROR(INDEX(고객사!$G$5:$G$104,MATCH($B1408,고객사!$A$5:$A$104,0)),""))</f>
        <v/>
      </c>
      <c r="K1408" s="16"/>
      <c r="L1408" s="22" t="str">
        <f aca="false">IF($B1408="","",K1408*IFERROR(INDEX(고객사!$L$5:$L$104,MATCH($B1408,고객사!$A$5:$A$104,0)),0))</f>
        <v/>
      </c>
      <c r="M1408" s="23" t="str">
        <f aca="false">IF($B1408="","",IF(AND(J1408="N",G1408&gt;0,K1408=0,IFERROR(INDEX(고객사!$H$5:$H$104,MATCH($B1408,고객사!$A$5:$A$104,0)),"")="자사 차량 운행"),"차량 미배정",""))</f>
        <v/>
      </c>
      <c r="N1408" s="22" t="str">
        <f aca="false">IF($B1408="","",IFERROR(INDEX(고객사!$J$5:$J$104,MATCH($B1408,고객사!$A$5:$A$104,0)),0))</f>
        <v/>
      </c>
      <c r="O1408" s="22" t="str">
        <f aca="false">IF($B1408="","",G1408*N1408)</f>
        <v/>
      </c>
      <c r="P1408" s="22" t="str">
        <f aca="false">IF($B1408="","",IFERROR(INDEX(고객사!$K$5:$K$104,MATCH($B1408,고객사!$A$5:$A$104,0)),0))</f>
        <v/>
      </c>
      <c r="Q1408" s="22" t="str">
        <f aca="false">IF($B1408="","",G1408*P1408)</f>
        <v/>
      </c>
      <c r="R1408" s="22" t="str">
        <f aca="false">IF($B1408="","",O1408-Q1408-L1408)</f>
        <v/>
      </c>
      <c r="S1408" s="21" t="str">
        <f aca="false">IF(OR($B1408="",N(O1408)=0),"",R1408/O1408)</f>
        <v/>
      </c>
      <c r="T1408" s="14"/>
      <c r="U1408" s="19" t="n">
        <f aca="false">IF(OR($B1408="",$A1408=""),0,IF(COUNTIFS($A$5:$A1408,$A1408,$B$5:$B1408,$B1408)=1,1,0))</f>
        <v>0</v>
      </c>
    </row>
    <row r="1409" customFormat="false" ht="15" hidden="false" customHeight="false" outlineLevel="0" collapsed="false">
      <c r="A1409" s="17"/>
      <c r="B1409" s="13"/>
      <c r="C1409" s="20" t="str">
        <f aca="false">IF($B1409="","",IFERROR(INDEX(고객사!$B$5:$B$104,MATCH($B1409,고객사!$A$5:$A$104,0)),"코드 확인"))</f>
        <v/>
      </c>
      <c r="D1409" s="15"/>
      <c r="E1409" s="15"/>
      <c r="F1409" s="16"/>
      <c r="G1409" s="16"/>
      <c r="H1409" s="21" t="str">
        <f aca="false">IF(OR($B1409="",F1409=0),"",G1409/F1409)</f>
        <v/>
      </c>
      <c r="I1409" s="22" t="str">
        <f aca="false">IF($B1409="","",MAX(F1409-G1409,0))</f>
        <v/>
      </c>
      <c r="J1409" s="23" t="str">
        <f aca="false">IF($B1409="","",IFERROR(INDEX(고객사!$G$5:$G$104,MATCH($B1409,고객사!$A$5:$A$104,0)),""))</f>
        <v/>
      </c>
      <c r="K1409" s="16"/>
      <c r="L1409" s="22" t="str">
        <f aca="false">IF($B1409="","",K1409*IFERROR(INDEX(고객사!$L$5:$L$104,MATCH($B1409,고객사!$A$5:$A$104,0)),0))</f>
        <v/>
      </c>
      <c r="M1409" s="23" t="str">
        <f aca="false">IF($B1409="","",IF(AND(J1409="N",G1409&gt;0,K1409=0,IFERROR(INDEX(고객사!$H$5:$H$104,MATCH($B1409,고객사!$A$5:$A$104,0)),"")="자사 차량 운행"),"차량 미배정",""))</f>
        <v/>
      </c>
      <c r="N1409" s="22" t="str">
        <f aca="false">IF($B1409="","",IFERROR(INDEX(고객사!$J$5:$J$104,MATCH($B1409,고객사!$A$5:$A$104,0)),0))</f>
        <v/>
      </c>
      <c r="O1409" s="22" t="str">
        <f aca="false">IF($B1409="","",G1409*N1409)</f>
        <v/>
      </c>
      <c r="P1409" s="22" t="str">
        <f aca="false">IF($B1409="","",IFERROR(INDEX(고객사!$K$5:$K$104,MATCH($B1409,고객사!$A$5:$A$104,0)),0))</f>
        <v/>
      </c>
      <c r="Q1409" s="22" t="str">
        <f aca="false">IF($B1409="","",G1409*P1409)</f>
        <v/>
      </c>
      <c r="R1409" s="22" t="str">
        <f aca="false">IF($B1409="","",O1409-Q1409-L1409)</f>
        <v/>
      </c>
      <c r="S1409" s="21" t="str">
        <f aca="false">IF(OR($B1409="",N(O1409)=0),"",R1409/O1409)</f>
        <v/>
      </c>
      <c r="T1409" s="14"/>
      <c r="U1409" s="19" t="n">
        <f aca="false">IF(OR($B1409="",$A1409=""),0,IF(COUNTIFS($A$5:$A1409,$A1409,$B$5:$B1409,$B1409)=1,1,0))</f>
        <v>0</v>
      </c>
    </row>
    <row r="1410" customFormat="false" ht="15" hidden="false" customHeight="false" outlineLevel="0" collapsed="false">
      <c r="A1410" s="17"/>
      <c r="B1410" s="13"/>
      <c r="C1410" s="20" t="str">
        <f aca="false">IF($B1410="","",IFERROR(INDEX(고객사!$B$5:$B$104,MATCH($B1410,고객사!$A$5:$A$104,0)),"코드 확인"))</f>
        <v/>
      </c>
      <c r="D1410" s="15"/>
      <c r="E1410" s="15"/>
      <c r="F1410" s="16"/>
      <c r="G1410" s="16"/>
      <c r="H1410" s="21" t="str">
        <f aca="false">IF(OR($B1410="",F1410=0),"",G1410/F1410)</f>
        <v/>
      </c>
      <c r="I1410" s="22" t="str">
        <f aca="false">IF($B1410="","",MAX(F1410-G1410,0))</f>
        <v/>
      </c>
      <c r="J1410" s="23" t="str">
        <f aca="false">IF($B1410="","",IFERROR(INDEX(고객사!$G$5:$G$104,MATCH($B1410,고객사!$A$5:$A$104,0)),""))</f>
        <v/>
      </c>
      <c r="K1410" s="16"/>
      <c r="L1410" s="22" t="str">
        <f aca="false">IF($B1410="","",K1410*IFERROR(INDEX(고객사!$L$5:$L$104,MATCH($B1410,고객사!$A$5:$A$104,0)),0))</f>
        <v/>
      </c>
      <c r="M1410" s="23" t="str">
        <f aca="false">IF($B1410="","",IF(AND(J1410="N",G1410&gt;0,K1410=0,IFERROR(INDEX(고객사!$H$5:$H$104,MATCH($B1410,고객사!$A$5:$A$104,0)),"")="자사 차량 운행"),"차량 미배정",""))</f>
        <v/>
      </c>
      <c r="N1410" s="22" t="str">
        <f aca="false">IF($B1410="","",IFERROR(INDEX(고객사!$J$5:$J$104,MATCH($B1410,고객사!$A$5:$A$104,0)),0))</f>
        <v/>
      </c>
      <c r="O1410" s="22" t="str">
        <f aca="false">IF($B1410="","",G1410*N1410)</f>
        <v/>
      </c>
      <c r="P1410" s="22" t="str">
        <f aca="false">IF($B1410="","",IFERROR(INDEX(고객사!$K$5:$K$104,MATCH($B1410,고객사!$A$5:$A$104,0)),0))</f>
        <v/>
      </c>
      <c r="Q1410" s="22" t="str">
        <f aca="false">IF($B1410="","",G1410*P1410)</f>
        <v/>
      </c>
      <c r="R1410" s="22" t="str">
        <f aca="false">IF($B1410="","",O1410-Q1410-L1410)</f>
        <v/>
      </c>
      <c r="S1410" s="21" t="str">
        <f aca="false">IF(OR($B1410="",N(O1410)=0),"",R1410/O1410)</f>
        <v/>
      </c>
      <c r="T1410" s="14"/>
      <c r="U1410" s="19" t="n">
        <f aca="false">IF(OR($B1410="",$A1410=""),0,IF(COUNTIFS($A$5:$A1410,$A1410,$B$5:$B1410,$B1410)=1,1,0))</f>
        <v>0</v>
      </c>
    </row>
    <row r="1411" customFormat="false" ht="15" hidden="false" customHeight="false" outlineLevel="0" collapsed="false">
      <c r="A1411" s="17"/>
      <c r="B1411" s="13"/>
      <c r="C1411" s="20" t="str">
        <f aca="false">IF($B1411="","",IFERROR(INDEX(고객사!$B$5:$B$104,MATCH($B1411,고객사!$A$5:$A$104,0)),"코드 확인"))</f>
        <v/>
      </c>
      <c r="D1411" s="15"/>
      <c r="E1411" s="15"/>
      <c r="F1411" s="16"/>
      <c r="G1411" s="16"/>
      <c r="H1411" s="21" t="str">
        <f aca="false">IF(OR($B1411="",F1411=0),"",G1411/F1411)</f>
        <v/>
      </c>
      <c r="I1411" s="22" t="str">
        <f aca="false">IF($B1411="","",MAX(F1411-G1411,0))</f>
        <v/>
      </c>
      <c r="J1411" s="23" t="str">
        <f aca="false">IF($B1411="","",IFERROR(INDEX(고객사!$G$5:$G$104,MATCH($B1411,고객사!$A$5:$A$104,0)),""))</f>
        <v/>
      </c>
      <c r="K1411" s="16"/>
      <c r="L1411" s="22" t="str">
        <f aca="false">IF($B1411="","",K1411*IFERROR(INDEX(고객사!$L$5:$L$104,MATCH($B1411,고객사!$A$5:$A$104,0)),0))</f>
        <v/>
      </c>
      <c r="M1411" s="23" t="str">
        <f aca="false">IF($B1411="","",IF(AND(J1411="N",G1411&gt;0,K1411=0,IFERROR(INDEX(고객사!$H$5:$H$104,MATCH($B1411,고객사!$A$5:$A$104,0)),"")="자사 차량 운행"),"차량 미배정",""))</f>
        <v/>
      </c>
      <c r="N1411" s="22" t="str">
        <f aca="false">IF($B1411="","",IFERROR(INDEX(고객사!$J$5:$J$104,MATCH($B1411,고객사!$A$5:$A$104,0)),0))</f>
        <v/>
      </c>
      <c r="O1411" s="22" t="str">
        <f aca="false">IF($B1411="","",G1411*N1411)</f>
        <v/>
      </c>
      <c r="P1411" s="22" t="str">
        <f aca="false">IF($B1411="","",IFERROR(INDEX(고객사!$K$5:$K$104,MATCH($B1411,고객사!$A$5:$A$104,0)),0))</f>
        <v/>
      </c>
      <c r="Q1411" s="22" t="str">
        <f aca="false">IF($B1411="","",G1411*P1411)</f>
        <v/>
      </c>
      <c r="R1411" s="22" t="str">
        <f aca="false">IF($B1411="","",O1411-Q1411-L1411)</f>
        <v/>
      </c>
      <c r="S1411" s="21" t="str">
        <f aca="false">IF(OR($B1411="",N(O1411)=0),"",R1411/O1411)</f>
        <v/>
      </c>
      <c r="T1411" s="14"/>
      <c r="U1411" s="19" t="n">
        <f aca="false">IF(OR($B1411="",$A1411=""),0,IF(COUNTIFS($A$5:$A1411,$A1411,$B$5:$B1411,$B1411)=1,1,0))</f>
        <v>0</v>
      </c>
    </row>
    <row r="1412" customFormat="false" ht="15" hidden="false" customHeight="false" outlineLevel="0" collapsed="false">
      <c r="A1412" s="17"/>
      <c r="B1412" s="13"/>
      <c r="C1412" s="20" t="str">
        <f aca="false">IF($B1412="","",IFERROR(INDEX(고객사!$B$5:$B$104,MATCH($B1412,고객사!$A$5:$A$104,0)),"코드 확인"))</f>
        <v/>
      </c>
      <c r="D1412" s="15"/>
      <c r="E1412" s="15"/>
      <c r="F1412" s="16"/>
      <c r="G1412" s="16"/>
      <c r="H1412" s="21" t="str">
        <f aca="false">IF(OR($B1412="",F1412=0),"",G1412/F1412)</f>
        <v/>
      </c>
      <c r="I1412" s="22" t="str">
        <f aca="false">IF($B1412="","",MAX(F1412-G1412,0))</f>
        <v/>
      </c>
      <c r="J1412" s="23" t="str">
        <f aca="false">IF($B1412="","",IFERROR(INDEX(고객사!$G$5:$G$104,MATCH($B1412,고객사!$A$5:$A$104,0)),""))</f>
        <v/>
      </c>
      <c r="K1412" s="16"/>
      <c r="L1412" s="22" t="str">
        <f aca="false">IF($B1412="","",K1412*IFERROR(INDEX(고객사!$L$5:$L$104,MATCH($B1412,고객사!$A$5:$A$104,0)),0))</f>
        <v/>
      </c>
      <c r="M1412" s="23" t="str">
        <f aca="false">IF($B1412="","",IF(AND(J1412="N",G1412&gt;0,K1412=0,IFERROR(INDEX(고객사!$H$5:$H$104,MATCH($B1412,고객사!$A$5:$A$104,0)),"")="자사 차량 운행"),"차량 미배정",""))</f>
        <v/>
      </c>
      <c r="N1412" s="22" t="str">
        <f aca="false">IF($B1412="","",IFERROR(INDEX(고객사!$J$5:$J$104,MATCH($B1412,고객사!$A$5:$A$104,0)),0))</f>
        <v/>
      </c>
      <c r="O1412" s="22" t="str">
        <f aca="false">IF($B1412="","",G1412*N1412)</f>
        <v/>
      </c>
      <c r="P1412" s="22" t="str">
        <f aca="false">IF($B1412="","",IFERROR(INDEX(고객사!$K$5:$K$104,MATCH($B1412,고객사!$A$5:$A$104,0)),0))</f>
        <v/>
      </c>
      <c r="Q1412" s="22" t="str">
        <f aca="false">IF($B1412="","",G1412*P1412)</f>
        <v/>
      </c>
      <c r="R1412" s="22" t="str">
        <f aca="false">IF($B1412="","",O1412-Q1412-L1412)</f>
        <v/>
      </c>
      <c r="S1412" s="21" t="str">
        <f aca="false">IF(OR($B1412="",N(O1412)=0),"",R1412/O1412)</f>
        <v/>
      </c>
      <c r="T1412" s="14"/>
      <c r="U1412" s="19" t="n">
        <f aca="false">IF(OR($B1412="",$A1412=""),0,IF(COUNTIFS($A$5:$A1412,$A1412,$B$5:$B1412,$B1412)=1,1,0))</f>
        <v>0</v>
      </c>
    </row>
    <row r="1413" customFormat="false" ht="15" hidden="false" customHeight="false" outlineLevel="0" collapsed="false">
      <c r="A1413" s="17"/>
      <c r="B1413" s="13"/>
      <c r="C1413" s="20" t="str">
        <f aca="false">IF($B1413="","",IFERROR(INDEX(고객사!$B$5:$B$104,MATCH($B1413,고객사!$A$5:$A$104,0)),"코드 확인"))</f>
        <v/>
      </c>
      <c r="D1413" s="15"/>
      <c r="E1413" s="15"/>
      <c r="F1413" s="16"/>
      <c r="G1413" s="16"/>
      <c r="H1413" s="21" t="str">
        <f aca="false">IF(OR($B1413="",F1413=0),"",G1413/F1413)</f>
        <v/>
      </c>
      <c r="I1413" s="22" t="str">
        <f aca="false">IF($B1413="","",MAX(F1413-G1413,0))</f>
        <v/>
      </c>
      <c r="J1413" s="23" t="str">
        <f aca="false">IF($B1413="","",IFERROR(INDEX(고객사!$G$5:$G$104,MATCH($B1413,고객사!$A$5:$A$104,0)),""))</f>
        <v/>
      </c>
      <c r="K1413" s="16"/>
      <c r="L1413" s="22" t="str">
        <f aca="false">IF($B1413="","",K1413*IFERROR(INDEX(고객사!$L$5:$L$104,MATCH($B1413,고객사!$A$5:$A$104,0)),0))</f>
        <v/>
      </c>
      <c r="M1413" s="23" t="str">
        <f aca="false">IF($B1413="","",IF(AND(J1413="N",G1413&gt;0,K1413=0,IFERROR(INDEX(고객사!$H$5:$H$104,MATCH($B1413,고객사!$A$5:$A$104,0)),"")="자사 차량 운행"),"차량 미배정",""))</f>
        <v/>
      </c>
      <c r="N1413" s="22" t="str">
        <f aca="false">IF($B1413="","",IFERROR(INDEX(고객사!$J$5:$J$104,MATCH($B1413,고객사!$A$5:$A$104,0)),0))</f>
        <v/>
      </c>
      <c r="O1413" s="22" t="str">
        <f aca="false">IF($B1413="","",G1413*N1413)</f>
        <v/>
      </c>
      <c r="P1413" s="22" t="str">
        <f aca="false">IF($B1413="","",IFERROR(INDEX(고객사!$K$5:$K$104,MATCH($B1413,고객사!$A$5:$A$104,0)),0))</f>
        <v/>
      </c>
      <c r="Q1413" s="22" t="str">
        <f aca="false">IF($B1413="","",G1413*P1413)</f>
        <v/>
      </c>
      <c r="R1413" s="22" t="str">
        <f aca="false">IF($B1413="","",O1413-Q1413-L1413)</f>
        <v/>
      </c>
      <c r="S1413" s="21" t="str">
        <f aca="false">IF(OR($B1413="",N(O1413)=0),"",R1413/O1413)</f>
        <v/>
      </c>
      <c r="T1413" s="14"/>
      <c r="U1413" s="19" t="n">
        <f aca="false">IF(OR($B1413="",$A1413=""),0,IF(COUNTIFS($A$5:$A1413,$A1413,$B$5:$B1413,$B1413)=1,1,0))</f>
        <v>0</v>
      </c>
    </row>
    <row r="1414" customFormat="false" ht="15" hidden="false" customHeight="false" outlineLevel="0" collapsed="false">
      <c r="A1414" s="17"/>
      <c r="B1414" s="13"/>
      <c r="C1414" s="20" t="str">
        <f aca="false">IF($B1414="","",IFERROR(INDEX(고객사!$B$5:$B$104,MATCH($B1414,고객사!$A$5:$A$104,0)),"코드 확인"))</f>
        <v/>
      </c>
      <c r="D1414" s="15"/>
      <c r="E1414" s="15"/>
      <c r="F1414" s="16"/>
      <c r="G1414" s="16"/>
      <c r="H1414" s="21" t="str">
        <f aca="false">IF(OR($B1414="",F1414=0),"",G1414/F1414)</f>
        <v/>
      </c>
      <c r="I1414" s="22" t="str">
        <f aca="false">IF($B1414="","",MAX(F1414-G1414,0))</f>
        <v/>
      </c>
      <c r="J1414" s="23" t="str">
        <f aca="false">IF($B1414="","",IFERROR(INDEX(고객사!$G$5:$G$104,MATCH($B1414,고객사!$A$5:$A$104,0)),""))</f>
        <v/>
      </c>
      <c r="K1414" s="16"/>
      <c r="L1414" s="22" t="str">
        <f aca="false">IF($B1414="","",K1414*IFERROR(INDEX(고객사!$L$5:$L$104,MATCH($B1414,고객사!$A$5:$A$104,0)),0))</f>
        <v/>
      </c>
      <c r="M1414" s="23" t="str">
        <f aca="false">IF($B1414="","",IF(AND(J1414="N",G1414&gt;0,K1414=0,IFERROR(INDEX(고객사!$H$5:$H$104,MATCH($B1414,고객사!$A$5:$A$104,0)),"")="자사 차량 운행"),"차량 미배정",""))</f>
        <v/>
      </c>
      <c r="N1414" s="22" t="str">
        <f aca="false">IF($B1414="","",IFERROR(INDEX(고객사!$J$5:$J$104,MATCH($B1414,고객사!$A$5:$A$104,0)),0))</f>
        <v/>
      </c>
      <c r="O1414" s="22" t="str">
        <f aca="false">IF($B1414="","",G1414*N1414)</f>
        <v/>
      </c>
      <c r="P1414" s="22" t="str">
        <f aca="false">IF($B1414="","",IFERROR(INDEX(고객사!$K$5:$K$104,MATCH($B1414,고객사!$A$5:$A$104,0)),0))</f>
        <v/>
      </c>
      <c r="Q1414" s="22" t="str">
        <f aca="false">IF($B1414="","",G1414*P1414)</f>
        <v/>
      </c>
      <c r="R1414" s="22" t="str">
        <f aca="false">IF($B1414="","",O1414-Q1414-L1414)</f>
        <v/>
      </c>
      <c r="S1414" s="21" t="str">
        <f aca="false">IF(OR($B1414="",N(O1414)=0),"",R1414/O1414)</f>
        <v/>
      </c>
      <c r="T1414" s="14"/>
      <c r="U1414" s="19" t="n">
        <f aca="false">IF(OR($B1414="",$A1414=""),0,IF(COUNTIFS($A$5:$A1414,$A1414,$B$5:$B1414,$B1414)=1,1,0))</f>
        <v>0</v>
      </c>
    </row>
    <row r="1415" customFormat="false" ht="15" hidden="false" customHeight="false" outlineLevel="0" collapsed="false">
      <c r="A1415" s="17"/>
      <c r="B1415" s="13"/>
      <c r="C1415" s="20" t="str">
        <f aca="false">IF($B1415="","",IFERROR(INDEX(고객사!$B$5:$B$104,MATCH($B1415,고객사!$A$5:$A$104,0)),"코드 확인"))</f>
        <v/>
      </c>
      <c r="D1415" s="15"/>
      <c r="E1415" s="15"/>
      <c r="F1415" s="16"/>
      <c r="G1415" s="16"/>
      <c r="H1415" s="21" t="str">
        <f aca="false">IF(OR($B1415="",F1415=0),"",G1415/F1415)</f>
        <v/>
      </c>
      <c r="I1415" s="22" t="str">
        <f aca="false">IF($B1415="","",MAX(F1415-G1415,0))</f>
        <v/>
      </c>
      <c r="J1415" s="23" t="str">
        <f aca="false">IF($B1415="","",IFERROR(INDEX(고객사!$G$5:$G$104,MATCH($B1415,고객사!$A$5:$A$104,0)),""))</f>
        <v/>
      </c>
      <c r="K1415" s="16"/>
      <c r="L1415" s="22" t="str">
        <f aca="false">IF($B1415="","",K1415*IFERROR(INDEX(고객사!$L$5:$L$104,MATCH($B1415,고객사!$A$5:$A$104,0)),0))</f>
        <v/>
      </c>
      <c r="M1415" s="23" t="str">
        <f aca="false">IF($B1415="","",IF(AND(J1415="N",G1415&gt;0,K1415=0,IFERROR(INDEX(고객사!$H$5:$H$104,MATCH($B1415,고객사!$A$5:$A$104,0)),"")="자사 차량 운행"),"차량 미배정",""))</f>
        <v/>
      </c>
      <c r="N1415" s="22" t="str">
        <f aca="false">IF($B1415="","",IFERROR(INDEX(고객사!$J$5:$J$104,MATCH($B1415,고객사!$A$5:$A$104,0)),0))</f>
        <v/>
      </c>
      <c r="O1415" s="22" t="str">
        <f aca="false">IF($B1415="","",G1415*N1415)</f>
        <v/>
      </c>
      <c r="P1415" s="22" t="str">
        <f aca="false">IF($B1415="","",IFERROR(INDEX(고객사!$K$5:$K$104,MATCH($B1415,고객사!$A$5:$A$104,0)),0))</f>
        <v/>
      </c>
      <c r="Q1415" s="22" t="str">
        <f aca="false">IF($B1415="","",G1415*P1415)</f>
        <v/>
      </c>
      <c r="R1415" s="22" t="str">
        <f aca="false">IF($B1415="","",O1415-Q1415-L1415)</f>
        <v/>
      </c>
      <c r="S1415" s="21" t="str">
        <f aca="false">IF(OR($B1415="",N(O1415)=0),"",R1415/O1415)</f>
        <v/>
      </c>
      <c r="T1415" s="14"/>
      <c r="U1415" s="19" t="n">
        <f aca="false">IF(OR($B1415="",$A1415=""),0,IF(COUNTIFS($A$5:$A1415,$A1415,$B$5:$B1415,$B1415)=1,1,0))</f>
        <v>0</v>
      </c>
    </row>
    <row r="1416" customFormat="false" ht="15" hidden="false" customHeight="false" outlineLevel="0" collapsed="false">
      <c r="A1416" s="17"/>
      <c r="B1416" s="13"/>
      <c r="C1416" s="20" t="str">
        <f aca="false">IF($B1416="","",IFERROR(INDEX(고객사!$B$5:$B$104,MATCH($B1416,고객사!$A$5:$A$104,0)),"코드 확인"))</f>
        <v/>
      </c>
      <c r="D1416" s="15"/>
      <c r="E1416" s="15"/>
      <c r="F1416" s="16"/>
      <c r="G1416" s="16"/>
      <c r="H1416" s="21" t="str">
        <f aca="false">IF(OR($B1416="",F1416=0),"",G1416/F1416)</f>
        <v/>
      </c>
      <c r="I1416" s="22" t="str">
        <f aca="false">IF($B1416="","",MAX(F1416-G1416,0))</f>
        <v/>
      </c>
      <c r="J1416" s="23" t="str">
        <f aca="false">IF($B1416="","",IFERROR(INDEX(고객사!$G$5:$G$104,MATCH($B1416,고객사!$A$5:$A$104,0)),""))</f>
        <v/>
      </c>
      <c r="K1416" s="16"/>
      <c r="L1416" s="22" t="str">
        <f aca="false">IF($B1416="","",K1416*IFERROR(INDEX(고객사!$L$5:$L$104,MATCH($B1416,고객사!$A$5:$A$104,0)),0))</f>
        <v/>
      </c>
      <c r="M1416" s="23" t="str">
        <f aca="false">IF($B1416="","",IF(AND(J1416="N",G1416&gt;0,K1416=0,IFERROR(INDEX(고객사!$H$5:$H$104,MATCH($B1416,고객사!$A$5:$A$104,0)),"")="자사 차량 운행"),"차량 미배정",""))</f>
        <v/>
      </c>
      <c r="N1416" s="22" t="str">
        <f aca="false">IF($B1416="","",IFERROR(INDEX(고객사!$J$5:$J$104,MATCH($B1416,고객사!$A$5:$A$104,0)),0))</f>
        <v/>
      </c>
      <c r="O1416" s="22" t="str">
        <f aca="false">IF($B1416="","",G1416*N1416)</f>
        <v/>
      </c>
      <c r="P1416" s="22" t="str">
        <f aca="false">IF($B1416="","",IFERROR(INDEX(고객사!$K$5:$K$104,MATCH($B1416,고객사!$A$5:$A$104,0)),0))</f>
        <v/>
      </c>
      <c r="Q1416" s="22" t="str">
        <f aca="false">IF($B1416="","",G1416*P1416)</f>
        <v/>
      </c>
      <c r="R1416" s="22" t="str">
        <f aca="false">IF($B1416="","",O1416-Q1416-L1416)</f>
        <v/>
      </c>
      <c r="S1416" s="21" t="str">
        <f aca="false">IF(OR($B1416="",N(O1416)=0),"",R1416/O1416)</f>
        <v/>
      </c>
      <c r="T1416" s="14"/>
      <c r="U1416" s="19" t="n">
        <f aca="false">IF(OR($B1416="",$A1416=""),0,IF(COUNTIFS($A$5:$A1416,$A1416,$B$5:$B1416,$B1416)=1,1,0))</f>
        <v>0</v>
      </c>
    </row>
    <row r="1417" customFormat="false" ht="15" hidden="false" customHeight="false" outlineLevel="0" collapsed="false">
      <c r="A1417" s="17"/>
      <c r="B1417" s="13"/>
      <c r="C1417" s="20" t="str">
        <f aca="false">IF($B1417="","",IFERROR(INDEX(고객사!$B$5:$B$104,MATCH($B1417,고객사!$A$5:$A$104,0)),"코드 확인"))</f>
        <v/>
      </c>
      <c r="D1417" s="15"/>
      <c r="E1417" s="15"/>
      <c r="F1417" s="16"/>
      <c r="G1417" s="16"/>
      <c r="H1417" s="21" t="str">
        <f aca="false">IF(OR($B1417="",F1417=0),"",G1417/F1417)</f>
        <v/>
      </c>
      <c r="I1417" s="22" t="str">
        <f aca="false">IF($B1417="","",MAX(F1417-G1417,0))</f>
        <v/>
      </c>
      <c r="J1417" s="23" t="str">
        <f aca="false">IF($B1417="","",IFERROR(INDEX(고객사!$G$5:$G$104,MATCH($B1417,고객사!$A$5:$A$104,0)),""))</f>
        <v/>
      </c>
      <c r="K1417" s="16"/>
      <c r="L1417" s="22" t="str">
        <f aca="false">IF($B1417="","",K1417*IFERROR(INDEX(고객사!$L$5:$L$104,MATCH($B1417,고객사!$A$5:$A$104,0)),0))</f>
        <v/>
      </c>
      <c r="M1417" s="23" t="str">
        <f aca="false">IF($B1417="","",IF(AND(J1417="N",G1417&gt;0,K1417=0,IFERROR(INDEX(고객사!$H$5:$H$104,MATCH($B1417,고객사!$A$5:$A$104,0)),"")="자사 차량 운행"),"차량 미배정",""))</f>
        <v/>
      </c>
      <c r="N1417" s="22" t="str">
        <f aca="false">IF($B1417="","",IFERROR(INDEX(고객사!$J$5:$J$104,MATCH($B1417,고객사!$A$5:$A$104,0)),0))</f>
        <v/>
      </c>
      <c r="O1417" s="22" t="str">
        <f aca="false">IF($B1417="","",G1417*N1417)</f>
        <v/>
      </c>
      <c r="P1417" s="22" t="str">
        <f aca="false">IF($B1417="","",IFERROR(INDEX(고객사!$K$5:$K$104,MATCH($B1417,고객사!$A$5:$A$104,0)),0))</f>
        <v/>
      </c>
      <c r="Q1417" s="22" t="str">
        <f aca="false">IF($B1417="","",G1417*P1417)</f>
        <v/>
      </c>
      <c r="R1417" s="22" t="str">
        <f aca="false">IF($B1417="","",O1417-Q1417-L1417)</f>
        <v/>
      </c>
      <c r="S1417" s="21" t="str">
        <f aca="false">IF(OR($B1417="",N(O1417)=0),"",R1417/O1417)</f>
        <v/>
      </c>
      <c r="T1417" s="14"/>
      <c r="U1417" s="19" t="n">
        <f aca="false">IF(OR($B1417="",$A1417=""),0,IF(COUNTIFS($A$5:$A1417,$A1417,$B$5:$B1417,$B1417)=1,1,0))</f>
        <v>0</v>
      </c>
    </row>
    <row r="1418" customFormat="false" ht="15" hidden="false" customHeight="false" outlineLevel="0" collapsed="false">
      <c r="A1418" s="17"/>
      <c r="B1418" s="13"/>
      <c r="C1418" s="20" t="str">
        <f aca="false">IF($B1418="","",IFERROR(INDEX(고객사!$B$5:$B$104,MATCH($B1418,고객사!$A$5:$A$104,0)),"코드 확인"))</f>
        <v/>
      </c>
      <c r="D1418" s="15"/>
      <c r="E1418" s="15"/>
      <c r="F1418" s="16"/>
      <c r="G1418" s="16"/>
      <c r="H1418" s="21" t="str">
        <f aca="false">IF(OR($B1418="",F1418=0),"",G1418/F1418)</f>
        <v/>
      </c>
      <c r="I1418" s="22" t="str">
        <f aca="false">IF($B1418="","",MAX(F1418-G1418,0))</f>
        <v/>
      </c>
      <c r="J1418" s="23" t="str">
        <f aca="false">IF($B1418="","",IFERROR(INDEX(고객사!$G$5:$G$104,MATCH($B1418,고객사!$A$5:$A$104,0)),""))</f>
        <v/>
      </c>
      <c r="K1418" s="16"/>
      <c r="L1418" s="22" t="str">
        <f aca="false">IF($B1418="","",K1418*IFERROR(INDEX(고객사!$L$5:$L$104,MATCH($B1418,고객사!$A$5:$A$104,0)),0))</f>
        <v/>
      </c>
      <c r="M1418" s="23" t="str">
        <f aca="false">IF($B1418="","",IF(AND(J1418="N",G1418&gt;0,K1418=0,IFERROR(INDEX(고객사!$H$5:$H$104,MATCH($B1418,고객사!$A$5:$A$104,0)),"")="자사 차량 운행"),"차량 미배정",""))</f>
        <v/>
      </c>
      <c r="N1418" s="22" t="str">
        <f aca="false">IF($B1418="","",IFERROR(INDEX(고객사!$J$5:$J$104,MATCH($B1418,고객사!$A$5:$A$104,0)),0))</f>
        <v/>
      </c>
      <c r="O1418" s="22" t="str">
        <f aca="false">IF($B1418="","",G1418*N1418)</f>
        <v/>
      </c>
      <c r="P1418" s="22" t="str">
        <f aca="false">IF($B1418="","",IFERROR(INDEX(고객사!$K$5:$K$104,MATCH($B1418,고객사!$A$5:$A$104,0)),0))</f>
        <v/>
      </c>
      <c r="Q1418" s="22" t="str">
        <f aca="false">IF($B1418="","",G1418*P1418)</f>
        <v/>
      </c>
      <c r="R1418" s="22" t="str">
        <f aca="false">IF($B1418="","",O1418-Q1418-L1418)</f>
        <v/>
      </c>
      <c r="S1418" s="21" t="str">
        <f aca="false">IF(OR($B1418="",N(O1418)=0),"",R1418/O1418)</f>
        <v/>
      </c>
      <c r="T1418" s="14"/>
      <c r="U1418" s="19" t="n">
        <f aca="false">IF(OR($B1418="",$A1418=""),0,IF(COUNTIFS($A$5:$A1418,$A1418,$B$5:$B1418,$B1418)=1,1,0))</f>
        <v>0</v>
      </c>
    </row>
    <row r="1419" customFormat="false" ht="15" hidden="false" customHeight="false" outlineLevel="0" collapsed="false">
      <c r="A1419" s="17"/>
      <c r="B1419" s="13"/>
      <c r="C1419" s="20" t="str">
        <f aca="false">IF($B1419="","",IFERROR(INDEX(고객사!$B$5:$B$104,MATCH($B1419,고객사!$A$5:$A$104,0)),"코드 확인"))</f>
        <v/>
      </c>
      <c r="D1419" s="15"/>
      <c r="E1419" s="15"/>
      <c r="F1419" s="16"/>
      <c r="G1419" s="16"/>
      <c r="H1419" s="21" t="str">
        <f aca="false">IF(OR($B1419="",F1419=0),"",G1419/F1419)</f>
        <v/>
      </c>
      <c r="I1419" s="22" t="str">
        <f aca="false">IF($B1419="","",MAX(F1419-G1419,0))</f>
        <v/>
      </c>
      <c r="J1419" s="23" t="str">
        <f aca="false">IF($B1419="","",IFERROR(INDEX(고객사!$G$5:$G$104,MATCH($B1419,고객사!$A$5:$A$104,0)),""))</f>
        <v/>
      </c>
      <c r="K1419" s="16"/>
      <c r="L1419" s="22" t="str">
        <f aca="false">IF($B1419="","",K1419*IFERROR(INDEX(고객사!$L$5:$L$104,MATCH($B1419,고객사!$A$5:$A$104,0)),0))</f>
        <v/>
      </c>
      <c r="M1419" s="23" t="str">
        <f aca="false">IF($B1419="","",IF(AND(J1419="N",G1419&gt;0,K1419=0,IFERROR(INDEX(고객사!$H$5:$H$104,MATCH($B1419,고객사!$A$5:$A$104,0)),"")="자사 차량 운행"),"차량 미배정",""))</f>
        <v/>
      </c>
      <c r="N1419" s="22" t="str">
        <f aca="false">IF($B1419="","",IFERROR(INDEX(고객사!$J$5:$J$104,MATCH($B1419,고객사!$A$5:$A$104,0)),0))</f>
        <v/>
      </c>
      <c r="O1419" s="22" t="str">
        <f aca="false">IF($B1419="","",G1419*N1419)</f>
        <v/>
      </c>
      <c r="P1419" s="22" t="str">
        <f aca="false">IF($B1419="","",IFERROR(INDEX(고객사!$K$5:$K$104,MATCH($B1419,고객사!$A$5:$A$104,0)),0))</f>
        <v/>
      </c>
      <c r="Q1419" s="22" t="str">
        <f aca="false">IF($B1419="","",G1419*P1419)</f>
        <v/>
      </c>
      <c r="R1419" s="22" t="str">
        <f aca="false">IF($B1419="","",O1419-Q1419-L1419)</f>
        <v/>
      </c>
      <c r="S1419" s="21" t="str">
        <f aca="false">IF(OR($B1419="",N(O1419)=0),"",R1419/O1419)</f>
        <v/>
      </c>
      <c r="T1419" s="14"/>
      <c r="U1419" s="19" t="n">
        <f aca="false">IF(OR($B1419="",$A1419=""),0,IF(COUNTIFS($A$5:$A1419,$A1419,$B$5:$B1419,$B1419)=1,1,0))</f>
        <v>0</v>
      </c>
    </row>
    <row r="1420" customFormat="false" ht="15" hidden="false" customHeight="false" outlineLevel="0" collapsed="false">
      <c r="A1420" s="17"/>
      <c r="B1420" s="13"/>
      <c r="C1420" s="20" t="str">
        <f aca="false">IF($B1420="","",IFERROR(INDEX(고객사!$B$5:$B$104,MATCH($B1420,고객사!$A$5:$A$104,0)),"코드 확인"))</f>
        <v/>
      </c>
      <c r="D1420" s="15"/>
      <c r="E1420" s="15"/>
      <c r="F1420" s="16"/>
      <c r="G1420" s="16"/>
      <c r="H1420" s="21" t="str">
        <f aca="false">IF(OR($B1420="",F1420=0),"",G1420/F1420)</f>
        <v/>
      </c>
      <c r="I1420" s="22" t="str">
        <f aca="false">IF($B1420="","",MAX(F1420-G1420,0))</f>
        <v/>
      </c>
      <c r="J1420" s="23" t="str">
        <f aca="false">IF($B1420="","",IFERROR(INDEX(고객사!$G$5:$G$104,MATCH($B1420,고객사!$A$5:$A$104,0)),""))</f>
        <v/>
      </c>
      <c r="K1420" s="16"/>
      <c r="L1420" s="22" t="str">
        <f aca="false">IF($B1420="","",K1420*IFERROR(INDEX(고객사!$L$5:$L$104,MATCH($B1420,고객사!$A$5:$A$104,0)),0))</f>
        <v/>
      </c>
      <c r="M1420" s="23" t="str">
        <f aca="false">IF($B1420="","",IF(AND(J1420="N",G1420&gt;0,K1420=0,IFERROR(INDEX(고객사!$H$5:$H$104,MATCH($B1420,고객사!$A$5:$A$104,0)),"")="자사 차량 운행"),"차량 미배정",""))</f>
        <v/>
      </c>
      <c r="N1420" s="22" t="str">
        <f aca="false">IF($B1420="","",IFERROR(INDEX(고객사!$J$5:$J$104,MATCH($B1420,고객사!$A$5:$A$104,0)),0))</f>
        <v/>
      </c>
      <c r="O1420" s="22" t="str">
        <f aca="false">IF($B1420="","",G1420*N1420)</f>
        <v/>
      </c>
      <c r="P1420" s="22" t="str">
        <f aca="false">IF($B1420="","",IFERROR(INDEX(고객사!$K$5:$K$104,MATCH($B1420,고객사!$A$5:$A$104,0)),0))</f>
        <v/>
      </c>
      <c r="Q1420" s="22" t="str">
        <f aca="false">IF($B1420="","",G1420*P1420)</f>
        <v/>
      </c>
      <c r="R1420" s="22" t="str">
        <f aca="false">IF($B1420="","",O1420-Q1420-L1420)</f>
        <v/>
      </c>
      <c r="S1420" s="21" t="str">
        <f aca="false">IF(OR($B1420="",N(O1420)=0),"",R1420/O1420)</f>
        <v/>
      </c>
      <c r="T1420" s="14"/>
      <c r="U1420" s="19" t="n">
        <f aca="false">IF(OR($B1420="",$A1420=""),0,IF(COUNTIFS($A$5:$A1420,$A1420,$B$5:$B1420,$B1420)=1,1,0))</f>
        <v>0</v>
      </c>
    </row>
    <row r="1421" customFormat="false" ht="15" hidden="false" customHeight="false" outlineLevel="0" collapsed="false">
      <c r="A1421" s="17"/>
      <c r="B1421" s="13"/>
      <c r="C1421" s="20" t="str">
        <f aca="false">IF($B1421="","",IFERROR(INDEX(고객사!$B$5:$B$104,MATCH($B1421,고객사!$A$5:$A$104,0)),"코드 확인"))</f>
        <v/>
      </c>
      <c r="D1421" s="15"/>
      <c r="E1421" s="15"/>
      <c r="F1421" s="16"/>
      <c r="G1421" s="16"/>
      <c r="H1421" s="21" t="str">
        <f aca="false">IF(OR($B1421="",F1421=0),"",G1421/F1421)</f>
        <v/>
      </c>
      <c r="I1421" s="22" t="str">
        <f aca="false">IF($B1421="","",MAX(F1421-G1421,0))</f>
        <v/>
      </c>
      <c r="J1421" s="23" t="str">
        <f aca="false">IF($B1421="","",IFERROR(INDEX(고객사!$G$5:$G$104,MATCH($B1421,고객사!$A$5:$A$104,0)),""))</f>
        <v/>
      </c>
      <c r="K1421" s="16"/>
      <c r="L1421" s="22" t="str">
        <f aca="false">IF($B1421="","",K1421*IFERROR(INDEX(고객사!$L$5:$L$104,MATCH($B1421,고객사!$A$5:$A$104,0)),0))</f>
        <v/>
      </c>
      <c r="M1421" s="23" t="str">
        <f aca="false">IF($B1421="","",IF(AND(J1421="N",G1421&gt;0,K1421=0,IFERROR(INDEX(고객사!$H$5:$H$104,MATCH($B1421,고객사!$A$5:$A$104,0)),"")="자사 차량 운행"),"차량 미배정",""))</f>
        <v/>
      </c>
      <c r="N1421" s="22" t="str">
        <f aca="false">IF($B1421="","",IFERROR(INDEX(고객사!$J$5:$J$104,MATCH($B1421,고객사!$A$5:$A$104,0)),0))</f>
        <v/>
      </c>
      <c r="O1421" s="22" t="str">
        <f aca="false">IF($B1421="","",G1421*N1421)</f>
        <v/>
      </c>
      <c r="P1421" s="22" t="str">
        <f aca="false">IF($B1421="","",IFERROR(INDEX(고객사!$K$5:$K$104,MATCH($B1421,고객사!$A$5:$A$104,0)),0))</f>
        <v/>
      </c>
      <c r="Q1421" s="22" t="str">
        <f aca="false">IF($B1421="","",G1421*P1421)</f>
        <v/>
      </c>
      <c r="R1421" s="22" t="str">
        <f aca="false">IF($B1421="","",O1421-Q1421-L1421)</f>
        <v/>
      </c>
      <c r="S1421" s="21" t="str">
        <f aca="false">IF(OR($B1421="",N(O1421)=0),"",R1421/O1421)</f>
        <v/>
      </c>
      <c r="T1421" s="14"/>
      <c r="U1421" s="19" t="n">
        <f aca="false">IF(OR($B1421="",$A1421=""),0,IF(COUNTIFS($A$5:$A1421,$A1421,$B$5:$B1421,$B1421)=1,1,0))</f>
        <v>0</v>
      </c>
    </row>
    <row r="1422" customFormat="false" ht="15" hidden="false" customHeight="false" outlineLevel="0" collapsed="false">
      <c r="A1422" s="17"/>
      <c r="B1422" s="13"/>
      <c r="C1422" s="20" t="str">
        <f aca="false">IF($B1422="","",IFERROR(INDEX(고객사!$B$5:$B$104,MATCH($B1422,고객사!$A$5:$A$104,0)),"코드 확인"))</f>
        <v/>
      </c>
      <c r="D1422" s="15"/>
      <c r="E1422" s="15"/>
      <c r="F1422" s="16"/>
      <c r="G1422" s="16"/>
      <c r="H1422" s="21" t="str">
        <f aca="false">IF(OR($B1422="",F1422=0),"",G1422/F1422)</f>
        <v/>
      </c>
      <c r="I1422" s="22" t="str">
        <f aca="false">IF($B1422="","",MAX(F1422-G1422,0))</f>
        <v/>
      </c>
      <c r="J1422" s="23" t="str">
        <f aca="false">IF($B1422="","",IFERROR(INDEX(고객사!$G$5:$G$104,MATCH($B1422,고객사!$A$5:$A$104,0)),""))</f>
        <v/>
      </c>
      <c r="K1422" s="16"/>
      <c r="L1422" s="22" t="str">
        <f aca="false">IF($B1422="","",K1422*IFERROR(INDEX(고객사!$L$5:$L$104,MATCH($B1422,고객사!$A$5:$A$104,0)),0))</f>
        <v/>
      </c>
      <c r="M1422" s="23" t="str">
        <f aca="false">IF($B1422="","",IF(AND(J1422="N",G1422&gt;0,K1422=0,IFERROR(INDEX(고객사!$H$5:$H$104,MATCH($B1422,고객사!$A$5:$A$104,0)),"")="자사 차량 운행"),"차량 미배정",""))</f>
        <v/>
      </c>
      <c r="N1422" s="22" t="str">
        <f aca="false">IF($B1422="","",IFERROR(INDEX(고객사!$J$5:$J$104,MATCH($B1422,고객사!$A$5:$A$104,0)),0))</f>
        <v/>
      </c>
      <c r="O1422" s="22" t="str">
        <f aca="false">IF($B1422="","",G1422*N1422)</f>
        <v/>
      </c>
      <c r="P1422" s="22" t="str">
        <f aca="false">IF($B1422="","",IFERROR(INDEX(고객사!$K$5:$K$104,MATCH($B1422,고객사!$A$5:$A$104,0)),0))</f>
        <v/>
      </c>
      <c r="Q1422" s="22" t="str">
        <f aca="false">IF($B1422="","",G1422*P1422)</f>
        <v/>
      </c>
      <c r="R1422" s="22" t="str">
        <f aca="false">IF($B1422="","",O1422-Q1422-L1422)</f>
        <v/>
      </c>
      <c r="S1422" s="21" t="str">
        <f aca="false">IF(OR($B1422="",N(O1422)=0),"",R1422/O1422)</f>
        <v/>
      </c>
      <c r="T1422" s="14"/>
      <c r="U1422" s="19" t="n">
        <f aca="false">IF(OR($B1422="",$A1422=""),0,IF(COUNTIFS($A$5:$A1422,$A1422,$B$5:$B1422,$B1422)=1,1,0))</f>
        <v>0</v>
      </c>
    </row>
    <row r="1423" customFormat="false" ht="15" hidden="false" customHeight="false" outlineLevel="0" collapsed="false">
      <c r="A1423" s="17"/>
      <c r="B1423" s="13"/>
      <c r="C1423" s="20" t="str">
        <f aca="false">IF($B1423="","",IFERROR(INDEX(고객사!$B$5:$B$104,MATCH($B1423,고객사!$A$5:$A$104,0)),"코드 확인"))</f>
        <v/>
      </c>
      <c r="D1423" s="15"/>
      <c r="E1423" s="15"/>
      <c r="F1423" s="16"/>
      <c r="G1423" s="16"/>
      <c r="H1423" s="21" t="str">
        <f aca="false">IF(OR($B1423="",F1423=0),"",G1423/F1423)</f>
        <v/>
      </c>
      <c r="I1423" s="22" t="str">
        <f aca="false">IF($B1423="","",MAX(F1423-G1423,0))</f>
        <v/>
      </c>
      <c r="J1423" s="23" t="str">
        <f aca="false">IF($B1423="","",IFERROR(INDEX(고객사!$G$5:$G$104,MATCH($B1423,고객사!$A$5:$A$104,0)),""))</f>
        <v/>
      </c>
      <c r="K1423" s="16"/>
      <c r="L1423" s="22" t="str">
        <f aca="false">IF($B1423="","",K1423*IFERROR(INDEX(고객사!$L$5:$L$104,MATCH($B1423,고객사!$A$5:$A$104,0)),0))</f>
        <v/>
      </c>
      <c r="M1423" s="23" t="str">
        <f aca="false">IF($B1423="","",IF(AND(J1423="N",G1423&gt;0,K1423=0,IFERROR(INDEX(고객사!$H$5:$H$104,MATCH($B1423,고객사!$A$5:$A$104,0)),"")="자사 차량 운행"),"차량 미배정",""))</f>
        <v/>
      </c>
      <c r="N1423" s="22" t="str">
        <f aca="false">IF($B1423="","",IFERROR(INDEX(고객사!$J$5:$J$104,MATCH($B1423,고객사!$A$5:$A$104,0)),0))</f>
        <v/>
      </c>
      <c r="O1423" s="22" t="str">
        <f aca="false">IF($B1423="","",G1423*N1423)</f>
        <v/>
      </c>
      <c r="P1423" s="22" t="str">
        <f aca="false">IF($B1423="","",IFERROR(INDEX(고객사!$K$5:$K$104,MATCH($B1423,고객사!$A$5:$A$104,0)),0))</f>
        <v/>
      </c>
      <c r="Q1423" s="22" t="str">
        <f aca="false">IF($B1423="","",G1423*P1423)</f>
        <v/>
      </c>
      <c r="R1423" s="22" t="str">
        <f aca="false">IF($B1423="","",O1423-Q1423-L1423)</f>
        <v/>
      </c>
      <c r="S1423" s="21" t="str">
        <f aca="false">IF(OR($B1423="",N(O1423)=0),"",R1423/O1423)</f>
        <v/>
      </c>
      <c r="T1423" s="14"/>
      <c r="U1423" s="19" t="n">
        <f aca="false">IF(OR($B1423="",$A1423=""),0,IF(COUNTIFS($A$5:$A1423,$A1423,$B$5:$B1423,$B1423)=1,1,0))</f>
        <v>0</v>
      </c>
    </row>
    <row r="1424" customFormat="false" ht="15" hidden="false" customHeight="false" outlineLevel="0" collapsed="false">
      <c r="A1424" s="17"/>
      <c r="B1424" s="13"/>
      <c r="C1424" s="20" t="str">
        <f aca="false">IF($B1424="","",IFERROR(INDEX(고객사!$B$5:$B$104,MATCH($B1424,고객사!$A$5:$A$104,0)),"코드 확인"))</f>
        <v/>
      </c>
      <c r="D1424" s="15"/>
      <c r="E1424" s="15"/>
      <c r="F1424" s="16"/>
      <c r="G1424" s="16"/>
      <c r="H1424" s="21" t="str">
        <f aca="false">IF(OR($B1424="",F1424=0),"",G1424/F1424)</f>
        <v/>
      </c>
      <c r="I1424" s="22" t="str">
        <f aca="false">IF($B1424="","",MAX(F1424-G1424,0))</f>
        <v/>
      </c>
      <c r="J1424" s="23" t="str">
        <f aca="false">IF($B1424="","",IFERROR(INDEX(고객사!$G$5:$G$104,MATCH($B1424,고객사!$A$5:$A$104,0)),""))</f>
        <v/>
      </c>
      <c r="K1424" s="16"/>
      <c r="L1424" s="22" t="str">
        <f aca="false">IF($B1424="","",K1424*IFERROR(INDEX(고객사!$L$5:$L$104,MATCH($B1424,고객사!$A$5:$A$104,0)),0))</f>
        <v/>
      </c>
      <c r="M1424" s="23" t="str">
        <f aca="false">IF($B1424="","",IF(AND(J1424="N",G1424&gt;0,K1424=0,IFERROR(INDEX(고객사!$H$5:$H$104,MATCH($B1424,고객사!$A$5:$A$104,0)),"")="자사 차량 운행"),"차량 미배정",""))</f>
        <v/>
      </c>
      <c r="N1424" s="22" t="str">
        <f aca="false">IF($B1424="","",IFERROR(INDEX(고객사!$J$5:$J$104,MATCH($B1424,고객사!$A$5:$A$104,0)),0))</f>
        <v/>
      </c>
      <c r="O1424" s="22" t="str">
        <f aca="false">IF($B1424="","",G1424*N1424)</f>
        <v/>
      </c>
      <c r="P1424" s="22" t="str">
        <f aca="false">IF($B1424="","",IFERROR(INDEX(고객사!$K$5:$K$104,MATCH($B1424,고객사!$A$5:$A$104,0)),0))</f>
        <v/>
      </c>
      <c r="Q1424" s="22" t="str">
        <f aca="false">IF($B1424="","",G1424*P1424)</f>
        <v/>
      </c>
      <c r="R1424" s="22" t="str">
        <f aca="false">IF($B1424="","",O1424-Q1424-L1424)</f>
        <v/>
      </c>
      <c r="S1424" s="21" t="str">
        <f aca="false">IF(OR($B1424="",N(O1424)=0),"",R1424/O1424)</f>
        <v/>
      </c>
      <c r="T1424" s="14"/>
      <c r="U1424" s="19" t="n">
        <f aca="false">IF(OR($B1424="",$A1424=""),0,IF(COUNTIFS($A$5:$A1424,$A1424,$B$5:$B1424,$B1424)=1,1,0))</f>
        <v>0</v>
      </c>
    </row>
    <row r="1425" customFormat="false" ht="15" hidden="false" customHeight="false" outlineLevel="0" collapsed="false">
      <c r="A1425" s="17"/>
      <c r="B1425" s="13"/>
      <c r="C1425" s="20" t="str">
        <f aca="false">IF($B1425="","",IFERROR(INDEX(고객사!$B$5:$B$104,MATCH($B1425,고객사!$A$5:$A$104,0)),"코드 확인"))</f>
        <v/>
      </c>
      <c r="D1425" s="15"/>
      <c r="E1425" s="15"/>
      <c r="F1425" s="16"/>
      <c r="G1425" s="16"/>
      <c r="H1425" s="21" t="str">
        <f aca="false">IF(OR($B1425="",F1425=0),"",G1425/F1425)</f>
        <v/>
      </c>
      <c r="I1425" s="22" t="str">
        <f aca="false">IF($B1425="","",MAX(F1425-G1425,0))</f>
        <v/>
      </c>
      <c r="J1425" s="23" t="str">
        <f aca="false">IF($B1425="","",IFERROR(INDEX(고객사!$G$5:$G$104,MATCH($B1425,고객사!$A$5:$A$104,0)),""))</f>
        <v/>
      </c>
      <c r="K1425" s="16"/>
      <c r="L1425" s="22" t="str">
        <f aca="false">IF($B1425="","",K1425*IFERROR(INDEX(고객사!$L$5:$L$104,MATCH($B1425,고객사!$A$5:$A$104,0)),0))</f>
        <v/>
      </c>
      <c r="M1425" s="23" t="str">
        <f aca="false">IF($B1425="","",IF(AND(J1425="N",G1425&gt;0,K1425=0,IFERROR(INDEX(고객사!$H$5:$H$104,MATCH($B1425,고객사!$A$5:$A$104,0)),"")="자사 차량 운행"),"차량 미배정",""))</f>
        <v/>
      </c>
      <c r="N1425" s="22" t="str">
        <f aca="false">IF($B1425="","",IFERROR(INDEX(고객사!$J$5:$J$104,MATCH($B1425,고객사!$A$5:$A$104,0)),0))</f>
        <v/>
      </c>
      <c r="O1425" s="22" t="str">
        <f aca="false">IF($B1425="","",G1425*N1425)</f>
        <v/>
      </c>
      <c r="P1425" s="22" t="str">
        <f aca="false">IF($B1425="","",IFERROR(INDEX(고객사!$K$5:$K$104,MATCH($B1425,고객사!$A$5:$A$104,0)),0))</f>
        <v/>
      </c>
      <c r="Q1425" s="22" t="str">
        <f aca="false">IF($B1425="","",G1425*P1425)</f>
        <v/>
      </c>
      <c r="R1425" s="22" t="str">
        <f aca="false">IF($B1425="","",O1425-Q1425-L1425)</f>
        <v/>
      </c>
      <c r="S1425" s="21" t="str">
        <f aca="false">IF(OR($B1425="",N(O1425)=0),"",R1425/O1425)</f>
        <v/>
      </c>
      <c r="T1425" s="14"/>
      <c r="U1425" s="19" t="n">
        <f aca="false">IF(OR($B1425="",$A1425=""),0,IF(COUNTIFS($A$5:$A1425,$A1425,$B$5:$B1425,$B1425)=1,1,0))</f>
        <v>0</v>
      </c>
    </row>
    <row r="1426" customFormat="false" ht="15" hidden="false" customHeight="false" outlineLevel="0" collapsed="false">
      <c r="A1426" s="17"/>
      <c r="B1426" s="13"/>
      <c r="C1426" s="20" t="str">
        <f aca="false">IF($B1426="","",IFERROR(INDEX(고객사!$B$5:$B$104,MATCH($B1426,고객사!$A$5:$A$104,0)),"코드 확인"))</f>
        <v/>
      </c>
      <c r="D1426" s="15"/>
      <c r="E1426" s="15"/>
      <c r="F1426" s="16"/>
      <c r="G1426" s="16"/>
      <c r="H1426" s="21" t="str">
        <f aca="false">IF(OR($B1426="",F1426=0),"",G1426/F1426)</f>
        <v/>
      </c>
      <c r="I1426" s="22" t="str">
        <f aca="false">IF($B1426="","",MAX(F1426-G1426,0))</f>
        <v/>
      </c>
      <c r="J1426" s="23" t="str">
        <f aca="false">IF($B1426="","",IFERROR(INDEX(고객사!$G$5:$G$104,MATCH($B1426,고객사!$A$5:$A$104,0)),""))</f>
        <v/>
      </c>
      <c r="K1426" s="16"/>
      <c r="L1426" s="22" t="str">
        <f aca="false">IF($B1426="","",K1426*IFERROR(INDEX(고객사!$L$5:$L$104,MATCH($B1426,고객사!$A$5:$A$104,0)),0))</f>
        <v/>
      </c>
      <c r="M1426" s="23" t="str">
        <f aca="false">IF($B1426="","",IF(AND(J1426="N",G1426&gt;0,K1426=0,IFERROR(INDEX(고객사!$H$5:$H$104,MATCH($B1426,고객사!$A$5:$A$104,0)),"")="자사 차량 운행"),"차량 미배정",""))</f>
        <v/>
      </c>
      <c r="N1426" s="22" t="str">
        <f aca="false">IF($B1426="","",IFERROR(INDEX(고객사!$J$5:$J$104,MATCH($B1426,고객사!$A$5:$A$104,0)),0))</f>
        <v/>
      </c>
      <c r="O1426" s="22" t="str">
        <f aca="false">IF($B1426="","",G1426*N1426)</f>
        <v/>
      </c>
      <c r="P1426" s="22" t="str">
        <f aca="false">IF($B1426="","",IFERROR(INDEX(고객사!$K$5:$K$104,MATCH($B1426,고객사!$A$5:$A$104,0)),0))</f>
        <v/>
      </c>
      <c r="Q1426" s="22" t="str">
        <f aca="false">IF($B1426="","",G1426*P1426)</f>
        <v/>
      </c>
      <c r="R1426" s="22" t="str">
        <f aca="false">IF($B1426="","",O1426-Q1426-L1426)</f>
        <v/>
      </c>
      <c r="S1426" s="21" t="str">
        <f aca="false">IF(OR($B1426="",N(O1426)=0),"",R1426/O1426)</f>
        <v/>
      </c>
      <c r="T1426" s="14"/>
      <c r="U1426" s="19" t="n">
        <f aca="false">IF(OR($B1426="",$A1426=""),0,IF(COUNTIFS($A$5:$A1426,$A1426,$B$5:$B1426,$B1426)=1,1,0))</f>
        <v>0</v>
      </c>
    </row>
    <row r="1427" customFormat="false" ht="15" hidden="false" customHeight="false" outlineLevel="0" collapsed="false">
      <c r="A1427" s="17"/>
      <c r="B1427" s="13"/>
      <c r="C1427" s="20" t="str">
        <f aca="false">IF($B1427="","",IFERROR(INDEX(고객사!$B$5:$B$104,MATCH($B1427,고객사!$A$5:$A$104,0)),"코드 확인"))</f>
        <v/>
      </c>
      <c r="D1427" s="15"/>
      <c r="E1427" s="15"/>
      <c r="F1427" s="16"/>
      <c r="G1427" s="16"/>
      <c r="H1427" s="21" t="str">
        <f aca="false">IF(OR($B1427="",F1427=0),"",G1427/F1427)</f>
        <v/>
      </c>
      <c r="I1427" s="22" t="str">
        <f aca="false">IF($B1427="","",MAX(F1427-G1427,0))</f>
        <v/>
      </c>
      <c r="J1427" s="23" t="str">
        <f aca="false">IF($B1427="","",IFERROR(INDEX(고객사!$G$5:$G$104,MATCH($B1427,고객사!$A$5:$A$104,0)),""))</f>
        <v/>
      </c>
      <c r="K1427" s="16"/>
      <c r="L1427" s="22" t="str">
        <f aca="false">IF($B1427="","",K1427*IFERROR(INDEX(고객사!$L$5:$L$104,MATCH($B1427,고객사!$A$5:$A$104,0)),0))</f>
        <v/>
      </c>
      <c r="M1427" s="23" t="str">
        <f aca="false">IF($B1427="","",IF(AND(J1427="N",G1427&gt;0,K1427=0,IFERROR(INDEX(고객사!$H$5:$H$104,MATCH($B1427,고객사!$A$5:$A$104,0)),"")="자사 차량 운행"),"차량 미배정",""))</f>
        <v/>
      </c>
      <c r="N1427" s="22" t="str">
        <f aca="false">IF($B1427="","",IFERROR(INDEX(고객사!$J$5:$J$104,MATCH($B1427,고객사!$A$5:$A$104,0)),0))</f>
        <v/>
      </c>
      <c r="O1427" s="22" t="str">
        <f aca="false">IF($B1427="","",G1427*N1427)</f>
        <v/>
      </c>
      <c r="P1427" s="22" t="str">
        <f aca="false">IF($B1427="","",IFERROR(INDEX(고객사!$K$5:$K$104,MATCH($B1427,고객사!$A$5:$A$104,0)),0))</f>
        <v/>
      </c>
      <c r="Q1427" s="22" t="str">
        <f aca="false">IF($B1427="","",G1427*P1427)</f>
        <v/>
      </c>
      <c r="R1427" s="22" t="str">
        <f aca="false">IF($B1427="","",O1427-Q1427-L1427)</f>
        <v/>
      </c>
      <c r="S1427" s="21" t="str">
        <f aca="false">IF(OR($B1427="",N(O1427)=0),"",R1427/O1427)</f>
        <v/>
      </c>
      <c r="T1427" s="14"/>
      <c r="U1427" s="19" t="n">
        <f aca="false">IF(OR($B1427="",$A1427=""),0,IF(COUNTIFS($A$5:$A1427,$A1427,$B$5:$B1427,$B1427)=1,1,0))</f>
        <v>0</v>
      </c>
    </row>
    <row r="1428" customFormat="false" ht="15" hidden="false" customHeight="false" outlineLevel="0" collapsed="false">
      <c r="A1428" s="17"/>
      <c r="B1428" s="13"/>
      <c r="C1428" s="20" t="str">
        <f aca="false">IF($B1428="","",IFERROR(INDEX(고객사!$B$5:$B$104,MATCH($B1428,고객사!$A$5:$A$104,0)),"코드 확인"))</f>
        <v/>
      </c>
      <c r="D1428" s="15"/>
      <c r="E1428" s="15"/>
      <c r="F1428" s="16"/>
      <c r="G1428" s="16"/>
      <c r="H1428" s="21" t="str">
        <f aca="false">IF(OR($B1428="",F1428=0),"",G1428/F1428)</f>
        <v/>
      </c>
      <c r="I1428" s="22" t="str">
        <f aca="false">IF($B1428="","",MAX(F1428-G1428,0))</f>
        <v/>
      </c>
      <c r="J1428" s="23" t="str">
        <f aca="false">IF($B1428="","",IFERROR(INDEX(고객사!$G$5:$G$104,MATCH($B1428,고객사!$A$5:$A$104,0)),""))</f>
        <v/>
      </c>
      <c r="K1428" s="16"/>
      <c r="L1428" s="22" t="str">
        <f aca="false">IF($B1428="","",K1428*IFERROR(INDEX(고객사!$L$5:$L$104,MATCH($B1428,고객사!$A$5:$A$104,0)),0))</f>
        <v/>
      </c>
      <c r="M1428" s="23" t="str">
        <f aca="false">IF($B1428="","",IF(AND(J1428="N",G1428&gt;0,K1428=0,IFERROR(INDEX(고객사!$H$5:$H$104,MATCH($B1428,고객사!$A$5:$A$104,0)),"")="자사 차량 운행"),"차량 미배정",""))</f>
        <v/>
      </c>
      <c r="N1428" s="22" t="str">
        <f aca="false">IF($B1428="","",IFERROR(INDEX(고객사!$J$5:$J$104,MATCH($B1428,고객사!$A$5:$A$104,0)),0))</f>
        <v/>
      </c>
      <c r="O1428" s="22" t="str">
        <f aca="false">IF($B1428="","",G1428*N1428)</f>
        <v/>
      </c>
      <c r="P1428" s="22" t="str">
        <f aca="false">IF($B1428="","",IFERROR(INDEX(고객사!$K$5:$K$104,MATCH($B1428,고객사!$A$5:$A$104,0)),0))</f>
        <v/>
      </c>
      <c r="Q1428" s="22" t="str">
        <f aca="false">IF($B1428="","",G1428*P1428)</f>
        <v/>
      </c>
      <c r="R1428" s="22" t="str">
        <f aca="false">IF($B1428="","",O1428-Q1428-L1428)</f>
        <v/>
      </c>
      <c r="S1428" s="21" t="str">
        <f aca="false">IF(OR($B1428="",N(O1428)=0),"",R1428/O1428)</f>
        <v/>
      </c>
      <c r="T1428" s="14"/>
      <c r="U1428" s="19" t="n">
        <f aca="false">IF(OR($B1428="",$A1428=""),0,IF(COUNTIFS($A$5:$A1428,$A1428,$B$5:$B1428,$B1428)=1,1,0))</f>
        <v>0</v>
      </c>
    </row>
    <row r="1429" customFormat="false" ht="15" hidden="false" customHeight="false" outlineLevel="0" collapsed="false">
      <c r="A1429" s="17"/>
      <c r="B1429" s="13"/>
      <c r="C1429" s="20" t="str">
        <f aca="false">IF($B1429="","",IFERROR(INDEX(고객사!$B$5:$B$104,MATCH($B1429,고객사!$A$5:$A$104,0)),"코드 확인"))</f>
        <v/>
      </c>
      <c r="D1429" s="15"/>
      <c r="E1429" s="15"/>
      <c r="F1429" s="16"/>
      <c r="G1429" s="16"/>
      <c r="H1429" s="21" t="str">
        <f aca="false">IF(OR($B1429="",F1429=0),"",G1429/F1429)</f>
        <v/>
      </c>
      <c r="I1429" s="22" t="str">
        <f aca="false">IF($B1429="","",MAX(F1429-G1429,0))</f>
        <v/>
      </c>
      <c r="J1429" s="23" t="str">
        <f aca="false">IF($B1429="","",IFERROR(INDEX(고객사!$G$5:$G$104,MATCH($B1429,고객사!$A$5:$A$104,0)),""))</f>
        <v/>
      </c>
      <c r="K1429" s="16"/>
      <c r="L1429" s="22" t="str">
        <f aca="false">IF($B1429="","",K1429*IFERROR(INDEX(고객사!$L$5:$L$104,MATCH($B1429,고객사!$A$5:$A$104,0)),0))</f>
        <v/>
      </c>
      <c r="M1429" s="23" t="str">
        <f aca="false">IF($B1429="","",IF(AND(J1429="N",G1429&gt;0,K1429=0,IFERROR(INDEX(고객사!$H$5:$H$104,MATCH($B1429,고객사!$A$5:$A$104,0)),"")="자사 차량 운행"),"차량 미배정",""))</f>
        <v/>
      </c>
      <c r="N1429" s="22" t="str">
        <f aca="false">IF($B1429="","",IFERROR(INDEX(고객사!$J$5:$J$104,MATCH($B1429,고객사!$A$5:$A$104,0)),0))</f>
        <v/>
      </c>
      <c r="O1429" s="22" t="str">
        <f aca="false">IF($B1429="","",G1429*N1429)</f>
        <v/>
      </c>
      <c r="P1429" s="22" t="str">
        <f aca="false">IF($B1429="","",IFERROR(INDEX(고객사!$K$5:$K$104,MATCH($B1429,고객사!$A$5:$A$104,0)),0))</f>
        <v/>
      </c>
      <c r="Q1429" s="22" t="str">
        <f aca="false">IF($B1429="","",G1429*P1429)</f>
        <v/>
      </c>
      <c r="R1429" s="22" t="str">
        <f aca="false">IF($B1429="","",O1429-Q1429-L1429)</f>
        <v/>
      </c>
      <c r="S1429" s="21" t="str">
        <f aca="false">IF(OR($B1429="",N(O1429)=0),"",R1429/O1429)</f>
        <v/>
      </c>
      <c r="T1429" s="14"/>
      <c r="U1429" s="19" t="n">
        <f aca="false">IF(OR($B1429="",$A1429=""),0,IF(COUNTIFS($A$5:$A1429,$A1429,$B$5:$B1429,$B1429)=1,1,0))</f>
        <v>0</v>
      </c>
    </row>
    <row r="1430" customFormat="false" ht="15" hidden="false" customHeight="false" outlineLevel="0" collapsed="false">
      <c r="A1430" s="17"/>
      <c r="B1430" s="13"/>
      <c r="C1430" s="20" t="str">
        <f aca="false">IF($B1430="","",IFERROR(INDEX(고객사!$B$5:$B$104,MATCH($B1430,고객사!$A$5:$A$104,0)),"코드 확인"))</f>
        <v/>
      </c>
      <c r="D1430" s="15"/>
      <c r="E1430" s="15"/>
      <c r="F1430" s="16"/>
      <c r="G1430" s="16"/>
      <c r="H1430" s="21" t="str">
        <f aca="false">IF(OR($B1430="",F1430=0),"",G1430/F1430)</f>
        <v/>
      </c>
      <c r="I1430" s="22" t="str">
        <f aca="false">IF($B1430="","",MAX(F1430-G1430,0))</f>
        <v/>
      </c>
      <c r="J1430" s="23" t="str">
        <f aca="false">IF($B1430="","",IFERROR(INDEX(고객사!$G$5:$G$104,MATCH($B1430,고객사!$A$5:$A$104,0)),""))</f>
        <v/>
      </c>
      <c r="K1430" s="16"/>
      <c r="L1430" s="22" t="str">
        <f aca="false">IF($B1430="","",K1430*IFERROR(INDEX(고객사!$L$5:$L$104,MATCH($B1430,고객사!$A$5:$A$104,0)),0))</f>
        <v/>
      </c>
      <c r="M1430" s="23" t="str">
        <f aca="false">IF($B1430="","",IF(AND(J1430="N",G1430&gt;0,K1430=0,IFERROR(INDEX(고객사!$H$5:$H$104,MATCH($B1430,고객사!$A$5:$A$104,0)),"")="자사 차량 운행"),"차량 미배정",""))</f>
        <v/>
      </c>
      <c r="N1430" s="22" t="str">
        <f aca="false">IF($B1430="","",IFERROR(INDEX(고객사!$J$5:$J$104,MATCH($B1430,고객사!$A$5:$A$104,0)),0))</f>
        <v/>
      </c>
      <c r="O1430" s="22" t="str">
        <f aca="false">IF($B1430="","",G1430*N1430)</f>
        <v/>
      </c>
      <c r="P1430" s="22" t="str">
        <f aca="false">IF($B1430="","",IFERROR(INDEX(고객사!$K$5:$K$104,MATCH($B1430,고객사!$A$5:$A$104,0)),0))</f>
        <v/>
      </c>
      <c r="Q1430" s="22" t="str">
        <f aca="false">IF($B1430="","",G1430*P1430)</f>
        <v/>
      </c>
      <c r="R1430" s="22" t="str">
        <f aca="false">IF($B1430="","",O1430-Q1430-L1430)</f>
        <v/>
      </c>
      <c r="S1430" s="21" t="str">
        <f aca="false">IF(OR($B1430="",N(O1430)=0),"",R1430/O1430)</f>
        <v/>
      </c>
      <c r="T1430" s="14"/>
      <c r="U1430" s="19" t="n">
        <f aca="false">IF(OR($B1430="",$A1430=""),0,IF(COUNTIFS($A$5:$A1430,$A1430,$B$5:$B1430,$B1430)=1,1,0))</f>
        <v>0</v>
      </c>
    </row>
    <row r="1431" customFormat="false" ht="15" hidden="false" customHeight="false" outlineLevel="0" collapsed="false">
      <c r="A1431" s="17"/>
      <c r="B1431" s="13"/>
      <c r="C1431" s="20" t="str">
        <f aca="false">IF($B1431="","",IFERROR(INDEX(고객사!$B$5:$B$104,MATCH($B1431,고객사!$A$5:$A$104,0)),"코드 확인"))</f>
        <v/>
      </c>
      <c r="D1431" s="15"/>
      <c r="E1431" s="15"/>
      <c r="F1431" s="16"/>
      <c r="G1431" s="16"/>
      <c r="H1431" s="21" t="str">
        <f aca="false">IF(OR($B1431="",F1431=0),"",G1431/F1431)</f>
        <v/>
      </c>
      <c r="I1431" s="22" t="str">
        <f aca="false">IF($B1431="","",MAX(F1431-G1431,0))</f>
        <v/>
      </c>
      <c r="J1431" s="23" t="str">
        <f aca="false">IF($B1431="","",IFERROR(INDEX(고객사!$G$5:$G$104,MATCH($B1431,고객사!$A$5:$A$104,0)),""))</f>
        <v/>
      </c>
      <c r="K1431" s="16"/>
      <c r="L1431" s="22" t="str">
        <f aca="false">IF($B1431="","",K1431*IFERROR(INDEX(고객사!$L$5:$L$104,MATCH($B1431,고객사!$A$5:$A$104,0)),0))</f>
        <v/>
      </c>
      <c r="M1431" s="23" t="str">
        <f aca="false">IF($B1431="","",IF(AND(J1431="N",G1431&gt;0,K1431=0,IFERROR(INDEX(고객사!$H$5:$H$104,MATCH($B1431,고객사!$A$5:$A$104,0)),"")="자사 차량 운행"),"차량 미배정",""))</f>
        <v/>
      </c>
      <c r="N1431" s="22" t="str">
        <f aca="false">IF($B1431="","",IFERROR(INDEX(고객사!$J$5:$J$104,MATCH($B1431,고객사!$A$5:$A$104,0)),0))</f>
        <v/>
      </c>
      <c r="O1431" s="22" t="str">
        <f aca="false">IF($B1431="","",G1431*N1431)</f>
        <v/>
      </c>
      <c r="P1431" s="22" t="str">
        <f aca="false">IF($B1431="","",IFERROR(INDEX(고객사!$K$5:$K$104,MATCH($B1431,고객사!$A$5:$A$104,0)),0))</f>
        <v/>
      </c>
      <c r="Q1431" s="22" t="str">
        <f aca="false">IF($B1431="","",G1431*P1431)</f>
        <v/>
      </c>
      <c r="R1431" s="22" t="str">
        <f aca="false">IF($B1431="","",O1431-Q1431-L1431)</f>
        <v/>
      </c>
      <c r="S1431" s="21" t="str">
        <f aca="false">IF(OR($B1431="",N(O1431)=0),"",R1431/O1431)</f>
        <v/>
      </c>
      <c r="T1431" s="14"/>
      <c r="U1431" s="19" t="n">
        <f aca="false">IF(OR($B1431="",$A1431=""),0,IF(COUNTIFS($A$5:$A1431,$A1431,$B$5:$B1431,$B1431)=1,1,0))</f>
        <v>0</v>
      </c>
    </row>
    <row r="1432" customFormat="false" ht="15" hidden="false" customHeight="false" outlineLevel="0" collapsed="false">
      <c r="A1432" s="17"/>
      <c r="B1432" s="13"/>
      <c r="C1432" s="20" t="str">
        <f aca="false">IF($B1432="","",IFERROR(INDEX(고객사!$B$5:$B$104,MATCH($B1432,고객사!$A$5:$A$104,0)),"코드 확인"))</f>
        <v/>
      </c>
      <c r="D1432" s="15"/>
      <c r="E1432" s="15"/>
      <c r="F1432" s="16"/>
      <c r="G1432" s="16"/>
      <c r="H1432" s="21" t="str">
        <f aca="false">IF(OR($B1432="",F1432=0),"",G1432/F1432)</f>
        <v/>
      </c>
      <c r="I1432" s="22" t="str">
        <f aca="false">IF($B1432="","",MAX(F1432-G1432,0))</f>
        <v/>
      </c>
      <c r="J1432" s="23" t="str">
        <f aca="false">IF($B1432="","",IFERROR(INDEX(고객사!$G$5:$G$104,MATCH($B1432,고객사!$A$5:$A$104,0)),""))</f>
        <v/>
      </c>
      <c r="K1432" s="16"/>
      <c r="L1432" s="22" t="str">
        <f aca="false">IF($B1432="","",K1432*IFERROR(INDEX(고객사!$L$5:$L$104,MATCH($B1432,고객사!$A$5:$A$104,0)),0))</f>
        <v/>
      </c>
      <c r="M1432" s="23" t="str">
        <f aca="false">IF($B1432="","",IF(AND(J1432="N",G1432&gt;0,K1432=0,IFERROR(INDEX(고객사!$H$5:$H$104,MATCH($B1432,고객사!$A$5:$A$104,0)),"")="자사 차량 운행"),"차량 미배정",""))</f>
        <v/>
      </c>
      <c r="N1432" s="22" t="str">
        <f aca="false">IF($B1432="","",IFERROR(INDEX(고객사!$J$5:$J$104,MATCH($B1432,고객사!$A$5:$A$104,0)),0))</f>
        <v/>
      </c>
      <c r="O1432" s="22" t="str">
        <f aca="false">IF($B1432="","",G1432*N1432)</f>
        <v/>
      </c>
      <c r="P1432" s="22" t="str">
        <f aca="false">IF($B1432="","",IFERROR(INDEX(고객사!$K$5:$K$104,MATCH($B1432,고객사!$A$5:$A$104,0)),0))</f>
        <v/>
      </c>
      <c r="Q1432" s="22" t="str">
        <f aca="false">IF($B1432="","",G1432*P1432)</f>
        <v/>
      </c>
      <c r="R1432" s="22" t="str">
        <f aca="false">IF($B1432="","",O1432-Q1432-L1432)</f>
        <v/>
      </c>
      <c r="S1432" s="21" t="str">
        <f aca="false">IF(OR($B1432="",N(O1432)=0),"",R1432/O1432)</f>
        <v/>
      </c>
      <c r="T1432" s="14"/>
      <c r="U1432" s="19" t="n">
        <f aca="false">IF(OR($B1432="",$A1432=""),0,IF(COUNTIFS($A$5:$A1432,$A1432,$B$5:$B1432,$B1432)=1,1,0))</f>
        <v>0</v>
      </c>
    </row>
    <row r="1433" customFormat="false" ht="15" hidden="false" customHeight="false" outlineLevel="0" collapsed="false">
      <c r="A1433" s="17"/>
      <c r="B1433" s="13"/>
      <c r="C1433" s="20" t="str">
        <f aca="false">IF($B1433="","",IFERROR(INDEX(고객사!$B$5:$B$104,MATCH($B1433,고객사!$A$5:$A$104,0)),"코드 확인"))</f>
        <v/>
      </c>
      <c r="D1433" s="15"/>
      <c r="E1433" s="15"/>
      <c r="F1433" s="16"/>
      <c r="G1433" s="16"/>
      <c r="H1433" s="21" t="str">
        <f aca="false">IF(OR($B1433="",F1433=0),"",G1433/F1433)</f>
        <v/>
      </c>
      <c r="I1433" s="22" t="str">
        <f aca="false">IF($B1433="","",MAX(F1433-G1433,0))</f>
        <v/>
      </c>
      <c r="J1433" s="23" t="str">
        <f aca="false">IF($B1433="","",IFERROR(INDEX(고객사!$G$5:$G$104,MATCH($B1433,고객사!$A$5:$A$104,0)),""))</f>
        <v/>
      </c>
      <c r="K1433" s="16"/>
      <c r="L1433" s="22" t="str">
        <f aca="false">IF($B1433="","",K1433*IFERROR(INDEX(고객사!$L$5:$L$104,MATCH($B1433,고객사!$A$5:$A$104,0)),0))</f>
        <v/>
      </c>
      <c r="M1433" s="23" t="str">
        <f aca="false">IF($B1433="","",IF(AND(J1433="N",G1433&gt;0,K1433=0,IFERROR(INDEX(고객사!$H$5:$H$104,MATCH($B1433,고객사!$A$5:$A$104,0)),"")="자사 차량 운행"),"차량 미배정",""))</f>
        <v/>
      </c>
      <c r="N1433" s="22" t="str">
        <f aca="false">IF($B1433="","",IFERROR(INDEX(고객사!$J$5:$J$104,MATCH($B1433,고객사!$A$5:$A$104,0)),0))</f>
        <v/>
      </c>
      <c r="O1433" s="22" t="str">
        <f aca="false">IF($B1433="","",G1433*N1433)</f>
        <v/>
      </c>
      <c r="P1433" s="22" t="str">
        <f aca="false">IF($B1433="","",IFERROR(INDEX(고객사!$K$5:$K$104,MATCH($B1433,고객사!$A$5:$A$104,0)),0))</f>
        <v/>
      </c>
      <c r="Q1433" s="22" t="str">
        <f aca="false">IF($B1433="","",G1433*P1433)</f>
        <v/>
      </c>
      <c r="R1433" s="22" t="str">
        <f aca="false">IF($B1433="","",O1433-Q1433-L1433)</f>
        <v/>
      </c>
      <c r="S1433" s="21" t="str">
        <f aca="false">IF(OR($B1433="",N(O1433)=0),"",R1433/O1433)</f>
        <v/>
      </c>
      <c r="T1433" s="14"/>
      <c r="U1433" s="19" t="n">
        <f aca="false">IF(OR($B1433="",$A1433=""),0,IF(COUNTIFS($A$5:$A1433,$A1433,$B$5:$B1433,$B1433)=1,1,0))</f>
        <v>0</v>
      </c>
    </row>
    <row r="1434" customFormat="false" ht="15" hidden="false" customHeight="false" outlineLevel="0" collapsed="false">
      <c r="A1434" s="17"/>
      <c r="B1434" s="13"/>
      <c r="C1434" s="20" t="str">
        <f aca="false">IF($B1434="","",IFERROR(INDEX(고객사!$B$5:$B$104,MATCH($B1434,고객사!$A$5:$A$104,0)),"코드 확인"))</f>
        <v/>
      </c>
      <c r="D1434" s="15"/>
      <c r="E1434" s="15"/>
      <c r="F1434" s="16"/>
      <c r="G1434" s="16"/>
      <c r="H1434" s="21" t="str">
        <f aca="false">IF(OR($B1434="",F1434=0),"",G1434/F1434)</f>
        <v/>
      </c>
      <c r="I1434" s="22" t="str">
        <f aca="false">IF($B1434="","",MAX(F1434-G1434,0))</f>
        <v/>
      </c>
      <c r="J1434" s="23" t="str">
        <f aca="false">IF($B1434="","",IFERROR(INDEX(고객사!$G$5:$G$104,MATCH($B1434,고객사!$A$5:$A$104,0)),""))</f>
        <v/>
      </c>
      <c r="K1434" s="16"/>
      <c r="L1434" s="22" t="str">
        <f aca="false">IF($B1434="","",K1434*IFERROR(INDEX(고객사!$L$5:$L$104,MATCH($B1434,고객사!$A$5:$A$104,0)),0))</f>
        <v/>
      </c>
      <c r="M1434" s="23" t="str">
        <f aca="false">IF($B1434="","",IF(AND(J1434="N",G1434&gt;0,K1434=0,IFERROR(INDEX(고객사!$H$5:$H$104,MATCH($B1434,고객사!$A$5:$A$104,0)),"")="자사 차량 운행"),"차량 미배정",""))</f>
        <v/>
      </c>
      <c r="N1434" s="22" t="str">
        <f aca="false">IF($B1434="","",IFERROR(INDEX(고객사!$J$5:$J$104,MATCH($B1434,고객사!$A$5:$A$104,0)),0))</f>
        <v/>
      </c>
      <c r="O1434" s="22" t="str">
        <f aca="false">IF($B1434="","",G1434*N1434)</f>
        <v/>
      </c>
      <c r="P1434" s="22" t="str">
        <f aca="false">IF($B1434="","",IFERROR(INDEX(고객사!$K$5:$K$104,MATCH($B1434,고객사!$A$5:$A$104,0)),0))</f>
        <v/>
      </c>
      <c r="Q1434" s="22" t="str">
        <f aca="false">IF($B1434="","",G1434*P1434)</f>
        <v/>
      </c>
      <c r="R1434" s="22" t="str">
        <f aca="false">IF($B1434="","",O1434-Q1434-L1434)</f>
        <v/>
      </c>
      <c r="S1434" s="21" t="str">
        <f aca="false">IF(OR($B1434="",N(O1434)=0),"",R1434/O1434)</f>
        <v/>
      </c>
      <c r="T1434" s="14"/>
      <c r="U1434" s="19" t="n">
        <f aca="false">IF(OR($B1434="",$A1434=""),0,IF(COUNTIFS($A$5:$A1434,$A1434,$B$5:$B1434,$B1434)=1,1,0))</f>
        <v>0</v>
      </c>
    </row>
    <row r="1435" customFormat="false" ht="15" hidden="false" customHeight="false" outlineLevel="0" collapsed="false">
      <c r="A1435" s="17"/>
      <c r="B1435" s="13"/>
      <c r="C1435" s="20" t="str">
        <f aca="false">IF($B1435="","",IFERROR(INDEX(고객사!$B$5:$B$104,MATCH($B1435,고객사!$A$5:$A$104,0)),"코드 확인"))</f>
        <v/>
      </c>
      <c r="D1435" s="15"/>
      <c r="E1435" s="15"/>
      <c r="F1435" s="16"/>
      <c r="G1435" s="16"/>
      <c r="H1435" s="21" t="str">
        <f aca="false">IF(OR($B1435="",F1435=0),"",G1435/F1435)</f>
        <v/>
      </c>
      <c r="I1435" s="22" t="str">
        <f aca="false">IF($B1435="","",MAX(F1435-G1435,0))</f>
        <v/>
      </c>
      <c r="J1435" s="23" t="str">
        <f aca="false">IF($B1435="","",IFERROR(INDEX(고객사!$G$5:$G$104,MATCH($B1435,고객사!$A$5:$A$104,0)),""))</f>
        <v/>
      </c>
      <c r="K1435" s="16"/>
      <c r="L1435" s="22" t="str">
        <f aca="false">IF($B1435="","",K1435*IFERROR(INDEX(고객사!$L$5:$L$104,MATCH($B1435,고객사!$A$5:$A$104,0)),0))</f>
        <v/>
      </c>
      <c r="M1435" s="23" t="str">
        <f aca="false">IF($B1435="","",IF(AND(J1435="N",G1435&gt;0,K1435=0,IFERROR(INDEX(고객사!$H$5:$H$104,MATCH($B1435,고객사!$A$5:$A$104,0)),"")="자사 차량 운행"),"차량 미배정",""))</f>
        <v/>
      </c>
      <c r="N1435" s="22" t="str">
        <f aca="false">IF($B1435="","",IFERROR(INDEX(고객사!$J$5:$J$104,MATCH($B1435,고객사!$A$5:$A$104,0)),0))</f>
        <v/>
      </c>
      <c r="O1435" s="22" t="str">
        <f aca="false">IF($B1435="","",G1435*N1435)</f>
        <v/>
      </c>
      <c r="P1435" s="22" t="str">
        <f aca="false">IF($B1435="","",IFERROR(INDEX(고객사!$K$5:$K$104,MATCH($B1435,고객사!$A$5:$A$104,0)),0))</f>
        <v/>
      </c>
      <c r="Q1435" s="22" t="str">
        <f aca="false">IF($B1435="","",G1435*P1435)</f>
        <v/>
      </c>
      <c r="R1435" s="22" t="str">
        <f aca="false">IF($B1435="","",O1435-Q1435-L1435)</f>
        <v/>
      </c>
      <c r="S1435" s="21" t="str">
        <f aca="false">IF(OR($B1435="",N(O1435)=0),"",R1435/O1435)</f>
        <v/>
      </c>
      <c r="T1435" s="14"/>
      <c r="U1435" s="19" t="n">
        <f aca="false">IF(OR($B1435="",$A1435=""),0,IF(COUNTIFS($A$5:$A1435,$A1435,$B$5:$B1435,$B1435)=1,1,0))</f>
        <v>0</v>
      </c>
    </row>
    <row r="1436" customFormat="false" ht="15" hidden="false" customHeight="false" outlineLevel="0" collapsed="false">
      <c r="A1436" s="17"/>
      <c r="B1436" s="13"/>
      <c r="C1436" s="20" t="str">
        <f aca="false">IF($B1436="","",IFERROR(INDEX(고객사!$B$5:$B$104,MATCH($B1436,고객사!$A$5:$A$104,0)),"코드 확인"))</f>
        <v/>
      </c>
      <c r="D1436" s="15"/>
      <c r="E1436" s="15"/>
      <c r="F1436" s="16"/>
      <c r="G1436" s="16"/>
      <c r="H1436" s="21" t="str">
        <f aca="false">IF(OR($B1436="",F1436=0),"",G1436/F1436)</f>
        <v/>
      </c>
      <c r="I1436" s="22" t="str">
        <f aca="false">IF($B1436="","",MAX(F1436-G1436,0))</f>
        <v/>
      </c>
      <c r="J1436" s="23" t="str">
        <f aca="false">IF($B1436="","",IFERROR(INDEX(고객사!$G$5:$G$104,MATCH($B1436,고객사!$A$5:$A$104,0)),""))</f>
        <v/>
      </c>
      <c r="K1436" s="16"/>
      <c r="L1436" s="22" t="str">
        <f aca="false">IF($B1436="","",K1436*IFERROR(INDEX(고객사!$L$5:$L$104,MATCH($B1436,고객사!$A$5:$A$104,0)),0))</f>
        <v/>
      </c>
      <c r="M1436" s="23" t="str">
        <f aca="false">IF($B1436="","",IF(AND(J1436="N",G1436&gt;0,K1436=0,IFERROR(INDEX(고객사!$H$5:$H$104,MATCH($B1436,고객사!$A$5:$A$104,0)),"")="자사 차량 운행"),"차량 미배정",""))</f>
        <v/>
      </c>
      <c r="N1436" s="22" t="str">
        <f aca="false">IF($B1436="","",IFERROR(INDEX(고객사!$J$5:$J$104,MATCH($B1436,고객사!$A$5:$A$104,0)),0))</f>
        <v/>
      </c>
      <c r="O1436" s="22" t="str">
        <f aca="false">IF($B1436="","",G1436*N1436)</f>
        <v/>
      </c>
      <c r="P1436" s="22" t="str">
        <f aca="false">IF($B1436="","",IFERROR(INDEX(고객사!$K$5:$K$104,MATCH($B1436,고객사!$A$5:$A$104,0)),0))</f>
        <v/>
      </c>
      <c r="Q1436" s="22" t="str">
        <f aca="false">IF($B1436="","",G1436*P1436)</f>
        <v/>
      </c>
      <c r="R1436" s="22" t="str">
        <f aca="false">IF($B1436="","",O1436-Q1436-L1436)</f>
        <v/>
      </c>
      <c r="S1436" s="21" t="str">
        <f aca="false">IF(OR($B1436="",N(O1436)=0),"",R1436/O1436)</f>
        <v/>
      </c>
      <c r="T1436" s="14"/>
      <c r="U1436" s="19" t="n">
        <f aca="false">IF(OR($B1436="",$A1436=""),0,IF(COUNTIFS($A$5:$A1436,$A1436,$B$5:$B1436,$B1436)=1,1,0))</f>
        <v>0</v>
      </c>
    </row>
    <row r="1437" customFormat="false" ht="15" hidden="false" customHeight="false" outlineLevel="0" collapsed="false">
      <c r="A1437" s="17"/>
      <c r="B1437" s="13"/>
      <c r="C1437" s="20" t="str">
        <f aca="false">IF($B1437="","",IFERROR(INDEX(고객사!$B$5:$B$104,MATCH($B1437,고객사!$A$5:$A$104,0)),"코드 확인"))</f>
        <v/>
      </c>
      <c r="D1437" s="15"/>
      <c r="E1437" s="15"/>
      <c r="F1437" s="16"/>
      <c r="G1437" s="16"/>
      <c r="H1437" s="21" t="str">
        <f aca="false">IF(OR($B1437="",F1437=0),"",G1437/F1437)</f>
        <v/>
      </c>
      <c r="I1437" s="22" t="str">
        <f aca="false">IF($B1437="","",MAX(F1437-G1437,0))</f>
        <v/>
      </c>
      <c r="J1437" s="23" t="str">
        <f aca="false">IF($B1437="","",IFERROR(INDEX(고객사!$G$5:$G$104,MATCH($B1437,고객사!$A$5:$A$104,0)),""))</f>
        <v/>
      </c>
      <c r="K1437" s="16"/>
      <c r="L1437" s="22" t="str">
        <f aca="false">IF($B1437="","",K1437*IFERROR(INDEX(고객사!$L$5:$L$104,MATCH($B1437,고객사!$A$5:$A$104,0)),0))</f>
        <v/>
      </c>
      <c r="M1437" s="23" t="str">
        <f aca="false">IF($B1437="","",IF(AND(J1437="N",G1437&gt;0,K1437=0,IFERROR(INDEX(고객사!$H$5:$H$104,MATCH($B1437,고객사!$A$5:$A$104,0)),"")="자사 차량 운행"),"차량 미배정",""))</f>
        <v/>
      </c>
      <c r="N1437" s="22" t="str">
        <f aca="false">IF($B1437="","",IFERROR(INDEX(고객사!$J$5:$J$104,MATCH($B1437,고객사!$A$5:$A$104,0)),0))</f>
        <v/>
      </c>
      <c r="O1437" s="22" t="str">
        <f aca="false">IF($B1437="","",G1437*N1437)</f>
        <v/>
      </c>
      <c r="P1437" s="22" t="str">
        <f aca="false">IF($B1437="","",IFERROR(INDEX(고객사!$K$5:$K$104,MATCH($B1437,고객사!$A$5:$A$104,0)),0))</f>
        <v/>
      </c>
      <c r="Q1437" s="22" t="str">
        <f aca="false">IF($B1437="","",G1437*P1437)</f>
        <v/>
      </c>
      <c r="R1437" s="22" t="str">
        <f aca="false">IF($B1437="","",O1437-Q1437-L1437)</f>
        <v/>
      </c>
      <c r="S1437" s="21" t="str">
        <f aca="false">IF(OR($B1437="",N(O1437)=0),"",R1437/O1437)</f>
        <v/>
      </c>
      <c r="T1437" s="14"/>
      <c r="U1437" s="19" t="n">
        <f aca="false">IF(OR($B1437="",$A1437=""),0,IF(COUNTIFS($A$5:$A1437,$A1437,$B$5:$B1437,$B1437)=1,1,0))</f>
        <v>0</v>
      </c>
    </row>
    <row r="1438" customFormat="false" ht="15" hidden="false" customHeight="false" outlineLevel="0" collapsed="false">
      <c r="A1438" s="17"/>
      <c r="B1438" s="13"/>
      <c r="C1438" s="20" t="str">
        <f aca="false">IF($B1438="","",IFERROR(INDEX(고객사!$B$5:$B$104,MATCH($B1438,고객사!$A$5:$A$104,0)),"코드 확인"))</f>
        <v/>
      </c>
      <c r="D1438" s="15"/>
      <c r="E1438" s="15"/>
      <c r="F1438" s="16"/>
      <c r="G1438" s="16"/>
      <c r="H1438" s="21" t="str">
        <f aca="false">IF(OR($B1438="",F1438=0),"",G1438/F1438)</f>
        <v/>
      </c>
      <c r="I1438" s="22" t="str">
        <f aca="false">IF($B1438="","",MAX(F1438-G1438,0))</f>
        <v/>
      </c>
      <c r="J1438" s="23" t="str">
        <f aca="false">IF($B1438="","",IFERROR(INDEX(고객사!$G$5:$G$104,MATCH($B1438,고객사!$A$5:$A$104,0)),""))</f>
        <v/>
      </c>
      <c r="K1438" s="16"/>
      <c r="L1438" s="22" t="str">
        <f aca="false">IF($B1438="","",K1438*IFERROR(INDEX(고객사!$L$5:$L$104,MATCH($B1438,고객사!$A$5:$A$104,0)),0))</f>
        <v/>
      </c>
      <c r="M1438" s="23" t="str">
        <f aca="false">IF($B1438="","",IF(AND(J1438="N",G1438&gt;0,K1438=0,IFERROR(INDEX(고객사!$H$5:$H$104,MATCH($B1438,고객사!$A$5:$A$104,0)),"")="자사 차량 운행"),"차량 미배정",""))</f>
        <v/>
      </c>
      <c r="N1438" s="22" t="str">
        <f aca="false">IF($B1438="","",IFERROR(INDEX(고객사!$J$5:$J$104,MATCH($B1438,고객사!$A$5:$A$104,0)),0))</f>
        <v/>
      </c>
      <c r="O1438" s="22" t="str">
        <f aca="false">IF($B1438="","",G1438*N1438)</f>
        <v/>
      </c>
      <c r="P1438" s="22" t="str">
        <f aca="false">IF($B1438="","",IFERROR(INDEX(고객사!$K$5:$K$104,MATCH($B1438,고객사!$A$5:$A$104,0)),0))</f>
        <v/>
      </c>
      <c r="Q1438" s="22" t="str">
        <f aca="false">IF($B1438="","",G1438*P1438)</f>
        <v/>
      </c>
      <c r="R1438" s="22" t="str">
        <f aca="false">IF($B1438="","",O1438-Q1438-L1438)</f>
        <v/>
      </c>
      <c r="S1438" s="21" t="str">
        <f aca="false">IF(OR($B1438="",N(O1438)=0),"",R1438/O1438)</f>
        <v/>
      </c>
      <c r="T1438" s="14"/>
      <c r="U1438" s="19" t="n">
        <f aca="false">IF(OR($B1438="",$A1438=""),0,IF(COUNTIFS($A$5:$A1438,$A1438,$B$5:$B1438,$B1438)=1,1,0))</f>
        <v>0</v>
      </c>
    </row>
    <row r="1439" customFormat="false" ht="15" hidden="false" customHeight="false" outlineLevel="0" collapsed="false">
      <c r="A1439" s="17"/>
      <c r="B1439" s="13"/>
      <c r="C1439" s="20" t="str">
        <f aca="false">IF($B1439="","",IFERROR(INDEX(고객사!$B$5:$B$104,MATCH($B1439,고객사!$A$5:$A$104,0)),"코드 확인"))</f>
        <v/>
      </c>
      <c r="D1439" s="15"/>
      <c r="E1439" s="15"/>
      <c r="F1439" s="16"/>
      <c r="G1439" s="16"/>
      <c r="H1439" s="21" t="str">
        <f aca="false">IF(OR($B1439="",F1439=0),"",G1439/F1439)</f>
        <v/>
      </c>
      <c r="I1439" s="22" t="str">
        <f aca="false">IF($B1439="","",MAX(F1439-G1439,0))</f>
        <v/>
      </c>
      <c r="J1439" s="23" t="str">
        <f aca="false">IF($B1439="","",IFERROR(INDEX(고객사!$G$5:$G$104,MATCH($B1439,고객사!$A$5:$A$104,0)),""))</f>
        <v/>
      </c>
      <c r="K1439" s="16"/>
      <c r="L1439" s="22" t="str">
        <f aca="false">IF($B1439="","",K1439*IFERROR(INDEX(고객사!$L$5:$L$104,MATCH($B1439,고객사!$A$5:$A$104,0)),0))</f>
        <v/>
      </c>
      <c r="M1439" s="23" t="str">
        <f aca="false">IF($B1439="","",IF(AND(J1439="N",G1439&gt;0,K1439=0,IFERROR(INDEX(고객사!$H$5:$H$104,MATCH($B1439,고객사!$A$5:$A$104,0)),"")="자사 차량 운행"),"차량 미배정",""))</f>
        <v/>
      </c>
      <c r="N1439" s="22" t="str">
        <f aca="false">IF($B1439="","",IFERROR(INDEX(고객사!$J$5:$J$104,MATCH($B1439,고객사!$A$5:$A$104,0)),0))</f>
        <v/>
      </c>
      <c r="O1439" s="22" t="str">
        <f aca="false">IF($B1439="","",G1439*N1439)</f>
        <v/>
      </c>
      <c r="P1439" s="22" t="str">
        <f aca="false">IF($B1439="","",IFERROR(INDEX(고객사!$K$5:$K$104,MATCH($B1439,고객사!$A$5:$A$104,0)),0))</f>
        <v/>
      </c>
      <c r="Q1439" s="22" t="str">
        <f aca="false">IF($B1439="","",G1439*P1439)</f>
        <v/>
      </c>
      <c r="R1439" s="22" t="str">
        <f aca="false">IF($B1439="","",O1439-Q1439-L1439)</f>
        <v/>
      </c>
      <c r="S1439" s="21" t="str">
        <f aca="false">IF(OR($B1439="",N(O1439)=0),"",R1439/O1439)</f>
        <v/>
      </c>
      <c r="T1439" s="14"/>
      <c r="U1439" s="19" t="n">
        <f aca="false">IF(OR($B1439="",$A1439=""),0,IF(COUNTIFS($A$5:$A1439,$A1439,$B$5:$B1439,$B1439)=1,1,0))</f>
        <v>0</v>
      </c>
    </row>
    <row r="1440" customFormat="false" ht="15" hidden="false" customHeight="false" outlineLevel="0" collapsed="false">
      <c r="A1440" s="17"/>
      <c r="B1440" s="13"/>
      <c r="C1440" s="20" t="str">
        <f aca="false">IF($B1440="","",IFERROR(INDEX(고객사!$B$5:$B$104,MATCH($B1440,고객사!$A$5:$A$104,0)),"코드 확인"))</f>
        <v/>
      </c>
      <c r="D1440" s="15"/>
      <c r="E1440" s="15"/>
      <c r="F1440" s="16"/>
      <c r="G1440" s="16"/>
      <c r="H1440" s="21" t="str">
        <f aca="false">IF(OR($B1440="",F1440=0),"",G1440/F1440)</f>
        <v/>
      </c>
      <c r="I1440" s="22" t="str">
        <f aca="false">IF($B1440="","",MAX(F1440-G1440,0))</f>
        <v/>
      </c>
      <c r="J1440" s="23" t="str">
        <f aca="false">IF($B1440="","",IFERROR(INDEX(고객사!$G$5:$G$104,MATCH($B1440,고객사!$A$5:$A$104,0)),""))</f>
        <v/>
      </c>
      <c r="K1440" s="16"/>
      <c r="L1440" s="22" t="str">
        <f aca="false">IF($B1440="","",K1440*IFERROR(INDEX(고객사!$L$5:$L$104,MATCH($B1440,고객사!$A$5:$A$104,0)),0))</f>
        <v/>
      </c>
      <c r="M1440" s="23" t="str">
        <f aca="false">IF($B1440="","",IF(AND(J1440="N",G1440&gt;0,K1440=0,IFERROR(INDEX(고객사!$H$5:$H$104,MATCH($B1440,고객사!$A$5:$A$104,0)),"")="자사 차량 운행"),"차량 미배정",""))</f>
        <v/>
      </c>
      <c r="N1440" s="22" t="str">
        <f aca="false">IF($B1440="","",IFERROR(INDEX(고객사!$J$5:$J$104,MATCH($B1440,고객사!$A$5:$A$104,0)),0))</f>
        <v/>
      </c>
      <c r="O1440" s="22" t="str">
        <f aca="false">IF($B1440="","",G1440*N1440)</f>
        <v/>
      </c>
      <c r="P1440" s="22" t="str">
        <f aca="false">IF($B1440="","",IFERROR(INDEX(고객사!$K$5:$K$104,MATCH($B1440,고객사!$A$5:$A$104,0)),0))</f>
        <v/>
      </c>
      <c r="Q1440" s="22" t="str">
        <f aca="false">IF($B1440="","",G1440*P1440)</f>
        <v/>
      </c>
      <c r="R1440" s="22" t="str">
        <f aca="false">IF($B1440="","",O1440-Q1440-L1440)</f>
        <v/>
      </c>
      <c r="S1440" s="21" t="str">
        <f aca="false">IF(OR($B1440="",N(O1440)=0),"",R1440/O1440)</f>
        <v/>
      </c>
      <c r="T1440" s="14"/>
      <c r="U1440" s="19" t="n">
        <f aca="false">IF(OR($B1440="",$A1440=""),0,IF(COUNTIFS($A$5:$A1440,$A1440,$B$5:$B1440,$B1440)=1,1,0))</f>
        <v>0</v>
      </c>
    </row>
    <row r="1441" customFormat="false" ht="15" hidden="false" customHeight="false" outlineLevel="0" collapsed="false">
      <c r="A1441" s="17"/>
      <c r="B1441" s="13"/>
      <c r="C1441" s="20" t="str">
        <f aca="false">IF($B1441="","",IFERROR(INDEX(고객사!$B$5:$B$104,MATCH($B1441,고객사!$A$5:$A$104,0)),"코드 확인"))</f>
        <v/>
      </c>
      <c r="D1441" s="15"/>
      <c r="E1441" s="15"/>
      <c r="F1441" s="16"/>
      <c r="G1441" s="16"/>
      <c r="H1441" s="21" t="str">
        <f aca="false">IF(OR($B1441="",F1441=0),"",G1441/F1441)</f>
        <v/>
      </c>
      <c r="I1441" s="22" t="str">
        <f aca="false">IF($B1441="","",MAX(F1441-G1441,0))</f>
        <v/>
      </c>
      <c r="J1441" s="23" t="str">
        <f aca="false">IF($B1441="","",IFERROR(INDEX(고객사!$G$5:$G$104,MATCH($B1441,고객사!$A$5:$A$104,0)),""))</f>
        <v/>
      </c>
      <c r="K1441" s="16"/>
      <c r="L1441" s="22" t="str">
        <f aca="false">IF($B1441="","",K1441*IFERROR(INDEX(고객사!$L$5:$L$104,MATCH($B1441,고객사!$A$5:$A$104,0)),0))</f>
        <v/>
      </c>
      <c r="M1441" s="23" t="str">
        <f aca="false">IF($B1441="","",IF(AND(J1441="N",G1441&gt;0,K1441=0,IFERROR(INDEX(고객사!$H$5:$H$104,MATCH($B1441,고객사!$A$5:$A$104,0)),"")="자사 차량 운행"),"차량 미배정",""))</f>
        <v/>
      </c>
      <c r="N1441" s="22" t="str">
        <f aca="false">IF($B1441="","",IFERROR(INDEX(고객사!$J$5:$J$104,MATCH($B1441,고객사!$A$5:$A$104,0)),0))</f>
        <v/>
      </c>
      <c r="O1441" s="22" t="str">
        <f aca="false">IF($B1441="","",G1441*N1441)</f>
        <v/>
      </c>
      <c r="P1441" s="22" t="str">
        <f aca="false">IF($B1441="","",IFERROR(INDEX(고객사!$K$5:$K$104,MATCH($B1441,고객사!$A$5:$A$104,0)),0))</f>
        <v/>
      </c>
      <c r="Q1441" s="22" t="str">
        <f aca="false">IF($B1441="","",G1441*P1441)</f>
        <v/>
      </c>
      <c r="R1441" s="22" t="str">
        <f aca="false">IF($B1441="","",O1441-Q1441-L1441)</f>
        <v/>
      </c>
      <c r="S1441" s="21" t="str">
        <f aca="false">IF(OR($B1441="",N(O1441)=0),"",R1441/O1441)</f>
        <v/>
      </c>
      <c r="T1441" s="14"/>
      <c r="U1441" s="19" t="n">
        <f aca="false">IF(OR($B1441="",$A1441=""),0,IF(COUNTIFS($A$5:$A1441,$A1441,$B$5:$B1441,$B1441)=1,1,0))</f>
        <v>0</v>
      </c>
    </row>
    <row r="1442" customFormat="false" ht="15" hidden="false" customHeight="false" outlineLevel="0" collapsed="false">
      <c r="A1442" s="17"/>
      <c r="B1442" s="13"/>
      <c r="C1442" s="20" t="str">
        <f aca="false">IF($B1442="","",IFERROR(INDEX(고객사!$B$5:$B$104,MATCH($B1442,고객사!$A$5:$A$104,0)),"코드 확인"))</f>
        <v/>
      </c>
      <c r="D1442" s="15"/>
      <c r="E1442" s="15"/>
      <c r="F1442" s="16"/>
      <c r="G1442" s="16"/>
      <c r="H1442" s="21" t="str">
        <f aca="false">IF(OR($B1442="",F1442=0),"",G1442/F1442)</f>
        <v/>
      </c>
      <c r="I1442" s="22" t="str">
        <f aca="false">IF($B1442="","",MAX(F1442-G1442,0))</f>
        <v/>
      </c>
      <c r="J1442" s="23" t="str">
        <f aca="false">IF($B1442="","",IFERROR(INDEX(고객사!$G$5:$G$104,MATCH($B1442,고객사!$A$5:$A$104,0)),""))</f>
        <v/>
      </c>
      <c r="K1442" s="16"/>
      <c r="L1442" s="22" t="str">
        <f aca="false">IF($B1442="","",K1442*IFERROR(INDEX(고객사!$L$5:$L$104,MATCH($B1442,고객사!$A$5:$A$104,0)),0))</f>
        <v/>
      </c>
      <c r="M1442" s="23" t="str">
        <f aca="false">IF($B1442="","",IF(AND(J1442="N",G1442&gt;0,K1442=0,IFERROR(INDEX(고객사!$H$5:$H$104,MATCH($B1442,고객사!$A$5:$A$104,0)),"")="자사 차량 운행"),"차량 미배정",""))</f>
        <v/>
      </c>
      <c r="N1442" s="22" t="str">
        <f aca="false">IF($B1442="","",IFERROR(INDEX(고객사!$J$5:$J$104,MATCH($B1442,고객사!$A$5:$A$104,0)),0))</f>
        <v/>
      </c>
      <c r="O1442" s="22" t="str">
        <f aca="false">IF($B1442="","",G1442*N1442)</f>
        <v/>
      </c>
      <c r="P1442" s="22" t="str">
        <f aca="false">IF($B1442="","",IFERROR(INDEX(고객사!$K$5:$K$104,MATCH($B1442,고객사!$A$5:$A$104,0)),0))</f>
        <v/>
      </c>
      <c r="Q1442" s="22" t="str">
        <f aca="false">IF($B1442="","",G1442*P1442)</f>
        <v/>
      </c>
      <c r="R1442" s="22" t="str">
        <f aca="false">IF($B1442="","",O1442-Q1442-L1442)</f>
        <v/>
      </c>
      <c r="S1442" s="21" t="str">
        <f aca="false">IF(OR($B1442="",N(O1442)=0),"",R1442/O1442)</f>
        <v/>
      </c>
      <c r="T1442" s="14"/>
      <c r="U1442" s="19" t="n">
        <f aca="false">IF(OR($B1442="",$A1442=""),0,IF(COUNTIFS($A$5:$A1442,$A1442,$B$5:$B1442,$B1442)=1,1,0))</f>
        <v>0</v>
      </c>
    </row>
    <row r="1443" customFormat="false" ht="15" hidden="false" customHeight="false" outlineLevel="0" collapsed="false">
      <c r="A1443" s="17"/>
      <c r="B1443" s="13"/>
      <c r="C1443" s="20" t="str">
        <f aca="false">IF($B1443="","",IFERROR(INDEX(고객사!$B$5:$B$104,MATCH($B1443,고객사!$A$5:$A$104,0)),"코드 확인"))</f>
        <v/>
      </c>
      <c r="D1443" s="15"/>
      <c r="E1443" s="15"/>
      <c r="F1443" s="16"/>
      <c r="G1443" s="16"/>
      <c r="H1443" s="21" t="str">
        <f aca="false">IF(OR($B1443="",F1443=0),"",G1443/F1443)</f>
        <v/>
      </c>
      <c r="I1443" s="22" t="str">
        <f aca="false">IF($B1443="","",MAX(F1443-G1443,0))</f>
        <v/>
      </c>
      <c r="J1443" s="23" t="str">
        <f aca="false">IF($B1443="","",IFERROR(INDEX(고객사!$G$5:$G$104,MATCH($B1443,고객사!$A$5:$A$104,0)),""))</f>
        <v/>
      </c>
      <c r="K1443" s="16"/>
      <c r="L1443" s="22" t="str">
        <f aca="false">IF($B1443="","",K1443*IFERROR(INDEX(고객사!$L$5:$L$104,MATCH($B1443,고객사!$A$5:$A$104,0)),0))</f>
        <v/>
      </c>
      <c r="M1443" s="23" t="str">
        <f aca="false">IF($B1443="","",IF(AND(J1443="N",G1443&gt;0,K1443=0,IFERROR(INDEX(고객사!$H$5:$H$104,MATCH($B1443,고객사!$A$5:$A$104,0)),"")="자사 차량 운행"),"차량 미배정",""))</f>
        <v/>
      </c>
      <c r="N1443" s="22" t="str">
        <f aca="false">IF($B1443="","",IFERROR(INDEX(고객사!$J$5:$J$104,MATCH($B1443,고객사!$A$5:$A$104,0)),0))</f>
        <v/>
      </c>
      <c r="O1443" s="22" t="str">
        <f aca="false">IF($B1443="","",G1443*N1443)</f>
        <v/>
      </c>
      <c r="P1443" s="22" t="str">
        <f aca="false">IF($B1443="","",IFERROR(INDEX(고객사!$K$5:$K$104,MATCH($B1443,고객사!$A$5:$A$104,0)),0))</f>
        <v/>
      </c>
      <c r="Q1443" s="22" t="str">
        <f aca="false">IF($B1443="","",G1443*P1443)</f>
        <v/>
      </c>
      <c r="R1443" s="22" t="str">
        <f aca="false">IF($B1443="","",O1443-Q1443-L1443)</f>
        <v/>
      </c>
      <c r="S1443" s="21" t="str">
        <f aca="false">IF(OR($B1443="",N(O1443)=0),"",R1443/O1443)</f>
        <v/>
      </c>
      <c r="T1443" s="14"/>
      <c r="U1443" s="19" t="n">
        <f aca="false">IF(OR($B1443="",$A1443=""),0,IF(COUNTIFS($A$5:$A1443,$A1443,$B$5:$B1443,$B1443)=1,1,0))</f>
        <v>0</v>
      </c>
    </row>
    <row r="1444" customFormat="false" ht="15" hidden="false" customHeight="false" outlineLevel="0" collapsed="false">
      <c r="A1444" s="17"/>
      <c r="B1444" s="13"/>
      <c r="C1444" s="20" t="str">
        <f aca="false">IF($B1444="","",IFERROR(INDEX(고객사!$B$5:$B$104,MATCH($B1444,고객사!$A$5:$A$104,0)),"코드 확인"))</f>
        <v/>
      </c>
      <c r="D1444" s="15"/>
      <c r="E1444" s="15"/>
      <c r="F1444" s="16"/>
      <c r="G1444" s="16"/>
      <c r="H1444" s="21" t="str">
        <f aca="false">IF(OR($B1444="",F1444=0),"",G1444/F1444)</f>
        <v/>
      </c>
      <c r="I1444" s="22" t="str">
        <f aca="false">IF($B1444="","",MAX(F1444-G1444,0))</f>
        <v/>
      </c>
      <c r="J1444" s="23" t="str">
        <f aca="false">IF($B1444="","",IFERROR(INDEX(고객사!$G$5:$G$104,MATCH($B1444,고객사!$A$5:$A$104,0)),""))</f>
        <v/>
      </c>
      <c r="K1444" s="16"/>
      <c r="L1444" s="22" t="str">
        <f aca="false">IF($B1444="","",K1444*IFERROR(INDEX(고객사!$L$5:$L$104,MATCH($B1444,고객사!$A$5:$A$104,0)),0))</f>
        <v/>
      </c>
      <c r="M1444" s="23" t="str">
        <f aca="false">IF($B1444="","",IF(AND(J1444="N",G1444&gt;0,K1444=0,IFERROR(INDEX(고객사!$H$5:$H$104,MATCH($B1444,고객사!$A$5:$A$104,0)),"")="자사 차량 운행"),"차량 미배정",""))</f>
        <v/>
      </c>
      <c r="N1444" s="22" t="str">
        <f aca="false">IF($B1444="","",IFERROR(INDEX(고객사!$J$5:$J$104,MATCH($B1444,고객사!$A$5:$A$104,0)),0))</f>
        <v/>
      </c>
      <c r="O1444" s="22" t="str">
        <f aca="false">IF($B1444="","",G1444*N1444)</f>
        <v/>
      </c>
      <c r="P1444" s="22" t="str">
        <f aca="false">IF($B1444="","",IFERROR(INDEX(고객사!$K$5:$K$104,MATCH($B1444,고객사!$A$5:$A$104,0)),0))</f>
        <v/>
      </c>
      <c r="Q1444" s="22" t="str">
        <f aca="false">IF($B1444="","",G1444*P1444)</f>
        <v/>
      </c>
      <c r="R1444" s="22" t="str">
        <f aca="false">IF($B1444="","",O1444-Q1444-L1444)</f>
        <v/>
      </c>
      <c r="S1444" s="21" t="str">
        <f aca="false">IF(OR($B1444="",N(O1444)=0),"",R1444/O1444)</f>
        <v/>
      </c>
      <c r="T1444" s="14"/>
      <c r="U1444" s="19" t="n">
        <f aca="false">IF(OR($B1444="",$A1444=""),0,IF(COUNTIFS($A$5:$A1444,$A1444,$B$5:$B1444,$B1444)=1,1,0))</f>
        <v>0</v>
      </c>
    </row>
    <row r="1445" customFormat="false" ht="15" hidden="false" customHeight="false" outlineLevel="0" collapsed="false">
      <c r="A1445" s="17"/>
      <c r="B1445" s="13"/>
      <c r="C1445" s="20" t="str">
        <f aca="false">IF($B1445="","",IFERROR(INDEX(고객사!$B$5:$B$104,MATCH($B1445,고객사!$A$5:$A$104,0)),"코드 확인"))</f>
        <v/>
      </c>
      <c r="D1445" s="15"/>
      <c r="E1445" s="15"/>
      <c r="F1445" s="16"/>
      <c r="G1445" s="16"/>
      <c r="H1445" s="21" t="str">
        <f aca="false">IF(OR($B1445="",F1445=0),"",G1445/F1445)</f>
        <v/>
      </c>
      <c r="I1445" s="22" t="str">
        <f aca="false">IF($B1445="","",MAX(F1445-G1445,0))</f>
        <v/>
      </c>
      <c r="J1445" s="23" t="str">
        <f aca="false">IF($B1445="","",IFERROR(INDEX(고객사!$G$5:$G$104,MATCH($B1445,고객사!$A$5:$A$104,0)),""))</f>
        <v/>
      </c>
      <c r="K1445" s="16"/>
      <c r="L1445" s="22" t="str">
        <f aca="false">IF($B1445="","",K1445*IFERROR(INDEX(고객사!$L$5:$L$104,MATCH($B1445,고객사!$A$5:$A$104,0)),0))</f>
        <v/>
      </c>
      <c r="M1445" s="23" t="str">
        <f aca="false">IF($B1445="","",IF(AND(J1445="N",G1445&gt;0,K1445=0,IFERROR(INDEX(고객사!$H$5:$H$104,MATCH($B1445,고객사!$A$5:$A$104,0)),"")="자사 차량 운행"),"차량 미배정",""))</f>
        <v/>
      </c>
      <c r="N1445" s="22" t="str">
        <f aca="false">IF($B1445="","",IFERROR(INDEX(고객사!$J$5:$J$104,MATCH($B1445,고객사!$A$5:$A$104,0)),0))</f>
        <v/>
      </c>
      <c r="O1445" s="22" t="str">
        <f aca="false">IF($B1445="","",G1445*N1445)</f>
        <v/>
      </c>
      <c r="P1445" s="22" t="str">
        <f aca="false">IF($B1445="","",IFERROR(INDEX(고객사!$K$5:$K$104,MATCH($B1445,고객사!$A$5:$A$104,0)),0))</f>
        <v/>
      </c>
      <c r="Q1445" s="22" t="str">
        <f aca="false">IF($B1445="","",G1445*P1445)</f>
        <v/>
      </c>
      <c r="R1445" s="22" t="str">
        <f aca="false">IF($B1445="","",O1445-Q1445-L1445)</f>
        <v/>
      </c>
      <c r="S1445" s="21" t="str">
        <f aca="false">IF(OR($B1445="",N(O1445)=0),"",R1445/O1445)</f>
        <v/>
      </c>
      <c r="T1445" s="14"/>
      <c r="U1445" s="19" t="n">
        <f aca="false">IF(OR($B1445="",$A1445=""),0,IF(COUNTIFS($A$5:$A1445,$A1445,$B$5:$B1445,$B1445)=1,1,0))</f>
        <v>0</v>
      </c>
    </row>
    <row r="1446" customFormat="false" ht="15" hidden="false" customHeight="false" outlineLevel="0" collapsed="false">
      <c r="A1446" s="17"/>
      <c r="B1446" s="13"/>
      <c r="C1446" s="20" t="str">
        <f aca="false">IF($B1446="","",IFERROR(INDEX(고객사!$B$5:$B$104,MATCH($B1446,고객사!$A$5:$A$104,0)),"코드 확인"))</f>
        <v/>
      </c>
      <c r="D1446" s="15"/>
      <c r="E1446" s="15"/>
      <c r="F1446" s="16"/>
      <c r="G1446" s="16"/>
      <c r="H1446" s="21" t="str">
        <f aca="false">IF(OR($B1446="",F1446=0),"",G1446/F1446)</f>
        <v/>
      </c>
      <c r="I1446" s="22" t="str">
        <f aca="false">IF($B1446="","",MAX(F1446-G1446,0))</f>
        <v/>
      </c>
      <c r="J1446" s="23" t="str">
        <f aca="false">IF($B1446="","",IFERROR(INDEX(고객사!$G$5:$G$104,MATCH($B1446,고객사!$A$5:$A$104,0)),""))</f>
        <v/>
      </c>
      <c r="K1446" s="16"/>
      <c r="L1446" s="22" t="str">
        <f aca="false">IF($B1446="","",K1446*IFERROR(INDEX(고객사!$L$5:$L$104,MATCH($B1446,고객사!$A$5:$A$104,0)),0))</f>
        <v/>
      </c>
      <c r="M1446" s="23" t="str">
        <f aca="false">IF($B1446="","",IF(AND(J1446="N",G1446&gt;0,K1446=0,IFERROR(INDEX(고객사!$H$5:$H$104,MATCH($B1446,고객사!$A$5:$A$104,0)),"")="자사 차량 운행"),"차량 미배정",""))</f>
        <v/>
      </c>
      <c r="N1446" s="22" t="str">
        <f aca="false">IF($B1446="","",IFERROR(INDEX(고객사!$J$5:$J$104,MATCH($B1446,고객사!$A$5:$A$104,0)),0))</f>
        <v/>
      </c>
      <c r="O1446" s="22" t="str">
        <f aca="false">IF($B1446="","",G1446*N1446)</f>
        <v/>
      </c>
      <c r="P1446" s="22" t="str">
        <f aca="false">IF($B1446="","",IFERROR(INDEX(고객사!$K$5:$K$104,MATCH($B1446,고객사!$A$5:$A$104,0)),0))</f>
        <v/>
      </c>
      <c r="Q1446" s="22" t="str">
        <f aca="false">IF($B1446="","",G1446*P1446)</f>
        <v/>
      </c>
      <c r="R1446" s="22" t="str">
        <f aca="false">IF($B1446="","",O1446-Q1446-L1446)</f>
        <v/>
      </c>
      <c r="S1446" s="21" t="str">
        <f aca="false">IF(OR($B1446="",N(O1446)=0),"",R1446/O1446)</f>
        <v/>
      </c>
      <c r="T1446" s="14"/>
      <c r="U1446" s="19" t="n">
        <f aca="false">IF(OR($B1446="",$A1446=""),0,IF(COUNTIFS($A$5:$A1446,$A1446,$B$5:$B1446,$B1446)=1,1,0))</f>
        <v>0</v>
      </c>
    </row>
    <row r="1447" customFormat="false" ht="15" hidden="false" customHeight="false" outlineLevel="0" collapsed="false">
      <c r="A1447" s="17"/>
      <c r="B1447" s="13"/>
      <c r="C1447" s="20" t="str">
        <f aca="false">IF($B1447="","",IFERROR(INDEX(고객사!$B$5:$B$104,MATCH($B1447,고객사!$A$5:$A$104,0)),"코드 확인"))</f>
        <v/>
      </c>
      <c r="D1447" s="15"/>
      <c r="E1447" s="15"/>
      <c r="F1447" s="16"/>
      <c r="G1447" s="16"/>
      <c r="H1447" s="21" t="str">
        <f aca="false">IF(OR($B1447="",F1447=0),"",G1447/F1447)</f>
        <v/>
      </c>
      <c r="I1447" s="22" t="str">
        <f aca="false">IF($B1447="","",MAX(F1447-G1447,0))</f>
        <v/>
      </c>
      <c r="J1447" s="23" t="str">
        <f aca="false">IF($B1447="","",IFERROR(INDEX(고객사!$G$5:$G$104,MATCH($B1447,고객사!$A$5:$A$104,0)),""))</f>
        <v/>
      </c>
      <c r="K1447" s="16"/>
      <c r="L1447" s="22" t="str">
        <f aca="false">IF($B1447="","",K1447*IFERROR(INDEX(고객사!$L$5:$L$104,MATCH($B1447,고객사!$A$5:$A$104,0)),0))</f>
        <v/>
      </c>
      <c r="M1447" s="23" t="str">
        <f aca="false">IF($B1447="","",IF(AND(J1447="N",G1447&gt;0,K1447=0,IFERROR(INDEX(고객사!$H$5:$H$104,MATCH($B1447,고객사!$A$5:$A$104,0)),"")="자사 차량 운행"),"차량 미배정",""))</f>
        <v/>
      </c>
      <c r="N1447" s="22" t="str">
        <f aca="false">IF($B1447="","",IFERROR(INDEX(고객사!$J$5:$J$104,MATCH($B1447,고객사!$A$5:$A$104,0)),0))</f>
        <v/>
      </c>
      <c r="O1447" s="22" t="str">
        <f aca="false">IF($B1447="","",G1447*N1447)</f>
        <v/>
      </c>
      <c r="P1447" s="22" t="str">
        <f aca="false">IF($B1447="","",IFERROR(INDEX(고객사!$K$5:$K$104,MATCH($B1447,고객사!$A$5:$A$104,0)),0))</f>
        <v/>
      </c>
      <c r="Q1447" s="22" t="str">
        <f aca="false">IF($B1447="","",G1447*P1447)</f>
        <v/>
      </c>
      <c r="R1447" s="22" t="str">
        <f aca="false">IF($B1447="","",O1447-Q1447-L1447)</f>
        <v/>
      </c>
      <c r="S1447" s="21" t="str">
        <f aca="false">IF(OR($B1447="",N(O1447)=0),"",R1447/O1447)</f>
        <v/>
      </c>
      <c r="T1447" s="14"/>
      <c r="U1447" s="19" t="n">
        <f aca="false">IF(OR($B1447="",$A1447=""),0,IF(COUNTIFS($A$5:$A1447,$A1447,$B$5:$B1447,$B1447)=1,1,0))</f>
        <v>0</v>
      </c>
    </row>
    <row r="1448" customFormat="false" ht="15" hidden="false" customHeight="false" outlineLevel="0" collapsed="false">
      <c r="A1448" s="17"/>
      <c r="B1448" s="13"/>
      <c r="C1448" s="20" t="str">
        <f aca="false">IF($B1448="","",IFERROR(INDEX(고객사!$B$5:$B$104,MATCH($B1448,고객사!$A$5:$A$104,0)),"코드 확인"))</f>
        <v/>
      </c>
      <c r="D1448" s="15"/>
      <c r="E1448" s="15"/>
      <c r="F1448" s="16"/>
      <c r="G1448" s="16"/>
      <c r="H1448" s="21" t="str">
        <f aca="false">IF(OR($B1448="",F1448=0),"",G1448/F1448)</f>
        <v/>
      </c>
      <c r="I1448" s="22" t="str">
        <f aca="false">IF($B1448="","",MAX(F1448-G1448,0))</f>
        <v/>
      </c>
      <c r="J1448" s="23" t="str">
        <f aca="false">IF($B1448="","",IFERROR(INDEX(고객사!$G$5:$G$104,MATCH($B1448,고객사!$A$5:$A$104,0)),""))</f>
        <v/>
      </c>
      <c r="K1448" s="16"/>
      <c r="L1448" s="22" t="str">
        <f aca="false">IF($B1448="","",K1448*IFERROR(INDEX(고객사!$L$5:$L$104,MATCH($B1448,고객사!$A$5:$A$104,0)),0))</f>
        <v/>
      </c>
      <c r="M1448" s="23" t="str">
        <f aca="false">IF($B1448="","",IF(AND(J1448="N",G1448&gt;0,K1448=0,IFERROR(INDEX(고객사!$H$5:$H$104,MATCH($B1448,고객사!$A$5:$A$104,0)),"")="자사 차량 운행"),"차량 미배정",""))</f>
        <v/>
      </c>
      <c r="N1448" s="22" t="str">
        <f aca="false">IF($B1448="","",IFERROR(INDEX(고객사!$J$5:$J$104,MATCH($B1448,고객사!$A$5:$A$104,0)),0))</f>
        <v/>
      </c>
      <c r="O1448" s="22" t="str">
        <f aca="false">IF($B1448="","",G1448*N1448)</f>
        <v/>
      </c>
      <c r="P1448" s="22" t="str">
        <f aca="false">IF($B1448="","",IFERROR(INDEX(고객사!$K$5:$K$104,MATCH($B1448,고객사!$A$5:$A$104,0)),0))</f>
        <v/>
      </c>
      <c r="Q1448" s="22" t="str">
        <f aca="false">IF($B1448="","",G1448*P1448)</f>
        <v/>
      </c>
      <c r="R1448" s="22" t="str">
        <f aca="false">IF($B1448="","",O1448-Q1448-L1448)</f>
        <v/>
      </c>
      <c r="S1448" s="21" t="str">
        <f aca="false">IF(OR($B1448="",N(O1448)=0),"",R1448/O1448)</f>
        <v/>
      </c>
      <c r="T1448" s="14"/>
      <c r="U1448" s="19" t="n">
        <f aca="false">IF(OR($B1448="",$A1448=""),0,IF(COUNTIFS($A$5:$A1448,$A1448,$B$5:$B1448,$B1448)=1,1,0))</f>
        <v>0</v>
      </c>
    </row>
    <row r="1449" customFormat="false" ht="15" hidden="false" customHeight="false" outlineLevel="0" collapsed="false">
      <c r="A1449" s="17"/>
      <c r="B1449" s="13"/>
      <c r="C1449" s="20" t="str">
        <f aca="false">IF($B1449="","",IFERROR(INDEX(고객사!$B$5:$B$104,MATCH($B1449,고객사!$A$5:$A$104,0)),"코드 확인"))</f>
        <v/>
      </c>
      <c r="D1449" s="15"/>
      <c r="E1449" s="15"/>
      <c r="F1449" s="16"/>
      <c r="G1449" s="16"/>
      <c r="H1449" s="21" t="str">
        <f aca="false">IF(OR($B1449="",F1449=0),"",G1449/F1449)</f>
        <v/>
      </c>
      <c r="I1449" s="22" t="str">
        <f aca="false">IF($B1449="","",MAX(F1449-G1449,0))</f>
        <v/>
      </c>
      <c r="J1449" s="23" t="str">
        <f aca="false">IF($B1449="","",IFERROR(INDEX(고객사!$G$5:$G$104,MATCH($B1449,고객사!$A$5:$A$104,0)),""))</f>
        <v/>
      </c>
      <c r="K1449" s="16"/>
      <c r="L1449" s="22" t="str">
        <f aca="false">IF($B1449="","",K1449*IFERROR(INDEX(고객사!$L$5:$L$104,MATCH($B1449,고객사!$A$5:$A$104,0)),0))</f>
        <v/>
      </c>
      <c r="M1449" s="23" t="str">
        <f aca="false">IF($B1449="","",IF(AND(J1449="N",G1449&gt;0,K1449=0,IFERROR(INDEX(고객사!$H$5:$H$104,MATCH($B1449,고객사!$A$5:$A$104,0)),"")="자사 차량 운행"),"차량 미배정",""))</f>
        <v/>
      </c>
      <c r="N1449" s="22" t="str">
        <f aca="false">IF($B1449="","",IFERROR(INDEX(고객사!$J$5:$J$104,MATCH($B1449,고객사!$A$5:$A$104,0)),0))</f>
        <v/>
      </c>
      <c r="O1449" s="22" t="str">
        <f aca="false">IF($B1449="","",G1449*N1449)</f>
        <v/>
      </c>
      <c r="P1449" s="22" t="str">
        <f aca="false">IF($B1449="","",IFERROR(INDEX(고객사!$K$5:$K$104,MATCH($B1449,고객사!$A$5:$A$104,0)),0))</f>
        <v/>
      </c>
      <c r="Q1449" s="22" t="str">
        <f aca="false">IF($B1449="","",G1449*P1449)</f>
        <v/>
      </c>
      <c r="R1449" s="22" t="str">
        <f aca="false">IF($B1449="","",O1449-Q1449-L1449)</f>
        <v/>
      </c>
      <c r="S1449" s="21" t="str">
        <f aca="false">IF(OR($B1449="",N(O1449)=0),"",R1449/O1449)</f>
        <v/>
      </c>
      <c r="T1449" s="14"/>
      <c r="U1449" s="19" t="n">
        <f aca="false">IF(OR($B1449="",$A1449=""),0,IF(COUNTIFS($A$5:$A1449,$A1449,$B$5:$B1449,$B1449)=1,1,0))</f>
        <v>0</v>
      </c>
    </row>
    <row r="1450" customFormat="false" ht="15" hidden="false" customHeight="false" outlineLevel="0" collapsed="false">
      <c r="A1450" s="17"/>
      <c r="B1450" s="13"/>
      <c r="C1450" s="20" t="str">
        <f aca="false">IF($B1450="","",IFERROR(INDEX(고객사!$B$5:$B$104,MATCH($B1450,고객사!$A$5:$A$104,0)),"코드 확인"))</f>
        <v/>
      </c>
      <c r="D1450" s="15"/>
      <c r="E1450" s="15"/>
      <c r="F1450" s="16"/>
      <c r="G1450" s="16"/>
      <c r="H1450" s="21" t="str">
        <f aca="false">IF(OR($B1450="",F1450=0),"",G1450/F1450)</f>
        <v/>
      </c>
      <c r="I1450" s="22" t="str">
        <f aca="false">IF($B1450="","",MAX(F1450-G1450,0))</f>
        <v/>
      </c>
      <c r="J1450" s="23" t="str">
        <f aca="false">IF($B1450="","",IFERROR(INDEX(고객사!$G$5:$G$104,MATCH($B1450,고객사!$A$5:$A$104,0)),""))</f>
        <v/>
      </c>
      <c r="K1450" s="16"/>
      <c r="L1450" s="22" t="str">
        <f aca="false">IF($B1450="","",K1450*IFERROR(INDEX(고객사!$L$5:$L$104,MATCH($B1450,고객사!$A$5:$A$104,0)),0))</f>
        <v/>
      </c>
      <c r="M1450" s="23" t="str">
        <f aca="false">IF($B1450="","",IF(AND(J1450="N",G1450&gt;0,K1450=0,IFERROR(INDEX(고객사!$H$5:$H$104,MATCH($B1450,고객사!$A$5:$A$104,0)),"")="자사 차량 운행"),"차량 미배정",""))</f>
        <v/>
      </c>
      <c r="N1450" s="22" t="str">
        <f aca="false">IF($B1450="","",IFERROR(INDEX(고객사!$J$5:$J$104,MATCH($B1450,고객사!$A$5:$A$104,0)),0))</f>
        <v/>
      </c>
      <c r="O1450" s="22" t="str">
        <f aca="false">IF($B1450="","",G1450*N1450)</f>
        <v/>
      </c>
      <c r="P1450" s="22" t="str">
        <f aca="false">IF($B1450="","",IFERROR(INDEX(고객사!$K$5:$K$104,MATCH($B1450,고객사!$A$5:$A$104,0)),0))</f>
        <v/>
      </c>
      <c r="Q1450" s="22" t="str">
        <f aca="false">IF($B1450="","",G1450*P1450)</f>
        <v/>
      </c>
      <c r="R1450" s="22" t="str">
        <f aca="false">IF($B1450="","",O1450-Q1450-L1450)</f>
        <v/>
      </c>
      <c r="S1450" s="21" t="str">
        <f aca="false">IF(OR($B1450="",N(O1450)=0),"",R1450/O1450)</f>
        <v/>
      </c>
      <c r="T1450" s="14"/>
      <c r="U1450" s="19" t="n">
        <f aca="false">IF(OR($B1450="",$A1450=""),0,IF(COUNTIFS($A$5:$A1450,$A1450,$B$5:$B1450,$B1450)=1,1,0))</f>
        <v>0</v>
      </c>
    </row>
    <row r="1451" customFormat="false" ht="15" hidden="false" customHeight="false" outlineLevel="0" collapsed="false">
      <c r="A1451" s="17"/>
      <c r="B1451" s="13"/>
      <c r="C1451" s="20" t="str">
        <f aca="false">IF($B1451="","",IFERROR(INDEX(고객사!$B$5:$B$104,MATCH($B1451,고객사!$A$5:$A$104,0)),"코드 확인"))</f>
        <v/>
      </c>
      <c r="D1451" s="15"/>
      <c r="E1451" s="15"/>
      <c r="F1451" s="16"/>
      <c r="G1451" s="16"/>
      <c r="H1451" s="21" t="str">
        <f aca="false">IF(OR($B1451="",F1451=0),"",G1451/F1451)</f>
        <v/>
      </c>
      <c r="I1451" s="22" t="str">
        <f aca="false">IF($B1451="","",MAX(F1451-G1451,0))</f>
        <v/>
      </c>
      <c r="J1451" s="23" t="str">
        <f aca="false">IF($B1451="","",IFERROR(INDEX(고객사!$G$5:$G$104,MATCH($B1451,고객사!$A$5:$A$104,0)),""))</f>
        <v/>
      </c>
      <c r="K1451" s="16"/>
      <c r="L1451" s="22" t="str">
        <f aca="false">IF($B1451="","",K1451*IFERROR(INDEX(고객사!$L$5:$L$104,MATCH($B1451,고객사!$A$5:$A$104,0)),0))</f>
        <v/>
      </c>
      <c r="M1451" s="23" t="str">
        <f aca="false">IF($B1451="","",IF(AND(J1451="N",G1451&gt;0,K1451=0,IFERROR(INDEX(고객사!$H$5:$H$104,MATCH($B1451,고객사!$A$5:$A$104,0)),"")="자사 차량 운행"),"차량 미배정",""))</f>
        <v/>
      </c>
      <c r="N1451" s="22" t="str">
        <f aca="false">IF($B1451="","",IFERROR(INDEX(고객사!$J$5:$J$104,MATCH($B1451,고객사!$A$5:$A$104,0)),0))</f>
        <v/>
      </c>
      <c r="O1451" s="22" t="str">
        <f aca="false">IF($B1451="","",G1451*N1451)</f>
        <v/>
      </c>
      <c r="P1451" s="22" t="str">
        <f aca="false">IF($B1451="","",IFERROR(INDEX(고객사!$K$5:$K$104,MATCH($B1451,고객사!$A$5:$A$104,0)),0))</f>
        <v/>
      </c>
      <c r="Q1451" s="22" t="str">
        <f aca="false">IF($B1451="","",G1451*P1451)</f>
        <v/>
      </c>
      <c r="R1451" s="22" t="str">
        <f aca="false">IF($B1451="","",O1451-Q1451-L1451)</f>
        <v/>
      </c>
      <c r="S1451" s="21" t="str">
        <f aca="false">IF(OR($B1451="",N(O1451)=0),"",R1451/O1451)</f>
        <v/>
      </c>
      <c r="T1451" s="14"/>
      <c r="U1451" s="19" t="n">
        <f aca="false">IF(OR($B1451="",$A1451=""),0,IF(COUNTIFS($A$5:$A1451,$A1451,$B$5:$B1451,$B1451)=1,1,0))</f>
        <v>0</v>
      </c>
    </row>
    <row r="1452" customFormat="false" ht="15" hidden="false" customHeight="false" outlineLevel="0" collapsed="false">
      <c r="A1452" s="17"/>
      <c r="B1452" s="13"/>
      <c r="C1452" s="20" t="str">
        <f aca="false">IF($B1452="","",IFERROR(INDEX(고객사!$B$5:$B$104,MATCH($B1452,고객사!$A$5:$A$104,0)),"코드 확인"))</f>
        <v/>
      </c>
      <c r="D1452" s="15"/>
      <c r="E1452" s="15"/>
      <c r="F1452" s="16"/>
      <c r="G1452" s="16"/>
      <c r="H1452" s="21" t="str">
        <f aca="false">IF(OR($B1452="",F1452=0),"",G1452/F1452)</f>
        <v/>
      </c>
      <c r="I1452" s="22" t="str">
        <f aca="false">IF($B1452="","",MAX(F1452-G1452,0))</f>
        <v/>
      </c>
      <c r="J1452" s="23" t="str">
        <f aca="false">IF($B1452="","",IFERROR(INDEX(고객사!$G$5:$G$104,MATCH($B1452,고객사!$A$5:$A$104,0)),""))</f>
        <v/>
      </c>
      <c r="K1452" s="16"/>
      <c r="L1452" s="22" t="str">
        <f aca="false">IF($B1452="","",K1452*IFERROR(INDEX(고객사!$L$5:$L$104,MATCH($B1452,고객사!$A$5:$A$104,0)),0))</f>
        <v/>
      </c>
      <c r="M1452" s="23" t="str">
        <f aca="false">IF($B1452="","",IF(AND(J1452="N",G1452&gt;0,K1452=0,IFERROR(INDEX(고객사!$H$5:$H$104,MATCH($B1452,고객사!$A$5:$A$104,0)),"")="자사 차량 운행"),"차량 미배정",""))</f>
        <v/>
      </c>
      <c r="N1452" s="22" t="str">
        <f aca="false">IF($B1452="","",IFERROR(INDEX(고객사!$J$5:$J$104,MATCH($B1452,고객사!$A$5:$A$104,0)),0))</f>
        <v/>
      </c>
      <c r="O1452" s="22" t="str">
        <f aca="false">IF($B1452="","",G1452*N1452)</f>
        <v/>
      </c>
      <c r="P1452" s="22" t="str">
        <f aca="false">IF($B1452="","",IFERROR(INDEX(고객사!$K$5:$K$104,MATCH($B1452,고객사!$A$5:$A$104,0)),0))</f>
        <v/>
      </c>
      <c r="Q1452" s="22" t="str">
        <f aca="false">IF($B1452="","",G1452*P1452)</f>
        <v/>
      </c>
      <c r="R1452" s="22" t="str">
        <f aca="false">IF($B1452="","",O1452-Q1452-L1452)</f>
        <v/>
      </c>
      <c r="S1452" s="21" t="str">
        <f aca="false">IF(OR($B1452="",N(O1452)=0),"",R1452/O1452)</f>
        <v/>
      </c>
      <c r="T1452" s="14"/>
      <c r="U1452" s="19" t="n">
        <f aca="false">IF(OR($B1452="",$A1452=""),0,IF(COUNTIFS($A$5:$A1452,$A1452,$B$5:$B1452,$B1452)=1,1,0))</f>
        <v>0</v>
      </c>
    </row>
    <row r="1453" customFormat="false" ht="15" hidden="false" customHeight="false" outlineLevel="0" collapsed="false">
      <c r="A1453" s="17"/>
      <c r="B1453" s="13"/>
      <c r="C1453" s="20" t="str">
        <f aca="false">IF($B1453="","",IFERROR(INDEX(고객사!$B$5:$B$104,MATCH($B1453,고객사!$A$5:$A$104,0)),"코드 확인"))</f>
        <v/>
      </c>
      <c r="D1453" s="15"/>
      <c r="E1453" s="15"/>
      <c r="F1453" s="16"/>
      <c r="G1453" s="16"/>
      <c r="H1453" s="21" t="str">
        <f aca="false">IF(OR($B1453="",F1453=0),"",G1453/F1453)</f>
        <v/>
      </c>
      <c r="I1453" s="22" t="str">
        <f aca="false">IF($B1453="","",MAX(F1453-G1453,0))</f>
        <v/>
      </c>
      <c r="J1453" s="23" t="str">
        <f aca="false">IF($B1453="","",IFERROR(INDEX(고객사!$G$5:$G$104,MATCH($B1453,고객사!$A$5:$A$104,0)),""))</f>
        <v/>
      </c>
      <c r="K1453" s="16"/>
      <c r="L1453" s="22" t="str">
        <f aca="false">IF($B1453="","",K1453*IFERROR(INDEX(고객사!$L$5:$L$104,MATCH($B1453,고객사!$A$5:$A$104,0)),0))</f>
        <v/>
      </c>
      <c r="M1453" s="23" t="str">
        <f aca="false">IF($B1453="","",IF(AND(J1453="N",G1453&gt;0,K1453=0,IFERROR(INDEX(고객사!$H$5:$H$104,MATCH($B1453,고객사!$A$5:$A$104,0)),"")="자사 차량 운행"),"차량 미배정",""))</f>
        <v/>
      </c>
      <c r="N1453" s="22" t="str">
        <f aca="false">IF($B1453="","",IFERROR(INDEX(고객사!$J$5:$J$104,MATCH($B1453,고객사!$A$5:$A$104,0)),0))</f>
        <v/>
      </c>
      <c r="O1453" s="22" t="str">
        <f aca="false">IF($B1453="","",G1453*N1453)</f>
        <v/>
      </c>
      <c r="P1453" s="22" t="str">
        <f aca="false">IF($B1453="","",IFERROR(INDEX(고객사!$K$5:$K$104,MATCH($B1453,고객사!$A$5:$A$104,0)),0))</f>
        <v/>
      </c>
      <c r="Q1453" s="22" t="str">
        <f aca="false">IF($B1453="","",G1453*P1453)</f>
        <v/>
      </c>
      <c r="R1453" s="22" t="str">
        <f aca="false">IF($B1453="","",O1453-Q1453-L1453)</f>
        <v/>
      </c>
      <c r="S1453" s="21" t="str">
        <f aca="false">IF(OR($B1453="",N(O1453)=0),"",R1453/O1453)</f>
        <v/>
      </c>
      <c r="T1453" s="14"/>
      <c r="U1453" s="19" t="n">
        <f aca="false">IF(OR($B1453="",$A1453=""),0,IF(COUNTIFS($A$5:$A1453,$A1453,$B$5:$B1453,$B1453)=1,1,0))</f>
        <v>0</v>
      </c>
    </row>
    <row r="1454" customFormat="false" ht="15" hidden="false" customHeight="false" outlineLevel="0" collapsed="false">
      <c r="A1454" s="17"/>
      <c r="B1454" s="13"/>
      <c r="C1454" s="20" t="str">
        <f aca="false">IF($B1454="","",IFERROR(INDEX(고객사!$B$5:$B$104,MATCH($B1454,고객사!$A$5:$A$104,0)),"코드 확인"))</f>
        <v/>
      </c>
      <c r="D1454" s="15"/>
      <c r="E1454" s="15"/>
      <c r="F1454" s="16"/>
      <c r="G1454" s="16"/>
      <c r="H1454" s="21" t="str">
        <f aca="false">IF(OR($B1454="",F1454=0),"",G1454/F1454)</f>
        <v/>
      </c>
      <c r="I1454" s="22" t="str">
        <f aca="false">IF($B1454="","",MAX(F1454-G1454,0))</f>
        <v/>
      </c>
      <c r="J1454" s="23" t="str">
        <f aca="false">IF($B1454="","",IFERROR(INDEX(고객사!$G$5:$G$104,MATCH($B1454,고객사!$A$5:$A$104,0)),""))</f>
        <v/>
      </c>
      <c r="K1454" s="16"/>
      <c r="L1454" s="22" t="str">
        <f aca="false">IF($B1454="","",K1454*IFERROR(INDEX(고객사!$L$5:$L$104,MATCH($B1454,고객사!$A$5:$A$104,0)),0))</f>
        <v/>
      </c>
      <c r="M1454" s="23" t="str">
        <f aca="false">IF($B1454="","",IF(AND(J1454="N",G1454&gt;0,K1454=0,IFERROR(INDEX(고객사!$H$5:$H$104,MATCH($B1454,고객사!$A$5:$A$104,0)),"")="자사 차량 운행"),"차량 미배정",""))</f>
        <v/>
      </c>
      <c r="N1454" s="22" t="str">
        <f aca="false">IF($B1454="","",IFERROR(INDEX(고객사!$J$5:$J$104,MATCH($B1454,고객사!$A$5:$A$104,0)),0))</f>
        <v/>
      </c>
      <c r="O1454" s="22" t="str">
        <f aca="false">IF($B1454="","",G1454*N1454)</f>
        <v/>
      </c>
      <c r="P1454" s="22" t="str">
        <f aca="false">IF($B1454="","",IFERROR(INDEX(고객사!$K$5:$K$104,MATCH($B1454,고객사!$A$5:$A$104,0)),0))</f>
        <v/>
      </c>
      <c r="Q1454" s="22" t="str">
        <f aca="false">IF($B1454="","",G1454*P1454)</f>
        <v/>
      </c>
      <c r="R1454" s="22" t="str">
        <f aca="false">IF($B1454="","",O1454-Q1454-L1454)</f>
        <v/>
      </c>
      <c r="S1454" s="21" t="str">
        <f aca="false">IF(OR($B1454="",N(O1454)=0),"",R1454/O1454)</f>
        <v/>
      </c>
      <c r="T1454" s="14"/>
      <c r="U1454" s="19" t="n">
        <f aca="false">IF(OR($B1454="",$A1454=""),0,IF(COUNTIFS($A$5:$A1454,$A1454,$B$5:$B1454,$B1454)=1,1,0))</f>
        <v>0</v>
      </c>
    </row>
    <row r="1455" customFormat="false" ht="15" hidden="false" customHeight="false" outlineLevel="0" collapsed="false">
      <c r="A1455" s="17"/>
      <c r="B1455" s="13"/>
      <c r="C1455" s="20" t="str">
        <f aca="false">IF($B1455="","",IFERROR(INDEX(고객사!$B$5:$B$104,MATCH($B1455,고객사!$A$5:$A$104,0)),"코드 확인"))</f>
        <v/>
      </c>
      <c r="D1455" s="15"/>
      <c r="E1455" s="15"/>
      <c r="F1455" s="16"/>
      <c r="G1455" s="16"/>
      <c r="H1455" s="21" t="str">
        <f aca="false">IF(OR($B1455="",F1455=0),"",G1455/F1455)</f>
        <v/>
      </c>
      <c r="I1455" s="22" t="str">
        <f aca="false">IF($B1455="","",MAX(F1455-G1455,0))</f>
        <v/>
      </c>
      <c r="J1455" s="23" t="str">
        <f aca="false">IF($B1455="","",IFERROR(INDEX(고객사!$G$5:$G$104,MATCH($B1455,고객사!$A$5:$A$104,0)),""))</f>
        <v/>
      </c>
      <c r="K1455" s="16"/>
      <c r="L1455" s="22" t="str">
        <f aca="false">IF($B1455="","",K1455*IFERROR(INDEX(고객사!$L$5:$L$104,MATCH($B1455,고객사!$A$5:$A$104,0)),0))</f>
        <v/>
      </c>
      <c r="M1455" s="23" t="str">
        <f aca="false">IF($B1455="","",IF(AND(J1455="N",G1455&gt;0,K1455=0,IFERROR(INDEX(고객사!$H$5:$H$104,MATCH($B1455,고객사!$A$5:$A$104,0)),"")="자사 차량 운행"),"차량 미배정",""))</f>
        <v/>
      </c>
      <c r="N1455" s="22" t="str">
        <f aca="false">IF($B1455="","",IFERROR(INDEX(고객사!$J$5:$J$104,MATCH($B1455,고객사!$A$5:$A$104,0)),0))</f>
        <v/>
      </c>
      <c r="O1455" s="22" t="str">
        <f aca="false">IF($B1455="","",G1455*N1455)</f>
        <v/>
      </c>
      <c r="P1455" s="22" t="str">
        <f aca="false">IF($B1455="","",IFERROR(INDEX(고객사!$K$5:$K$104,MATCH($B1455,고객사!$A$5:$A$104,0)),0))</f>
        <v/>
      </c>
      <c r="Q1455" s="22" t="str">
        <f aca="false">IF($B1455="","",G1455*P1455)</f>
        <v/>
      </c>
      <c r="R1455" s="22" t="str">
        <f aca="false">IF($B1455="","",O1455-Q1455-L1455)</f>
        <v/>
      </c>
      <c r="S1455" s="21" t="str">
        <f aca="false">IF(OR($B1455="",N(O1455)=0),"",R1455/O1455)</f>
        <v/>
      </c>
      <c r="T1455" s="14"/>
      <c r="U1455" s="19" t="n">
        <f aca="false">IF(OR($B1455="",$A1455=""),0,IF(COUNTIFS($A$5:$A1455,$A1455,$B$5:$B1455,$B1455)=1,1,0))</f>
        <v>0</v>
      </c>
    </row>
    <row r="1456" customFormat="false" ht="15" hidden="false" customHeight="false" outlineLevel="0" collapsed="false">
      <c r="A1456" s="17"/>
      <c r="B1456" s="13"/>
      <c r="C1456" s="20" t="str">
        <f aca="false">IF($B1456="","",IFERROR(INDEX(고객사!$B$5:$B$104,MATCH($B1456,고객사!$A$5:$A$104,0)),"코드 확인"))</f>
        <v/>
      </c>
      <c r="D1456" s="15"/>
      <c r="E1456" s="15"/>
      <c r="F1456" s="16"/>
      <c r="G1456" s="16"/>
      <c r="H1456" s="21" t="str">
        <f aca="false">IF(OR($B1456="",F1456=0),"",G1456/F1456)</f>
        <v/>
      </c>
      <c r="I1456" s="22" t="str">
        <f aca="false">IF($B1456="","",MAX(F1456-G1456,0))</f>
        <v/>
      </c>
      <c r="J1456" s="23" t="str">
        <f aca="false">IF($B1456="","",IFERROR(INDEX(고객사!$G$5:$G$104,MATCH($B1456,고객사!$A$5:$A$104,0)),""))</f>
        <v/>
      </c>
      <c r="K1456" s="16"/>
      <c r="L1456" s="22" t="str">
        <f aca="false">IF($B1456="","",K1456*IFERROR(INDEX(고객사!$L$5:$L$104,MATCH($B1456,고객사!$A$5:$A$104,0)),0))</f>
        <v/>
      </c>
      <c r="M1456" s="23" t="str">
        <f aca="false">IF($B1456="","",IF(AND(J1456="N",G1456&gt;0,K1456=0,IFERROR(INDEX(고객사!$H$5:$H$104,MATCH($B1456,고객사!$A$5:$A$104,0)),"")="자사 차량 운행"),"차량 미배정",""))</f>
        <v/>
      </c>
      <c r="N1456" s="22" t="str">
        <f aca="false">IF($B1456="","",IFERROR(INDEX(고객사!$J$5:$J$104,MATCH($B1456,고객사!$A$5:$A$104,0)),0))</f>
        <v/>
      </c>
      <c r="O1456" s="22" t="str">
        <f aca="false">IF($B1456="","",G1456*N1456)</f>
        <v/>
      </c>
      <c r="P1456" s="22" t="str">
        <f aca="false">IF($B1456="","",IFERROR(INDEX(고객사!$K$5:$K$104,MATCH($B1456,고객사!$A$5:$A$104,0)),0))</f>
        <v/>
      </c>
      <c r="Q1456" s="22" t="str">
        <f aca="false">IF($B1456="","",G1456*P1456)</f>
        <v/>
      </c>
      <c r="R1456" s="22" t="str">
        <f aca="false">IF($B1456="","",O1456-Q1456-L1456)</f>
        <v/>
      </c>
      <c r="S1456" s="21" t="str">
        <f aca="false">IF(OR($B1456="",N(O1456)=0),"",R1456/O1456)</f>
        <v/>
      </c>
      <c r="T1456" s="14"/>
      <c r="U1456" s="19" t="n">
        <f aca="false">IF(OR($B1456="",$A1456=""),0,IF(COUNTIFS($A$5:$A1456,$A1456,$B$5:$B1456,$B1456)=1,1,0))</f>
        <v>0</v>
      </c>
    </row>
    <row r="1457" customFormat="false" ht="15" hidden="false" customHeight="false" outlineLevel="0" collapsed="false">
      <c r="A1457" s="17"/>
      <c r="B1457" s="13"/>
      <c r="C1457" s="20" t="str">
        <f aca="false">IF($B1457="","",IFERROR(INDEX(고객사!$B$5:$B$104,MATCH($B1457,고객사!$A$5:$A$104,0)),"코드 확인"))</f>
        <v/>
      </c>
      <c r="D1457" s="15"/>
      <c r="E1457" s="15"/>
      <c r="F1457" s="16"/>
      <c r="G1457" s="16"/>
      <c r="H1457" s="21" t="str">
        <f aca="false">IF(OR($B1457="",F1457=0),"",G1457/F1457)</f>
        <v/>
      </c>
      <c r="I1457" s="22" t="str">
        <f aca="false">IF($B1457="","",MAX(F1457-G1457,0))</f>
        <v/>
      </c>
      <c r="J1457" s="23" t="str">
        <f aca="false">IF($B1457="","",IFERROR(INDEX(고객사!$G$5:$G$104,MATCH($B1457,고객사!$A$5:$A$104,0)),""))</f>
        <v/>
      </c>
      <c r="K1457" s="16"/>
      <c r="L1457" s="22" t="str">
        <f aca="false">IF($B1457="","",K1457*IFERROR(INDEX(고객사!$L$5:$L$104,MATCH($B1457,고객사!$A$5:$A$104,0)),0))</f>
        <v/>
      </c>
      <c r="M1457" s="23" t="str">
        <f aca="false">IF($B1457="","",IF(AND(J1457="N",G1457&gt;0,K1457=0,IFERROR(INDEX(고객사!$H$5:$H$104,MATCH($B1457,고객사!$A$5:$A$104,0)),"")="자사 차량 운행"),"차량 미배정",""))</f>
        <v/>
      </c>
      <c r="N1457" s="22" t="str">
        <f aca="false">IF($B1457="","",IFERROR(INDEX(고객사!$J$5:$J$104,MATCH($B1457,고객사!$A$5:$A$104,0)),0))</f>
        <v/>
      </c>
      <c r="O1457" s="22" t="str">
        <f aca="false">IF($B1457="","",G1457*N1457)</f>
        <v/>
      </c>
      <c r="P1457" s="22" t="str">
        <f aca="false">IF($B1457="","",IFERROR(INDEX(고객사!$K$5:$K$104,MATCH($B1457,고객사!$A$5:$A$104,0)),0))</f>
        <v/>
      </c>
      <c r="Q1457" s="22" t="str">
        <f aca="false">IF($B1457="","",G1457*P1457)</f>
        <v/>
      </c>
      <c r="R1457" s="22" t="str">
        <f aca="false">IF($B1457="","",O1457-Q1457-L1457)</f>
        <v/>
      </c>
      <c r="S1457" s="21" t="str">
        <f aca="false">IF(OR($B1457="",N(O1457)=0),"",R1457/O1457)</f>
        <v/>
      </c>
      <c r="T1457" s="14"/>
      <c r="U1457" s="19" t="n">
        <f aca="false">IF(OR($B1457="",$A1457=""),0,IF(COUNTIFS($A$5:$A1457,$A1457,$B$5:$B1457,$B1457)=1,1,0))</f>
        <v>0</v>
      </c>
    </row>
    <row r="1458" customFormat="false" ht="15" hidden="false" customHeight="false" outlineLevel="0" collapsed="false">
      <c r="A1458" s="17"/>
      <c r="B1458" s="13"/>
      <c r="C1458" s="20" t="str">
        <f aca="false">IF($B1458="","",IFERROR(INDEX(고객사!$B$5:$B$104,MATCH($B1458,고객사!$A$5:$A$104,0)),"코드 확인"))</f>
        <v/>
      </c>
      <c r="D1458" s="15"/>
      <c r="E1458" s="15"/>
      <c r="F1458" s="16"/>
      <c r="G1458" s="16"/>
      <c r="H1458" s="21" t="str">
        <f aca="false">IF(OR($B1458="",F1458=0),"",G1458/F1458)</f>
        <v/>
      </c>
      <c r="I1458" s="22" t="str">
        <f aca="false">IF($B1458="","",MAX(F1458-G1458,0))</f>
        <v/>
      </c>
      <c r="J1458" s="23" t="str">
        <f aca="false">IF($B1458="","",IFERROR(INDEX(고객사!$G$5:$G$104,MATCH($B1458,고객사!$A$5:$A$104,0)),""))</f>
        <v/>
      </c>
      <c r="K1458" s="16"/>
      <c r="L1458" s="22" t="str">
        <f aca="false">IF($B1458="","",K1458*IFERROR(INDEX(고객사!$L$5:$L$104,MATCH($B1458,고객사!$A$5:$A$104,0)),0))</f>
        <v/>
      </c>
      <c r="M1458" s="23" t="str">
        <f aca="false">IF($B1458="","",IF(AND(J1458="N",G1458&gt;0,K1458=0,IFERROR(INDEX(고객사!$H$5:$H$104,MATCH($B1458,고객사!$A$5:$A$104,0)),"")="자사 차량 운행"),"차량 미배정",""))</f>
        <v/>
      </c>
      <c r="N1458" s="22" t="str">
        <f aca="false">IF($B1458="","",IFERROR(INDEX(고객사!$J$5:$J$104,MATCH($B1458,고객사!$A$5:$A$104,0)),0))</f>
        <v/>
      </c>
      <c r="O1458" s="22" t="str">
        <f aca="false">IF($B1458="","",G1458*N1458)</f>
        <v/>
      </c>
      <c r="P1458" s="22" t="str">
        <f aca="false">IF($B1458="","",IFERROR(INDEX(고객사!$K$5:$K$104,MATCH($B1458,고객사!$A$5:$A$104,0)),0))</f>
        <v/>
      </c>
      <c r="Q1458" s="22" t="str">
        <f aca="false">IF($B1458="","",G1458*P1458)</f>
        <v/>
      </c>
      <c r="R1458" s="22" t="str">
        <f aca="false">IF($B1458="","",O1458-Q1458-L1458)</f>
        <v/>
      </c>
      <c r="S1458" s="21" t="str">
        <f aca="false">IF(OR($B1458="",N(O1458)=0),"",R1458/O1458)</f>
        <v/>
      </c>
      <c r="T1458" s="14"/>
      <c r="U1458" s="19" t="n">
        <f aca="false">IF(OR($B1458="",$A1458=""),0,IF(COUNTIFS($A$5:$A1458,$A1458,$B$5:$B1458,$B1458)=1,1,0))</f>
        <v>0</v>
      </c>
    </row>
    <row r="1459" customFormat="false" ht="15" hidden="false" customHeight="false" outlineLevel="0" collapsed="false">
      <c r="A1459" s="17"/>
      <c r="B1459" s="13"/>
      <c r="C1459" s="20" t="str">
        <f aca="false">IF($B1459="","",IFERROR(INDEX(고객사!$B$5:$B$104,MATCH($B1459,고객사!$A$5:$A$104,0)),"코드 확인"))</f>
        <v/>
      </c>
      <c r="D1459" s="15"/>
      <c r="E1459" s="15"/>
      <c r="F1459" s="16"/>
      <c r="G1459" s="16"/>
      <c r="H1459" s="21" t="str">
        <f aca="false">IF(OR($B1459="",F1459=0),"",G1459/F1459)</f>
        <v/>
      </c>
      <c r="I1459" s="22" t="str">
        <f aca="false">IF($B1459="","",MAX(F1459-G1459,0))</f>
        <v/>
      </c>
      <c r="J1459" s="23" t="str">
        <f aca="false">IF($B1459="","",IFERROR(INDEX(고객사!$G$5:$G$104,MATCH($B1459,고객사!$A$5:$A$104,0)),""))</f>
        <v/>
      </c>
      <c r="K1459" s="16"/>
      <c r="L1459" s="22" t="str">
        <f aca="false">IF($B1459="","",K1459*IFERROR(INDEX(고객사!$L$5:$L$104,MATCH($B1459,고객사!$A$5:$A$104,0)),0))</f>
        <v/>
      </c>
      <c r="M1459" s="23" t="str">
        <f aca="false">IF($B1459="","",IF(AND(J1459="N",G1459&gt;0,K1459=0,IFERROR(INDEX(고객사!$H$5:$H$104,MATCH($B1459,고객사!$A$5:$A$104,0)),"")="자사 차량 운행"),"차량 미배정",""))</f>
        <v/>
      </c>
      <c r="N1459" s="22" t="str">
        <f aca="false">IF($B1459="","",IFERROR(INDEX(고객사!$J$5:$J$104,MATCH($B1459,고객사!$A$5:$A$104,0)),0))</f>
        <v/>
      </c>
      <c r="O1459" s="22" t="str">
        <f aca="false">IF($B1459="","",G1459*N1459)</f>
        <v/>
      </c>
      <c r="P1459" s="22" t="str">
        <f aca="false">IF($B1459="","",IFERROR(INDEX(고객사!$K$5:$K$104,MATCH($B1459,고객사!$A$5:$A$104,0)),0))</f>
        <v/>
      </c>
      <c r="Q1459" s="22" t="str">
        <f aca="false">IF($B1459="","",G1459*P1459)</f>
        <v/>
      </c>
      <c r="R1459" s="22" t="str">
        <f aca="false">IF($B1459="","",O1459-Q1459-L1459)</f>
        <v/>
      </c>
      <c r="S1459" s="21" t="str">
        <f aca="false">IF(OR($B1459="",N(O1459)=0),"",R1459/O1459)</f>
        <v/>
      </c>
      <c r="T1459" s="14"/>
      <c r="U1459" s="19" t="n">
        <f aca="false">IF(OR($B1459="",$A1459=""),0,IF(COUNTIFS($A$5:$A1459,$A1459,$B$5:$B1459,$B1459)=1,1,0))</f>
        <v>0</v>
      </c>
    </row>
    <row r="1460" customFormat="false" ht="15" hidden="false" customHeight="false" outlineLevel="0" collapsed="false">
      <c r="A1460" s="17"/>
      <c r="B1460" s="13"/>
      <c r="C1460" s="20" t="str">
        <f aca="false">IF($B1460="","",IFERROR(INDEX(고객사!$B$5:$B$104,MATCH($B1460,고객사!$A$5:$A$104,0)),"코드 확인"))</f>
        <v/>
      </c>
      <c r="D1460" s="15"/>
      <c r="E1460" s="15"/>
      <c r="F1460" s="16"/>
      <c r="G1460" s="16"/>
      <c r="H1460" s="21" t="str">
        <f aca="false">IF(OR($B1460="",F1460=0),"",G1460/F1460)</f>
        <v/>
      </c>
      <c r="I1460" s="22" t="str">
        <f aca="false">IF($B1460="","",MAX(F1460-G1460,0))</f>
        <v/>
      </c>
      <c r="J1460" s="23" t="str">
        <f aca="false">IF($B1460="","",IFERROR(INDEX(고객사!$G$5:$G$104,MATCH($B1460,고객사!$A$5:$A$104,0)),""))</f>
        <v/>
      </c>
      <c r="K1460" s="16"/>
      <c r="L1460" s="22" t="str">
        <f aca="false">IF($B1460="","",K1460*IFERROR(INDEX(고객사!$L$5:$L$104,MATCH($B1460,고객사!$A$5:$A$104,0)),0))</f>
        <v/>
      </c>
      <c r="M1460" s="23" t="str">
        <f aca="false">IF($B1460="","",IF(AND(J1460="N",G1460&gt;0,K1460=0,IFERROR(INDEX(고객사!$H$5:$H$104,MATCH($B1460,고객사!$A$5:$A$104,0)),"")="자사 차량 운행"),"차량 미배정",""))</f>
        <v/>
      </c>
      <c r="N1460" s="22" t="str">
        <f aca="false">IF($B1460="","",IFERROR(INDEX(고객사!$J$5:$J$104,MATCH($B1460,고객사!$A$5:$A$104,0)),0))</f>
        <v/>
      </c>
      <c r="O1460" s="22" t="str">
        <f aca="false">IF($B1460="","",G1460*N1460)</f>
        <v/>
      </c>
      <c r="P1460" s="22" t="str">
        <f aca="false">IF($B1460="","",IFERROR(INDEX(고객사!$K$5:$K$104,MATCH($B1460,고객사!$A$5:$A$104,0)),0))</f>
        <v/>
      </c>
      <c r="Q1460" s="22" t="str">
        <f aca="false">IF($B1460="","",G1460*P1460)</f>
        <v/>
      </c>
      <c r="R1460" s="22" t="str">
        <f aca="false">IF($B1460="","",O1460-Q1460-L1460)</f>
        <v/>
      </c>
      <c r="S1460" s="21" t="str">
        <f aca="false">IF(OR($B1460="",N(O1460)=0),"",R1460/O1460)</f>
        <v/>
      </c>
      <c r="T1460" s="14"/>
      <c r="U1460" s="19" t="n">
        <f aca="false">IF(OR($B1460="",$A1460=""),0,IF(COUNTIFS($A$5:$A1460,$A1460,$B$5:$B1460,$B1460)=1,1,0))</f>
        <v>0</v>
      </c>
    </row>
    <row r="1461" customFormat="false" ht="15" hidden="false" customHeight="false" outlineLevel="0" collapsed="false">
      <c r="A1461" s="17"/>
      <c r="B1461" s="13"/>
      <c r="C1461" s="20" t="str">
        <f aca="false">IF($B1461="","",IFERROR(INDEX(고객사!$B$5:$B$104,MATCH($B1461,고객사!$A$5:$A$104,0)),"코드 확인"))</f>
        <v/>
      </c>
      <c r="D1461" s="15"/>
      <c r="E1461" s="15"/>
      <c r="F1461" s="16"/>
      <c r="G1461" s="16"/>
      <c r="H1461" s="21" t="str">
        <f aca="false">IF(OR($B1461="",F1461=0),"",G1461/F1461)</f>
        <v/>
      </c>
      <c r="I1461" s="22" t="str">
        <f aca="false">IF($B1461="","",MAX(F1461-G1461,0))</f>
        <v/>
      </c>
      <c r="J1461" s="23" t="str">
        <f aca="false">IF($B1461="","",IFERROR(INDEX(고객사!$G$5:$G$104,MATCH($B1461,고객사!$A$5:$A$104,0)),""))</f>
        <v/>
      </c>
      <c r="K1461" s="16"/>
      <c r="L1461" s="22" t="str">
        <f aca="false">IF($B1461="","",K1461*IFERROR(INDEX(고객사!$L$5:$L$104,MATCH($B1461,고객사!$A$5:$A$104,0)),0))</f>
        <v/>
      </c>
      <c r="M1461" s="23" t="str">
        <f aca="false">IF($B1461="","",IF(AND(J1461="N",G1461&gt;0,K1461=0,IFERROR(INDEX(고객사!$H$5:$H$104,MATCH($B1461,고객사!$A$5:$A$104,0)),"")="자사 차량 운행"),"차량 미배정",""))</f>
        <v/>
      </c>
      <c r="N1461" s="22" t="str">
        <f aca="false">IF($B1461="","",IFERROR(INDEX(고객사!$J$5:$J$104,MATCH($B1461,고객사!$A$5:$A$104,0)),0))</f>
        <v/>
      </c>
      <c r="O1461" s="22" t="str">
        <f aca="false">IF($B1461="","",G1461*N1461)</f>
        <v/>
      </c>
      <c r="P1461" s="22" t="str">
        <f aca="false">IF($B1461="","",IFERROR(INDEX(고객사!$K$5:$K$104,MATCH($B1461,고객사!$A$5:$A$104,0)),0))</f>
        <v/>
      </c>
      <c r="Q1461" s="22" t="str">
        <f aca="false">IF($B1461="","",G1461*P1461)</f>
        <v/>
      </c>
      <c r="R1461" s="22" t="str">
        <f aca="false">IF($B1461="","",O1461-Q1461-L1461)</f>
        <v/>
      </c>
      <c r="S1461" s="21" t="str">
        <f aca="false">IF(OR($B1461="",N(O1461)=0),"",R1461/O1461)</f>
        <v/>
      </c>
      <c r="T1461" s="14"/>
      <c r="U1461" s="19" t="n">
        <f aca="false">IF(OR($B1461="",$A1461=""),0,IF(COUNTIFS($A$5:$A1461,$A1461,$B$5:$B1461,$B1461)=1,1,0))</f>
        <v>0</v>
      </c>
    </row>
    <row r="1462" customFormat="false" ht="15" hidden="false" customHeight="false" outlineLevel="0" collapsed="false">
      <c r="A1462" s="17"/>
      <c r="B1462" s="13"/>
      <c r="C1462" s="20" t="str">
        <f aca="false">IF($B1462="","",IFERROR(INDEX(고객사!$B$5:$B$104,MATCH($B1462,고객사!$A$5:$A$104,0)),"코드 확인"))</f>
        <v/>
      </c>
      <c r="D1462" s="15"/>
      <c r="E1462" s="15"/>
      <c r="F1462" s="16"/>
      <c r="G1462" s="16"/>
      <c r="H1462" s="21" t="str">
        <f aca="false">IF(OR($B1462="",F1462=0),"",G1462/F1462)</f>
        <v/>
      </c>
      <c r="I1462" s="22" t="str">
        <f aca="false">IF($B1462="","",MAX(F1462-G1462,0))</f>
        <v/>
      </c>
      <c r="J1462" s="23" t="str">
        <f aca="false">IF($B1462="","",IFERROR(INDEX(고객사!$G$5:$G$104,MATCH($B1462,고객사!$A$5:$A$104,0)),""))</f>
        <v/>
      </c>
      <c r="K1462" s="16"/>
      <c r="L1462" s="22" t="str">
        <f aca="false">IF($B1462="","",K1462*IFERROR(INDEX(고객사!$L$5:$L$104,MATCH($B1462,고객사!$A$5:$A$104,0)),0))</f>
        <v/>
      </c>
      <c r="M1462" s="23" t="str">
        <f aca="false">IF($B1462="","",IF(AND(J1462="N",G1462&gt;0,K1462=0,IFERROR(INDEX(고객사!$H$5:$H$104,MATCH($B1462,고객사!$A$5:$A$104,0)),"")="자사 차량 운행"),"차량 미배정",""))</f>
        <v/>
      </c>
      <c r="N1462" s="22" t="str">
        <f aca="false">IF($B1462="","",IFERROR(INDEX(고객사!$J$5:$J$104,MATCH($B1462,고객사!$A$5:$A$104,0)),0))</f>
        <v/>
      </c>
      <c r="O1462" s="22" t="str">
        <f aca="false">IF($B1462="","",G1462*N1462)</f>
        <v/>
      </c>
      <c r="P1462" s="22" t="str">
        <f aca="false">IF($B1462="","",IFERROR(INDEX(고객사!$K$5:$K$104,MATCH($B1462,고객사!$A$5:$A$104,0)),0))</f>
        <v/>
      </c>
      <c r="Q1462" s="22" t="str">
        <f aca="false">IF($B1462="","",G1462*P1462)</f>
        <v/>
      </c>
      <c r="R1462" s="22" t="str">
        <f aca="false">IF($B1462="","",O1462-Q1462-L1462)</f>
        <v/>
      </c>
      <c r="S1462" s="21" t="str">
        <f aca="false">IF(OR($B1462="",N(O1462)=0),"",R1462/O1462)</f>
        <v/>
      </c>
      <c r="T1462" s="14"/>
      <c r="U1462" s="19" t="n">
        <f aca="false">IF(OR($B1462="",$A1462=""),0,IF(COUNTIFS($A$5:$A1462,$A1462,$B$5:$B1462,$B1462)=1,1,0))</f>
        <v>0</v>
      </c>
    </row>
    <row r="1463" customFormat="false" ht="15" hidden="false" customHeight="false" outlineLevel="0" collapsed="false">
      <c r="A1463" s="17"/>
      <c r="B1463" s="13"/>
      <c r="C1463" s="20" t="str">
        <f aca="false">IF($B1463="","",IFERROR(INDEX(고객사!$B$5:$B$104,MATCH($B1463,고객사!$A$5:$A$104,0)),"코드 확인"))</f>
        <v/>
      </c>
      <c r="D1463" s="15"/>
      <c r="E1463" s="15"/>
      <c r="F1463" s="16"/>
      <c r="G1463" s="16"/>
      <c r="H1463" s="21" t="str">
        <f aca="false">IF(OR($B1463="",F1463=0),"",G1463/F1463)</f>
        <v/>
      </c>
      <c r="I1463" s="22" t="str">
        <f aca="false">IF($B1463="","",MAX(F1463-G1463,0))</f>
        <v/>
      </c>
      <c r="J1463" s="23" t="str">
        <f aca="false">IF($B1463="","",IFERROR(INDEX(고객사!$G$5:$G$104,MATCH($B1463,고객사!$A$5:$A$104,0)),""))</f>
        <v/>
      </c>
      <c r="K1463" s="16"/>
      <c r="L1463" s="22" t="str">
        <f aca="false">IF($B1463="","",K1463*IFERROR(INDEX(고객사!$L$5:$L$104,MATCH($B1463,고객사!$A$5:$A$104,0)),0))</f>
        <v/>
      </c>
      <c r="M1463" s="23" t="str">
        <f aca="false">IF($B1463="","",IF(AND(J1463="N",G1463&gt;0,K1463=0,IFERROR(INDEX(고객사!$H$5:$H$104,MATCH($B1463,고객사!$A$5:$A$104,0)),"")="자사 차량 운행"),"차량 미배정",""))</f>
        <v/>
      </c>
      <c r="N1463" s="22" t="str">
        <f aca="false">IF($B1463="","",IFERROR(INDEX(고객사!$J$5:$J$104,MATCH($B1463,고객사!$A$5:$A$104,0)),0))</f>
        <v/>
      </c>
      <c r="O1463" s="22" t="str">
        <f aca="false">IF($B1463="","",G1463*N1463)</f>
        <v/>
      </c>
      <c r="P1463" s="22" t="str">
        <f aca="false">IF($B1463="","",IFERROR(INDEX(고객사!$K$5:$K$104,MATCH($B1463,고객사!$A$5:$A$104,0)),0))</f>
        <v/>
      </c>
      <c r="Q1463" s="22" t="str">
        <f aca="false">IF($B1463="","",G1463*P1463)</f>
        <v/>
      </c>
      <c r="R1463" s="22" t="str">
        <f aca="false">IF($B1463="","",O1463-Q1463-L1463)</f>
        <v/>
      </c>
      <c r="S1463" s="21" t="str">
        <f aca="false">IF(OR($B1463="",N(O1463)=0),"",R1463/O1463)</f>
        <v/>
      </c>
      <c r="T1463" s="14"/>
      <c r="U1463" s="19" t="n">
        <f aca="false">IF(OR($B1463="",$A1463=""),0,IF(COUNTIFS($A$5:$A1463,$A1463,$B$5:$B1463,$B1463)=1,1,0))</f>
        <v>0</v>
      </c>
    </row>
    <row r="1464" customFormat="false" ht="15" hidden="false" customHeight="false" outlineLevel="0" collapsed="false">
      <c r="A1464" s="17"/>
      <c r="B1464" s="13"/>
      <c r="C1464" s="20" t="str">
        <f aca="false">IF($B1464="","",IFERROR(INDEX(고객사!$B$5:$B$104,MATCH($B1464,고객사!$A$5:$A$104,0)),"코드 확인"))</f>
        <v/>
      </c>
      <c r="D1464" s="15"/>
      <c r="E1464" s="15"/>
      <c r="F1464" s="16"/>
      <c r="G1464" s="16"/>
      <c r="H1464" s="21" t="str">
        <f aca="false">IF(OR($B1464="",F1464=0),"",G1464/F1464)</f>
        <v/>
      </c>
      <c r="I1464" s="22" t="str">
        <f aca="false">IF($B1464="","",MAX(F1464-G1464,0))</f>
        <v/>
      </c>
      <c r="J1464" s="23" t="str">
        <f aca="false">IF($B1464="","",IFERROR(INDEX(고객사!$G$5:$G$104,MATCH($B1464,고객사!$A$5:$A$104,0)),""))</f>
        <v/>
      </c>
      <c r="K1464" s="16"/>
      <c r="L1464" s="22" t="str">
        <f aca="false">IF($B1464="","",K1464*IFERROR(INDEX(고객사!$L$5:$L$104,MATCH($B1464,고객사!$A$5:$A$104,0)),0))</f>
        <v/>
      </c>
      <c r="M1464" s="23" t="str">
        <f aca="false">IF($B1464="","",IF(AND(J1464="N",G1464&gt;0,K1464=0,IFERROR(INDEX(고객사!$H$5:$H$104,MATCH($B1464,고객사!$A$5:$A$104,0)),"")="자사 차량 운행"),"차량 미배정",""))</f>
        <v/>
      </c>
      <c r="N1464" s="22" t="str">
        <f aca="false">IF($B1464="","",IFERROR(INDEX(고객사!$J$5:$J$104,MATCH($B1464,고객사!$A$5:$A$104,0)),0))</f>
        <v/>
      </c>
      <c r="O1464" s="22" t="str">
        <f aca="false">IF($B1464="","",G1464*N1464)</f>
        <v/>
      </c>
      <c r="P1464" s="22" t="str">
        <f aca="false">IF($B1464="","",IFERROR(INDEX(고객사!$K$5:$K$104,MATCH($B1464,고객사!$A$5:$A$104,0)),0))</f>
        <v/>
      </c>
      <c r="Q1464" s="22" t="str">
        <f aca="false">IF($B1464="","",G1464*P1464)</f>
        <v/>
      </c>
      <c r="R1464" s="22" t="str">
        <f aca="false">IF($B1464="","",O1464-Q1464-L1464)</f>
        <v/>
      </c>
      <c r="S1464" s="21" t="str">
        <f aca="false">IF(OR($B1464="",N(O1464)=0),"",R1464/O1464)</f>
        <v/>
      </c>
      <c r="T1464" s="14"/>
      <c r="U1464" s="19" t="n">
        <f aca="false">IF(OR($B1464="",$A1464=""),0,IF(COUNTIFS($A$5:$A1464,$A1464,$B$5:$B1464,$B1464)=1,1,0))</f>
        <v>0</v>
      </c>
    </row>
    <row r="1465" customFormat="false" ht="15" hidden="false" customHeight="false" outlineLevel="0" collapsed="false">
      <c r="A1465" s="17"/>
      <c r="B1465" s="13"/>
      <c r="C1465" s="20" t="str">
        <f aca="false">IF($B1465="","",IFERROR(INDEX(고객사!$B$5:$B$104,MATCH($B1465,고객사!$A$5:$A$104,0)),"코드 확인"))</f>
        <v/>
      </c>
      <c r="D1465" s="15"/>
      <c r="E1465" s="15"/>
      <c r="F1465" s="16"/>
      <c r="G1465" s="16"/>
      <c r="H1465" s="21" t="str">
        <f aca="false">IF(OR($B1465="",F1465=0),"",G1465/F1465)</f>
        <v/>
      </c>
      <c r="I1465" s="22" t="str">
        <f aca="false">IF($B1465="","",MAX(F1465-G1465,0))</f>
        <v/>
      </c>
      <c r="J1465" s="23" t="str">
        <f aca="false">IF($B1465="","",IFERROR(INDEX(고객사!$G$5:$G$104,MATCH($B1465,고객사!$A$5:$A$104,0)),""))</f>
        <v/>
      </c>
      <c r="K1465" s="16"/>
      <c r="L1465" s="22" t="str">
        <f aca="false">IF($B1465="","",K1465*IFERROR(INDEX(고객사!$L$5:$L$104,MATCH($B1465,고객사!$A$5:$A$104,0)),0))</f>
        <v/>
      </c>
      <c r="M1465" s="23" t="str">
        <f aca="false">IF($B1465="","",IF(AND(J1465="N",G1465&gt;0,K1465=0,IFERROR(INDEX(고객사!$H$5:$H$104,MATCH($B1465,고객사!$A$5:$A$104,0)),"")="자사 차량 운행"),"차량 미배정",""))</f>
        <v/>
      </c>
      <c r="N1465" s="22" t="str">
        <f aca="false">IF($B1465="","",IFERROR(INDEX(고객사!$J$5:$J$104,MATCH($B1465,고객사!$A$5:$A$104,0)),0))</f>
        <v/>
      </c>
      <c r="O1465" s="22" t="str">
        <f aca="false">IF($B1465="","",G1465*N1465)</f>
        <v/>
      </c>
      <c r="P1465" s="22" t="str">
        <f aca="false">IF($B1465="","",IFERROR(INDEX(고객사!$K$5:$K$104,MATCH($B1465,고객사!$A$5:$A$104,0)),0))</f>
        <v/>
      </c>
      <c r="Q1465" s="22" t="str">
        <f aca="false">IF($B1465="","",G1465*P1465)</f>
        <v/>
      </c>
      <c r="R1465" s="22" t="str">
        <f aca="false">IF($B1465="","",O1465-Q1465-L1465)</f>
        <v/>
      </c>
      <c r="S1465" s="21" t="str">
        <f aca="false">IF(OR($B1465="",N(O1465)=0),"",R1465/O1465)</f>
        <v/>
      </c>
      <c r="T1465" s="14"/>
      <c r="U1465" s="19" t="n">
        <f aca="false">IF(OR($B1465="",$A1465=""),0,IF(COUNTIFS($A$5:$A1465,$A1465,$B$5:$B1465,$B1465)=1,1,0))</f>
        <v>0</v>
      </c>
    </row>
    <row r="1466" customFormat="false" ht="15" hidden="false" customHeight="false" outlineLevel="0" collapsed="false">
      <c r="A1466" s="17"/>
      <c r="B1466" s="13"/>
      <c r="C1466" s="20" t="str">
        <f aca="false">IF($B1466="","",IFERROR(INDEX(고객사!$B$5:$B$104,MATCH($B1466,고객사!$A$5:$A$104,0)),"코드 확인"))</f>
        <v/>
      </c>
      <c r="D1466" s="15"/>
      <c r="E1466" s="15"/>
      <c r="F1466" s="16"/>
      <c r="G1466" s="16"/>
      <c r="H1466" s="21" t="str">
        <f aca="false">IF(OR($B1466="",F1466=0),"",G1466/F1466)</f>
        <v/>
      </c>
      <c r="I1466" s="22" t="str">
        <f aca="false">IF($B1466="","",MAX(F1466-G1466,0))</f>
        <v/>
      </c>
      <c r="J1466" s="23" t="str">
        <f aca="false">IF($B1466="","",IFERROR(INDEX(고객사!$G$5:$G$104,MATCH($B1466,고객사!$A$5:$A$104,0)),""))</f>
        <v/>
      </c>
      <c r="K1466" s="16"/>
      <c r="L1466" s="22" t="str">
        <f aca="false">IF($B1466="","",K1466*IFERROR(INDEX(고객사!$L$5:$L$104,MATCH($B1466,고객사!$A$5:$A$104,0)),0))</f>
        <v/>
      </c>
      <c r="M1466" s="23" t="str">
        <f aca="false">IF($B1466="","",IF(AND(J1466="N",G1466&gt;0,K1466=0,IFERROR(INDEX(고객사!$H$5:$H$104,MATCH($B1466,고객사!$A$5:$A$104,0)),"")="자사 차량 운행"),"차량 미배정",""))</f>
        <v/>
      </c>
      <c r="N1466" s="22" t="str">
        <f aca="false">IF($B1466="","",IFERROR(INDEX(고객사!$J$5:$J$104,MATCH($B1466,고객사!$A$5:$A$104,0)),0))</f>
        <v/>
      </c>
      <c r="O1466" s="22" t="str">
        <f aca="false">IF($B1466="","",G1466*N1466)</f>
        <v/>
      </c>
      <c r="P1466" s="22" t="str">
        <f aca="false">IF($B1466="","",IFERROR(INDEX(고객사!$K$5:$K$104,MATCH($B1466,고객사!$A$5:$A$104,0)),0))</f>
        <v/>
      </c>
      <c r="Q1466" s="22" t="str">
        <f aca="false">IF($B1466="","",G1466*P1466)</f>
        <v/>
      </c>
      <c r="R1466" s="22" t="str">
        <f aca="false">IF($B1466="","",O1466-Q1466-L1466)</f>
        <v/>
      </c>
      <c r="S1466" s="21" t="str">
        <f aca="false">IF(OR($B1466="",N(O1466)=0),"",R1466/O1466)</f>
        <v/>
      </c>
      <c r="T1466" s="14"/>
      <c r="U1466" s="19" t="n">
        <f aca="false">IF(OR($B1466="",$A1466=""),0,IF(COUNTIFS($A$5:$A1466,$A1466,$B$5:$B1466,$B1466)=1,1,0))</f>
        <v>0</v>
      </c>
    </row>
    <row r="1467" customFormat="false" ht="15" hidden="false" customHeight="false" outlineLevel="0" collapsed="false">
      <c r="A1467" s="17"/>
      <c r="B1467" s="13"/>
      <c r="C1467" s="20" t="str">
        <f aca="false">IF($B1467="","",IFERROR(INDEX(고객사!$B$5:$B$104,MATCH($B1467,고객사!$A$5:$A$104,0)),"코드 확인"))</f>
        <v/>
      </c>
      <c r="D1467" s="15"/>
      <c r="E1467" s="15"/>
      <c r="F1467" s="16"/>
      <c r="G1467" s="16"/>
      <c r="H1467" s="21" t="str">
        <f aca="false">IF(OR($B1467="",F1467=0),"",G1467/F1467)</f>
        <v/>
      </c>
      <c r="I1467" s="22" t="str">
        <f aca="false">IF($B1467="","",MAX(F1467-G1467,0))</f>
        <v/>
      </c>
      <c r="J1467" s="23" t="str">
        <f aca="false">IF($B1467="","",IFERROR(INDEX(고객사!$G$5:$G$104,MATCH($B1467,고객사!$A$5:$A$104,0)),""))</f>
        <v/>
      </c>
      <c r="K1467" s="16"/>
      <c r="L1467" s="22" t="str">
        <f aca="false">IF($B1467="","",K1467*IFERROR(INDEX(고객사!$L$5:$L$104,MATCH($B1467,고객사!$A$5:$A$104,0)),0))</f>
        <v/>
      </c>
      <c r="M1467" s="23" t="str">
        <f aca="false">IF($B1467="","",IF(AND(J1467="N",G1467&gt;0,K1467=0,IFERROR(INDEX(고객사!$H$5:$H$104,MATCH($B1467,고객사!$A$5:$A$104,0)),"")="자사 차량 운행"),"차량 미배정",""))</f>
        <v/>
      </c>
      <c r="N1467" s="22" t="str">
        <f aca="false">IF($B1467="","",IFERROR(INDEX(고객사!$J$5:$J$104,MATCH($B1467,고객사!$A$5:$A$104,0)),0))</f>
        <v/>
      </c>
      <c r="O1467" s="22" t="str">
        <f aca="false">IF($B1467="","",G1467*N1467)</f>
        <v/>
      </c>
      <c r="P1467" s="22" t="str">
        <f aca="false">IF($B1467="","",IFERROR(INDEX(고객사!$K$5:$K$104,MATCH($B1467,고객사!$A$5:$A$104,0)),0))</f>
        <v/>
      </c>
      <c r="Q1467" s="22" t="str">
        <f aca="false">IF($B1467="","",G1467*P1467)</f>
        <v/>
      </c>
      <c r="R1467" s="22" t="str">
        <f aca="false">IF($B1467="","",O1467-Q1467-L1467)</f>
        <v/>
      </c>
      <c r="S1467" s="21" t="str">
        <f aca="false">IF(OR($B1467="",N(O1467)=0),"",R1467/O1467)</f>
        <v/>
      </c>
      <c r="T1467" s="14"/>
      <c r="U1467" s="19" t="n">
        <f aca="false">IF(OR($B1467="",$A1467=""),0,IF(COUNTIFS($A$5:$A1467,$A1467,$B$5:$B1467,$B1467)=1,1,0))</f>
        <v>0</v>
      </c>
    </row>
    <row r="1468" customFormat="false" ht="15" hidden="false" customHeight="false" outlineLevel="0" collapsed="false">
      <c r="A1468" s="17"/>
      <c r="B1468" s="13"/>
      <c r="C1468" s="20" t="str">
        <f aca="false">IF($B1468="","",IFERROR(INDEX(고객사!$B$5:$B$104,MATCH($B1468,고객사!$A$5:$A$104,0)),"코드 확인"))</f>
        <v/>
      </c>
      <c r="D1468" s="15"/>
      <c r="E1468" s="15"/>
      <c r="F1468" s="16"/>
      <c r="G1468" s="16"/>
      <c r="H1468" s="21" t="str">
        <f aca="false">IF(OR($B1468="",F1468=0),"",G1468/F1468)</f>
        <v/>
      </c>
      <c r="I1468" s="22" t="str">
        <f aca="false">IF($B1468="","",MAX(F1468-G1468,0))</f>
        <v/>
      </c>
      <c r="J1468" s="23" t="str">
        <f aca="false">IF($B1468="","",IFERROR(INDEX(고객사!$G$5:$G$104,MATCH($B1468,고객사!$A$5:$A$104,0)),""))</f>
        <v/>
      </c>
      <c r="K1468" s="16"/>
      <c r="L1468" s="22" t="str">
        <f aca="false">IF($B1468="","",K1468*IFERROR(INDEX(고객사!$L$5:$L$104,MATCH($B1468,고객사!$A$5:$A$104,0)),0))</f>
        <v/>
      </c>
      <c r="M1468" s="23" t="str">
        <f aca="false">IF($B1468="","",IF(AND(J1468="N",G1468&gt;0,K1468=0,IFERROR(INDEX(고객사!$H$5:$H$104,MATCH($B1468,고객사!$A$5:$A$104,0)),"")="자사 차량 운행"),"차량 미배정",""))</f>
        <v/>
      </c>
      <c r="N1468" s="22" t="str">
        <f aca="false">IF($B1468="","",IFERROR(INDEX(고객사!$J$5:$J$104,MATCH($B1468,고객사!$A$5:$A$104,0)),0))</f>
        <v/>
      </c>
      <c r="O1468" s="22" t="str">
        <f aca="false">IF($B1468="","",G1468*N1468)</f>
        <v/>
      </c>
      <c r="P1468" s="22" t="str">
        <f aca="false">IF($B1468="","",IFERROR(INDEX(고객사!$K$5:$K$104,MATCH($B1468,고객사!$A$5:$A$104,0)),0))</f>
        <v/>
      </c>
      <c r="Q1468" s="22" t="str">
        <f aca="false">IF($B1468="","",G1468*P1468)</f>
        <v/>
      </c>
      <c r="R1468" s="22" t="str">
        <f aca="false">IF($B1468="","",O1468-Q1468-L1468)</f>
        <v/>
      </c>
      <c r="S1468" s="21" t="str">
        <f aca="false">IF(OR($B1468="",N(O1468)=0),"",R1468/O1468)</f>
        <v/>
      </c>
      <c r="T1468" s="14"/>
      <c r="U1468" s="19" t="n">
        <f aca="false">IF(OR($B1468="",$A1468=""),0,IF(COUNTIFS($A$5:$A1468,$A1468,$B$5:$B1468,$B1468)=1,1,0))</f>
        <v>0</v>
      </c>
    </row>
    <row r="1469" customFormat="false" ht="15" hidden="false" customHeight="false" outlineLevel="0" collapsed="false">
      <c r="A1469" s="17"/>
      <c r="B1469" s="13"/>
      <c r="C1469" s="20" t="str">
        <f aca="false">IF($B1469="","",IFERROR(INDEX(고객사!$B$5:$B$104,MATCH($B1469,고객사!$A$5:$A$104,0)),"코드 확인"))</f>
        <v/>
      </c>
      <c r="D1469" s="15"/>
      <c r="E1469" s="15"/>
      <c r="F1469" s="16"/>
      <c r="G1469" s="16"/>
      <c r="H1469" s="21" t="str">
        <f aca="false">IF(OR($B1469="",F1469=0),"",G1469/F1469)</f>
        <v/>
      </c>
      <c r="I1469" s="22" t="str">
        <f aca="false">IF($B1469="","",MAX(F1469-G1469,0))</f>
        <v/>
      </c>
      <c r="J1469" s="23" t="str">
        <f aca="false">IF($B1469="","",IFERROR(INDEX(고객사!$G$5:$G$104,MATCH($B1469,고객사!$A$5:$A$104,0)),""))</f>
        <v/>
      </c>
      <c r="K1469" s="16"/>
      <c r="L1469" s="22" t="str">
        <f aca="false">IF($B1469="","",K1469*IFERROR(INDEX(고객사!$L$5:$L$104,MATCH($B1469,고객사!$A$5:$A$104,0)),0))</f>
        <v/>
      </c>
      <c r="M1469" s="23" t="str">
        <f aca="false">IF($B1469="","",IF(AND(J1469="N",G1469&gt;0,K1469=0,IFERROR(INDEX(고객사!$H$5:$H$104,MATCH($B1469,고객사!$A$5:$A$104,0)),"")="자사 차량 운행"),"차량 미배정",""))</f>
        <v/>
      </c>
      <c r="N1469" s="22" t="str">
        <f aca="false">IF($B1469="","",IFERROR(INDEX(고객사!$J$5:$J$104,MATCH($B1469,고객사!$A$5:$A$104,0)),0))</f>
        <v/>
      </c>
      <c r="O1469" s="22" t="str">
        <f aca="false">IF($B1469="","",G1469*N1469)</f>
        <v/>
      </c>
      <c r="P1469" s="22" t="str">
        <f aca="false">IF($B1469="","",IFERROR(INDEX(고객사!$K$5:$K$104,MATCH($B1469,고객사!$A$5:$A$104,0)),0))</f>
        <v/>
      </c>
      <c r="Q1469" s="22" t="str">
        <f aca="false">IF($B1469="","",G1469*P1469)</f>
        <v/>
      </c>
      <c r="R1469" s="22" t="str">
        <f aca="false">IF($B1469="","",O1469-Q1469-L1469)</f>
        <v/>
      </c>
      <c r="S1469" s="21" t="str">
        <f aca="false">IF(OR($B1469="",N(O1469)=0),"",R1469/O1469)</f>
        <v/>
      </c>
      <c r="T1469" s="14"/>
      <c r="U1469" s="19" t="n">
        <f aca="false">IF(OR($B1469="",$A1469=""),0,IF(COUNTIFS($A$5:$A1469,$A1469,$B$5:$B1469,$B1469)=1,1,0))</f>
        <v>0</v>
      </c>
    </row>
    <row r="1470" customFormat="false" ht="15" hidden="false" customHeight="false" outlineLevel="0" collapsed="false">
      <c r="A1470" s="17"/>
      <c r="B1470" s="13"/>
      <c r="C1470" s="20" t="str">
        <f aca="false">IF($B1470="","",IFERROR(INDEX(고객사!$B$5:$B$104,MATCH($B1470,고객사!$A$5:$A$104,0)),"코드 확인"))</f>
        <v/>
      </c>
      <c r="D1470" s="15"/>
      <c r="E1470" s="15"/>
      <c r="F1470" s="16"/>
      <c r="G1470" s="16"/>
      <c r="H1470" s="21" t="str">
        <f aca="false">IF(OR($B1470="",F1470=0),"",G1470/F1470)</f>
        <v/>
      </c>
      <c r="I1470" s="22" t="str">
        <f aca="false">IF($B1470="","",MAX(F1470-G1470,0))</f>
        <v/>
      </c>
      <c r="J1470" s="23" t="str">
        <f aca="false">IF($B1470="","",IFERROR(INDEX(고객사!$G$5:$G$104,MATCH($B1470,고객사!$A$5:$A$104,0)),""))</f>
        <v/>
      </c>
      <c r="K1470" s="16"/>
      <c r="L1470" s="22" t="str">
        <f aca="false">IF($B1470="","",K1470*IFERROR(INDEX(고객사!$L$5:$L$104,MATCH($B1470,고객사!$A$5:$A$104,0)),0))</f>
        <v/>
      </c>
      <c r="M1470" s="23" t="str">
        <f aca="false">IF($B1470="","",IF(AND(J1470="N",G1470&gt;0,K1470=0,IFERROR(INDEX(고객사!$H$5:$H$104,MATCH($B1470,고객사!$A$5:$A$104,0)),"")="자사 차량 운행"),"차량 미배정",""))</f>
        <v/>
      </c>
      <c r="N1470" s="22" t="str">
        <f aca="false">IF($B1470="","",IFERROR(INDEX(고객사!$J$5:$J$104,MATCH($B1470,고객사!$A$5:$A$104,0)),0))</f>
        <v/>
      </c>
      <c r="O1470" s="22" t="str">
        <f aca="false">IF($B1470="","",G1470*N1470)</f>
        <v/>
      </c>
      <c r="P1470" s="22" t="str">
        <f aca="false">IF($B1470="","",IFERROR(INDEX(고객사!$K$5:$K$104,MATCH($B1470,고객사!$A$5:$A$104,0)),0))</f>
        <v/>
      </c>
      <c r="Q1470" s="22" t="str">
        <f aca="false">IF($B1470="","",G1470*P1470)</f>
        <v/>
      </c>
      <c r="R1470" s="22" t="str">
        <f aca="false">IF($B1470="","",O1470-Q1470-L1470)</f>
        <v/>
      </c>
      <c r="S1470" s="21" t="str">
        <f aca="false">IF(OR($B1470="",N(O1470)=0),"",R1470/O1470)</f>
        <v/>
      </c>
      <c r="T1470" s="14"/>
      <c r="U1470" s="19" t="n">
        <f aca="false">IF(OR($B1470="",$A1470=""),0,IF(COUNTIFS($A$5:$A1470,$A1470,$B$5:$B1470,$B1470)=1,1,0))</f>
        <v>0</v>
      </c>
    </row>
    <row r="1471" customFormat="false" ht="15" hidden="false" customHeight="false" outlineLevel="0" collapsed="false">
      <c r="A1471" s="17"/>
      <c r="B1471" s="13"/>
      <c r="C1471" s="20" t="str">
        <f aca="false">IF($B1471="","",IFERROR(INDEX(고객사!$B$5:$B$104,MATCH($B1471,고객사!$A$5:$A$104,0)),"코드 확인"))</f>
        <v/>
      </c>
      <c r="D1471" s="15"/>
      <c r="E1471" s="15"/>
      <c r="F1471" s="16"/>
      <c r="G1471" s="16"/>
      <c r="H1471" s="21" t="str">
        <f aca="false">IF(OR($B1471="",F1471=0),"",G1471/F1471)</f>
        <v/>
      </c>
      <c r="I1471" s="22" t="str">
        <f aca="false">IF($B1471="","",MAX(F1471-G1471,0))</f>
        <v/>
      </c>
      <c r="J1471" s="23" t="str">
        <f aca="false">IF($B1471="","",IFERROR(INDEX(고객사!$G$5:$G$104,MATCH($B1471,고객사!$A$5:$A$104,0)),""))</f>
        <v/>
      </c>
      <c r="K1471" s="16"/>
      <c r="L1471" s="22" t="str">
        <f aca="false">IF($B1471="","",K1471*IFERROR(INDEX(고객사!$L$5:$L$104,MATCH($B1471,고객사!$A$5:$A$104,0)),0))</f>
        <v/>
      </c>
      <c r="M1471" s="23" t="str">
        <f aca="false">IF($B1471="","",IF(AND(J1471="N",G1471&gt;0,K1471=0,IFERROR(INDEX(고객사!$H$5:$H$104,MATCH($B1471,고객사!$A$5:$A$104,0)),"")="자사 차량 운행"),"차량 미배정",""))</f>
        <v/>
      </c>
      <c r="N1471" s="22" t="str">
        <f aca="false">IF($B1471="","",IFERROR(INDEX(고객사!$J$5:$J$104,MATCH($B1471,고객사!$A$5:$A$104,0)),0))</f>
        <v/>
      </c>
      <c r="O1471" s="22" t="str">
        <f aca="false">IF($B1471="","",G1471*N1471)</f>
        <v/>
      </c>
      <c r="P1471" s="22" t="str">
        <f aca="false">IF($B1471="","",IFERROR(INDEX(고객사!$K$5:$K$104,MATCH($B1471,고객사!$A$5:$A$104,0)),0))</f>
        <v/>
      </c>
      <c r="Q1471" s="22" t="str">
        <f aca="false">IF($B1471="","",G1471*P1471)</f>
        <v/>
      </c>
      <c r="R1471" s="22" t="str">
        <f aca="false">IF($B1471="","",O1471-Q1471-L1471)</f>
        <v/>
      </c>
      <c r="S1471" s="21" t="str">
        <f aca="false">IF(OR($B1471="",N(O1471)=0),"",R1471/O1471)</f>
        <v/>
      </c>
      <c r="T1471" s="14"/>
      <c r="U1471" s="19" t="n">
        <f aca="false">IF(OR($B1471="",$A1471=""),0,IF(COUNTIFS($A$5:$A1471,$A1471,$B$5:$B1471,$B1471)=1,1,0))</f>
        <v>0</v>
      </c>
    </row>
    <row r="1472" customFormat="false" ht="15" hidden="false" customHeight="false" outlineLevel="0" collapsed="false">
      <c r="A1472" s="17"/>
      <c r="B1472" s="13"/>
      <c r="C1472" s="20" t="str">
        <f aca="false">IF($B1472="","",IFERROR(INDEX(고객사!$B$5:$B$104,MATCH($B1472,고객사!$A$5:$A$104,0)),"코드 확인"))</f>
        <v/>
      </c>
      <c r="D1472" s="15"/>
      <c r="E1472" s="15"/>
      <c r="F1472" s="16"/>
      <c r="G1472" s="16"/>
      <c r="H1472" s="21" t="str">
        <f aca="false">IF(OR($B1472="",F1472=0),"",G1472/F1472)</f>
        <v/>
      </c>
      <c r="I1472" s="22" t="str">
        <f aca="false">IF($B1472="","",MAX(F1472-G1472,0))</f>
        <v/>
      </c>
      <c r="J1472" s="23" t="str">
        <f aca="false">IF($B1472="","",IFERROR(INDEX(고객사!$G$5:$G$104,MATCH($B1472,고객사!$A$5:$A$104,0)),""))</f>
        <v/>
      </c>
      <c r="K1472" s="16"/>
      <c r="L1472" s="22" t="str">
        <f aca="false">IF($B1472="","",K1472*IFERROR(INDEX(고객사!$L$5:$L$104,MATCH($B1472,고객사!$A$5:$A$104,0)),0))</f>
        <v/>
      </c>
      <c r="M1472" s="23" t="str">
        <f aca="false">IF($B1472="","",IF(AND(J1472="N",G1472&gt;0,K1472=0,IFERROR(INDEX(고객사!$H$5:$H$104,MATCH($B1472,고객사!$A$5:$A$104,0)),"")="자사 차량 운행"),"차량 미배정",""))</f>
        <v/>
      </c>
      <c r="N1472" s="22" t="str">
        <f aca="false">IF($B1472="","",IFERROR(INDEX(고객사!$J$5:$J$104,MATCH($B1472,고객사!$A$5:$A$104,0)),0))</f>
        <v/>
      </c>
      <c r="O1472" s="22" t="str">
        <f aca="false">IF($B1472="","",G1472*N1472)</f>
        <v/>
      </c>
      <c r="P1472" s="22" t="str">
        <f aca="false">IF($B1472="","",IFERROR(INDEX(고객사!$K$5:$K$104,MATCH($B1472,고객사!$A$5:$A$104,0)),0))</f>
        <v/>
      </c>
      <c r="Q1472" s="22" t="str">
        <f aca="false">IF($B1472="","",G1472*P1472)</f>
        <v/>
      </c>
      <c r="R1472" s="22" t="str">
        <f aca="false">IF($B1472="","",O1472-Q1472-L1472)</f>
        <v/>
      </c>
      <c r="S1472" s="21" t="str">
        <f aca="false">IF(OR($B1472="",N(O1472)=0),"",R1472/O1472)</f>
        <v/>
      </c>
      <c r="T1472" s="14"/>
      <c r="U1472" s="19" t="n">
        <f aca="false">IF(OR($B1472="",$A1472=""),0,IF(COUNTIFS($A$5:$A1472,$A1472,$B$5:$B1472,$B1472)=1,1,0))</f>
        <v>0</v>
      </c>
    </row>
    <row r="1473" customFormat="false" ht="15" hidden="false" customHeight="false" outlineLevel="0" collapsed="false">
      <c r="A1473" s="17"/>
      <c r="B1473" s="13"/>
      <c r="C1473" s="20" t="str">
        <f aca="false">IF($B1473="","",IFERROR(INDEX(고객사!$B$5:$B$104,MATCH($B1473,고객사!$A$5:$A$104,0)),"코드 확인"))</f>
        <v/>
      </c>
      <c r="D1473" s="15"/>
      <c r="E1473" s="15"/>
      <c r="F1473" s="16"/>
      <c r="G1473" s="16"/>
      <c r="H1473" s="21" t="str">
        <f aca="false">IF(OR($B1473="",F1473=0),"",G1473/F1473)</f>
        <v/>
      </c>
      <c r="I1473" s="22" t="str">
        <f aca="false">IF($B1473="","",MAX(F1473-G1473,0))</f>
        <v/>
      </c>
      <c r="J1473" s="23" t="str">
        <f aca="false">IF($B1473="","",IFERROR(INDEX(고객사!$G$5:$G$104,MATCH($B1473,고객사!$A$5:$A$104,0)),""))</f>
        <v/>
      </c>
      <c r="K1473" s="16"/>
      <c r="L1473" s="22" t="str">
        <f aca="false">IF($B1473="","",K1473*IFERROR(INDEX(고객사!$L$5:$L$104,MATCH($B1473,고객사!$A$5:$A$104,0)),0))</f>
        <v/>
      </c>
      <c r="M1473" s="23" t="str">
        <f aca="false">IF($B1473="","",IF(AND(J1473="N",G1473&gt;0,K1473=0,IFERROR(INDEX(고객사!$H$5:$H$104,MATCH($B1473,고객사!$A$5:$A$104,0)),"")="자사 차량 운행"),"차량 미배정",""))</f>
        <v/>
      </c>
      <c r="N1473" s="22" t="str">
        <f aca="false">IF($B1473="","",IFERROR(INDEX(고객사!$J$5:$J$104,MATCH($B1473,고객사!$A$5:$A$104,0)),0))</f>
        <v/>
      </c>
      <c r="O1473" s="22" t="str">
        <f aca="false">IF($B1473="","",G1473*N1473)</f>
        <v/>
      </c>
      <c r="P1473" s="22" t="str">
        <f aca="false">IF($B1473="","",IFERROR(INDEX(고객사!$K$5:$K$104,MATCH($B1473,고객사!$A$5:$A$104,0)),0))</f>
        <v/>
      </c>
      <c r="Q1473" s="22" t="str">
        <f aca="false">IF($B1473="","",G1473*P1473)</f>
        <v/>
      </c>
      <c r="R1473" s="22" t="str">
        <f aca="false">IF($B1473="","",O1473-Q1473-L1473)</f>
        <v/>
      </c>
      <c r="S1473" s="21" t="str">
        <f aca="false">IF(OR($B1473="",N(O1473)=0),"",R1473/O1473)</f>
        <v/>
      </c>
      <c r="T1473" s="14"/>
      <c r="U1473" s="19" t="n">
        <f aca="false">IF(OR($B1473="",$A1473=""),0,IF(COUNTIFS($A$5:$A1473,$A1473,$B$5:$B1473,$B1473)=1,1,0))</f>
        <v>0</v>
      </c>
    </row>
    <row r="1474" customFormat="false" ht="15" hidden="false" customHeight="false" outlineLevel="0" collapsed="false">
      <c r="A1474" s="17"/>
      <c r="B1474" s="13"/>
      <c r="C1474" s="20" t="str">
        <f aca="false">IF($B1474="","",IFERROR(INDEX(고객사!$B$5:$B$104,MATCH($B1474,고객사!$A$5:$A$104,0)),"코드 확인"))</f>
        <v/>
      </c>
      <c r="D1474" s="15"/>
      <c r="E1474" s="15"/>
      <c r="F1474" s="16"/>
      <c r="G1474" s="16"/>
      <c r="H1474" s="21" t="str">
        <f aca="false">IF(OR($B1474="",F1474=0),"",G1474/F1474)</f>
        <v/>
      </c>
      <c r="I1474" s="22" t="str">
        <f aca="false">IF($B1474="","",MAX(F1474-G1474,0))</f>
        <v/>
      </c>
      <c r="J1474" s="23" t="str">
        <f aca="false">IF($B1474="","",IFERROR(INDEX(고객사!$G$5:$G$104,MATCH($B1474,고객사!$A$5:$A$104,0)),""))</f>
        <v/>
      </c>
      <c r="K1474" s="16"/>
      <c r="L1474" s="22" t="str">
        <f aca="false">IF($B1474="","",K1474*IFERROR(INDEX(고객사!$L$5:$L$104,MATCH($B1474,고객사!$A$5:$A$104,0)),0))</f>
        <v/>
      </c>
      <c r="M1474" s="23" t="str">
        <f aca="false">IF($B1474="","",IF(AND(J1474="N",G1474&gt;0,K1474=0,IFERROR(INDEX(고객사!$H$5:$H$104,MATCH($B1474,고객사!$A$5:$A$104,0)),"")="자사 차량 운행"),"차량 미배정",""))</f>
        <v/>
      </c>
      <c r="N1474" s="22" t="str">
        <f aca="false">IF($B1474="","",IFERROR(INDEX(고객사!$J$5:$J$104,MATCH($B1474,고객사!$A$5:$A$104,0)),0))</f>
        <v/>
      </c>
      <c r="O1474" s="22" t="str">
        <f aca="false">IF($B1474="","",G1474*N1474)</f>
        <v/>
      </c>
      <c r="P1474" s="22" t="str">
        <f aca="false">IF($B1474="","",IFERROR(INDEX(고객사!$K$5:$K$104,MATCH($B1474,고객사!$A$5:$A$104,0)),0))</f>
        <v/>
      </c>
      <c r="Q1474" s="22" t="str">
        <f aca="false">IF($B1474="","",G1474*P1474)</f>
        <v/>
      </c>
      <c r="R1474" s="22" t="str">
        <f aca="false">IF($B1474="","",O1474-Q1474-L1474)</f>
        <v/>
      </c>
      <c r="S1474" s="21" t="str">
        <f aca="false">IF(OR($B1474="",N(O1474)=0),"",R1474/O1474)</f>
        <v/>
      </c>
      <c r="T1474" s="14"/>
      <c r="U1474" s="19" t="n">
        <f aca="false">IF(OR($B1474="",$A1474=""),0,IF(COUNTIFS($A$5:$A1474,$A1474,$B$5:$B1474,$B1474)=1,1,0))</f>
        <v>0</v>
      </c>
    </row>
    <row r="1475" customFormat="false" ht="15" hidden="false" customHeight="false" outlineLevel="0" collapsed="false">
      <c r="A1475" s="17"/>
      <c r="B1475" s="13"/>
      <c r="C1475" s="20" t="str">
        <f aca="false">IF($B1475="","",IFERROR(INDEX(고객사!$B$5:$B$104,MATCH($B1475,고객사!$A$5:$A$104,0)),"코드 확인"))</f>
        <v/>
      </c>
      <c r="D1475" s="15"/>
      <c r="E1475" s="15"/>
      <c r="F1475" s="16"/>
      <c r="G1475" s="16"/>
      <c r="H1475" s="21" t="str">
        <f aca="false">IF(OR($B1475="",F1475=0),"",G1475/F1475)</f>
        <v/>
      </c>
      <c r="I1475" s="22" t="str">
        <f aca="false">IF($B1475="","",MAX(F1475-G1475,0))</f>
        <v/>
      </c>
      <c r="J1475" s="23" t="str">
        <f aca="false">IF($B1475="","",IFERROR(INDEX(고객사!$G$5:$G$104,MATCH($B1475,고객사!$A$5:$A$104,0)),""))</f>
        <v/>
      </c>
      <c r="K1475" s="16"/>
      <c r="L1475" s="22" t="str">
        <f aca="false">IF($B1475="","",K1475*IFERROR(INDEX(고객사!$L$5:$L$104,MATCH($B1475,고객사!$A$5:$A$104,0)),0))</f>
        <v/>
      </c>
      <c r="M1475" s="23" t="str">
        <f aca="false">IF($B1475="","",IF(AND(J1475="N",G1475&gt;0,K1475=0,IFERROR(INDEX(고객사!$H$5:$H$104,MATCH($B1475,고객사!$A$5:$A$104,0)),"")="자사 차량 운행"),"차량 미배정",""))</f>
        <v/>
      </c>
      <c r="N1475" s="22" t="str">
        <f aca="false">IF($B1475="","",IFERROR(INDEX(고객사!$J$5:$J$104,MATCH($B1475,고객사!$A$5:$A$104,0)),0))</f>
        <v/>
      </c>
      <c r="O1475" s="22" t="str">
        <f aca="false">IF($B1475="","",G1475*N1475)</f>
        <v/>
      </c>
      <c r="P1475" s="22" t="str">
        <f aca="false">IF($B1475="","",IFERROR(INDEX(고객사!$K$5:$K$104,MATCH($B1475,고객사!$A$5:$A$104,0)),0))</f>
        <v/>
      </c>
      <c r="Q1475" s="22" t="str">
        <f aca="false">IF($B1475="","",G1475*P1475)</f>
        <v/>
      </c>
      <c r="R1475" s="22" t="str">
        <f aca="false">IF($B1475="","",O1475-Q1475-L1475)</f>
        <v/>
      </c>
      <c r="S1475" s="21" t="str">
        <f aca="false">IF(OR($B1475="",N(O1475)=0),"",R1475/O1475)</f>
        <v/>
      </c>
      <c r="T1475" s="14"/>
      <c r="U1475" s="19" t="n">
        <f aca="false">IF(OR($B1475="",$A1475=""),0,IF(COUNTIFS($A$5:$A1475,$A1475,$B$5:$B1475,$B1475)=1,1,0))</f>
        <v>0</v>
      </c>
    </row>
    <row r="1476" customFormat="false" ht="15" hidden="false" customHeight="false" outlineLevel="0" collapsed="false">
      <c r="A1476" s="17"/>
      <c r="B1476" s="13"/>
      <c r="C1476" s="20" t="str">
        <f aca="false">IF($B1476="","",IFERROR(INDEX(고객사!$B$5:$B$104,MATCH($B1476,고객사!$A$5:$A$104,0)),"코드 확인"))</f>
        <v/>
      </c>
      <c r="D1476" s="15"/>
      <c r="E1476" s="15"/>
      <c r="F1476" s="16"/>
      <c r="G1476" s="16"/>
      <c r="H1476" s="21" t="str">
        <f aca="false">IF(OR($B1476="",F1476=0),"",G1476/F1476)</f>
        <v/>
      </c>
      <c r="I1476" s="22" t="str">
        <f aca="false">IF($B1476="","",MAX(F1476-G1476,0))</f>
        <v/>
      </c>
      <c r="J1476" s="23" t="str">
        <f aca="false">IF($B1476="","",IFERROR(INDEX(고객사!$G$5:$G$104,MATCH($B1476,고객사!$A$5:$A$104,0)),""))</f>
        <v/>
      </c>
      <c r="K1476" s="16"/>
      <c r="L1476" s="22" t="str">
        <f aca="false">IF($B1476="","",K1476*IFERROR(INDEX(고객사!$L$5:$L$104,MATCH($B1476,고객사!$A$5:$A$104,0)),0))</f>
        <v/>
      </c>
      <c r="M1476" s="23" t="str">
        <f aca="false">IF($B1476="","",IF(AND(J1476="N",G1476&gt;0,K1476=0,IFERROR(INDEX(고객사!$H$5:$H$104,MATCH($B1476,고객사!$A$5:$A$104,0)),"")="자사 차량 운행"),"차량 미배정",""))</f>
        <v/>
      </c>
      <c r="N1476" s="22" t="str">
        <f aca="false">IF($B1476="","",IFERROR(INDEX(고객사!$J$5:$J$104,MATCH($B1476,고객사!$A$5:$A$104,0)),0))</f>
        <v/>
      </c>
      <c r="O1476" s="22" t="str">
        <f aca="false">IF($B1476="","",G1476*N1476)</f>
        <v/>
      </c>
      <c r="P1476" s="22" t="str">
        <f aca="false">IF($B1476="","",IFERROR(INDEX(고객사!$K$5:$K$104,MATCH($B1476,고객사!$A$5:$A$104,0)),0))</f>
        <v/>
      </c>
      <c r="Q1476" s="22" t="str">
        <f aca="false">IF($B1476="","",G1476*P1476)</f>
        <v/>
      </c>
      <c r="R1476" s="22" t="str">
        <f aca="false">IF($B1476="","",O1476-Q1476-L1476)</f>
        <v/>
      </c>
      <c r="S1476" s="21" t="str">
        <f aca="false">IF(OR($B1476="",N(O1476)=0),"",R1476/O1476)</f>
        <v/>
      </c>
      <c r="T1476" s="14"/>
      <c r="U1476" s="19" t="n">
        <f aca="false">IF(OR($B1476="",$A1476=""),0,IF(COUNTIFS($A$5:$A1476,$A1476,$B$5:$B1476,$B1476)=1,1,0))</f>
        <v>0</v>
      </c>
    </row>
    <row r="1477" customFormat="false" ht="15" hidden="false" customHeight="false" outlineLevel="0" collapsed="false">
      <c r="A1477" s="17"/>
      <c r="B1477" s="13"/>
      <c r="C1477" s="20" t="str">
        <f aca="false">IF($B1477="","",IFERROR(INDEX(고객사!$B$5:$B$104,MATCH($B1477,고객사!$A$5:$A$104,0)),"코드 확인"))</f>
        <v/>
      </c>
      <c r="D1477" s="15"/>
      <c r="E1477" s="15"/>
      <c r="F1477" s="16"/>
      <c r="G1477" s="16"/>
      <c r="H1477" s="21" t="str">
        <f aca="false">IF(OR($B1477="",F1477=0),"",G1477/F1477)</f>
        <v/>
      </c>
      <c r="I1477" s="22" t="str">
        <f aca="false">IF($B1477="","",MAX(F1477-G1477,0))</f>
        <v/>
      </c>
      <c r="J1477" s="23" t="str">
        <f aca="false">IF($B1477="","",IFERROR(INDEX(고객사!$G$5:$G$104,MATCH($B1477,고객사!$A$5:$A$104,0)),""))</f>
        <v/>
      </c>
      <c r="K1477" s="16"/>
      <c r="L1477" s="22" t="str">
        <f aca="false">IF($B1477="","",K1477*IFERROR(INDEX(고객사!$L$5:$L$104,MATCH($B1477,고객사!$A$5:$A$104,0)),0))</f>
        <v/>
      </c>
      <c r="M1477" s="23" t="str">
        <f aca="false">IF($B1477="","",IF(AND(J1477="N",G1477&gt;0,K1477=0,IFERROR(INDEX(고객사!$H$5:$H$104,MATCH($B1477,고객사!$A$5:$A$104,0)),"")="자사 차량 운행"),"차량 미배정",""))</f>
        <v/>
      </c>
      <c r="N1477" s="22" t="str">
        <f aca="false">IF($B1477="","",IFERROR(INDEX(고객사!$J$5:$J$104,MATCH($B1477,고객사!$A$5:$A$104,0)),0))</f>
        <v/>
      </c>
      <c r="O1477" s="22" t="str">
        <f aca="false">IF($B1477="","",G1477*N1477)</f>
        <v/>
      </c>
      <c r="P1477" s="22" t="str">
        <f aca="false">IF($B1477="","",IFERROR(INDEX(고객사!$K$5:$K$104,MATCH($B1477,고객사!$A$5:$A$104,0)),0))</f>
        <v/>
      </c>
      <c r="Q1477" s="22" t="str">
        <f aca="false">IF($B1477="","",G1477*P1477)</f>
        <v/>
      </c>
      <c r="R1477" s="22" t="str">
        <f aca="false">IF($B1477="","",O1477-Q1477-L1477)</f>
        <v/>
      </c>
      <c r="S1477" s="21" t="str">
        <f aca="false">IF(OR($B1477="",N(O1477)=0),"",R1477/O1477)</f>
        <v/>
      </c>
      <c r="T1477" s="14"/>
      <c r="U1477" s="19" t="n">
        <f aca="false">IF(OR($B1477="",$A1477=""),0,IF(COUNTIFS($A$5:$A1477,$A1477,$B$5:$B1477,$B1477)=1,1,0))</f>
        <v>0</v>
      </c>
    </row>
    <row r="1478" customFormat="false" ht="15" hidden="false" customHeight="false" outlineLevel="0" collapsed="false">
      <c r="A1478" s="17"/>
      <c r="B1478" s="13"/>
      <c r="C1478" s="20" t="str">
        <f aca="false">IF($B1478="","",IFERROR(INDEX(고객사!$B$5:$B$104,MATCH($B1478,고객사!$A$5:$A$104,0)),"코드 확인"))</f>
        <v/>
      </c>
      <c r="D1478" s="15"/>
      <c r="E1478" s="15"/>
      <c r="F1478" s="16"/>
      <c r="G1478" s="16"/>
      <c r="H1478" s="21" t="str">
        <f aca="false">IF(OR($B1478="",F1478=0),"",G1478/F1478)</f>
        <v/>
      </c>
      <c r="I1478" s="22" t="str">
        <f aca="false">IF($B1478="","",MAX(F1478-G1478,0))</f>
        <v/>
      </c>
      <c r="J1478" s="23" t="str">
        <f aca="false">IF($B1478="","",IFERROR(INDEX(고객사!$G$5:$G$104,MATCH($B1478,고객사!$A$5:$A$104,0)),""))</f>
        <v/>
      </c>
      <c r="K1478" s="16"/>
      <c r="L1478" s="22" t="str">
        <f aca="false">IF($B1478="","",K1478*IFERROR(INDEX(고객사!$L$5:$L$104,MATCH($B1478,고객사!$A$5:$A$104,0)),0))</f>
        <v/>
      </c>
      <c r="M1478" s="23" t="str">
        <f aca="false">IF($B1478="","",IF(AND(J1478="N",G1478&gt;0,K1478=0,IFERROR(INDEX(고객사!$H$5:$H$104,MATCH($B1478,고객사!$A$5:$A$104,0)),"")="자사 차량 운행"),"차량 미배정",""))</f>
        <v/>
      </c>
      <c r="N1478" s="22" t="str">
        <f aca="false">IF($B1478="","",IFERROR(INDEX(고객사!$J$5:$J$104,MATCH($B1478,고객사!$A$5:$A$104,0)),0))</f>
        <v/>
      </c>
      <c r="O1478" s="22" t="str">
        <f aca="false">IF($B1478="","",G1478*N1478)</f>
        <v/>
      </c>
      <c r="P1478" s="22" t="str">
        <f aca="false">IF($B1478="","",IFERROR(INDEX(고객사!$K$5:$K$104,MATCH($B1478,고객사!$A$5:$A$104,0)),0))</f>
        <v/>
      </c>
      <c r="Q1478" s="22" t="str">
        <f aca="false">IF($B1478="","",G1478*P1478)</f>
        <v/>
      </c>
      <c r="R1478" s="22" t="str">
        <f aca="false">IF($B1478="","",O1478-Q1478-L1478)</f>
        <v/>
      </c>
      <c r="S1478" s="21" t="str">
        <f aca="false">IF(OR($B1478="",N(O1478)=0),"",R1478/O1478)</f>
        <v/>
      </c>
      <c r="T1478" s="14"/>
      <c r="U1478" s="19" t="n">
        <f aca="false">IF(OR($B1478="",$A1478=""),0,IF(COUNTIFS($A$5:$A1478,$A1478,$B$5:$B1478,$B1478)=1,1,0))</f>
        <v>0</v>
      </c>
    </row>
    <row r="1479" customFormat="false" ht="15" hidden="false" customHeight="false" outlineLevel="0" collapsed="false">
      <c r="A1479" s="17"/>
      <c r="B1479" s="13"/>
      <c r="C1479" s="20" t="str">
        <f aca="false">IF($B1479="","",IFERROR(INDEX(고객사!$B$5:$B$104,MATCH($B1479,고객사!$A$5:$A$104,0)),"코드 확인"))</f>
        <v/>
      </c>
      <c r="D1479" s="15"/>
      <c r="E1479" s="15"/>
      <c r="F1479" s="16"/>
      <c r="G1479" s="16"/>
      <c r="H1479" s="21" t="str">
        <f aca="false">IF(OR($B1479="",F1479=0),"",G1479/F1479)</f>
        <v/>
      </c>
      <c r="I1479" s="22" t="str">
        <f aca="false">IF($B1479="","",MAX(F1479-G1479,0))</f>
        <v/>
      </c>
      <c r="J1479" s="23" t="str">
        <f aca="false">IF($B1479="","",IFERROR(INDEX(고객사!$G$5:$G$104,MATCH($B1479,고객사!$A$5:$A$104,0)),""))</f>
        <v/>
      </c>
      <c r="K1479" s="16"/>
      <c r="L1479" s="22" t="str">
        <f aca="false">IF($B1479="","",K1479*IFERROR(INDEX(고객사!$L$5:$L$104,MATCH($B1479,고객사!$A$5:$A$104,0)),0))</f>
        <v/>
      </c>
      <c r="M1479" s="23" t="str">
        <f aca="false">IF($B1479="","",IF(AND(J1479="N",G1479&gt;0,K1479=0,IFERROR(INDEX(고객사!$H$5:$H$104,MATCH($B1479,고객사!$A$5:$A$104,0)),"")="자사 차량 운행"),"차량 미배정",""))</f>
        <v/>
      </c>
      <c r="N1479" s="22" t="str">
        <f aca="false">IF($B1479="","",IFERROR(INDEX(고객사!$J$5:$J$104,MATCH($B1479,고객사!$A$5:$A$104,0)),0))</f>
        <v/>
      </c>
      <c r="O1479" s="22" t="str">
        <f aca="false">IF($B1479="","",G1479*N1479)</f>
        <v/>
      </c>
      <c r="P1479" s="22" t="str">
        <f aca="false">IF($B1479="","",IFERROR(INDEX(고객사!$K$5:$K$104,MATCH($B1479,고객사!$A$5:$A$104,0)),0))</f>
        <v/>
      </c>
      <c r="Q1479" s="22" t="str">
        <f aca="false">IF($B1479="","",G1479*P1479)</f>
        <v/>
      </c>
      <c r="R1479" s="22" t="str">
        <f aca="false">IF($B1479="","",O1479-Q1479-L1479)</f>
        <v/>
      </c>
      <c r="S1479" s="21" t="str">
        <f aca="false">IF(OR($B1479="",N(O1479)=0),"",R1479/O1479)</f>
        <v/>
      </c>
      <c r="T1479" s="14"/>
      <c r="U1479" s="19" t="n">
        <f aca="false">IF(OR($B1479="",$A1479=""),0,IF(COUNTIFS($A$5:$A1479,$A1479,$B$5:$B1479,$B1479)=1,1,0))</f>
        <v>0</v>
      </c>
    </row>
    <row r="1480" customFormat="false" ht="15" hidden="false" customHeight="false" outlineLevel="0" collapsed="false">
      <c r="A1480" s="17"/>
      <c r="B1480" s="13"/>
      <c r="C1480" s="20" t="str">
        <f aca="false">IF($B1480="","",IFERROR(INDEX(고객사!$B$5:$B$104,MATCH($B1480,고객사!$A$5:$A$104,0)),"코드 확인"))</f>
        <v/>
      </c>
      <c r="D1480" s="15"/>
      <c r="E1480" s="15"/>
      <c r="F1480" s="16"/>
      <c r="G1480" s="16"/>
      <c r="H1480" s="21" t="str">
        <f aca="false">IF(OR($B1480="",F1480=0),"",G1480/F1480)</f>
        <v/>
      </c>
      <c r="I1480" s="22" t="str">
        <f aca="false">IF($B1480="","",MAX(F1480-G1480,0))</f>
        <v/>
      </c>
      <c r="J1480" s="23" t="str">
        <f aca="false">IF($B1480="","",IFERROR(INDEX(고객사!$G$5:$G$104,MATCH($B1480,고객사!$A$5:$A$104,0)),""))</f>
        <v/>
      </c>
      <c r="K1480" s="16"/>
      <c r="L1480" s="22" t="str">
        <f aca="false">IF($B1480="","",K1480*IFERROR(INDEX(고객사!$L$5:$L$104,MATCH($B1480,고객사!$A$5:$A$104,0)),0))</f>
        <v/>
      </c>
      <c r="M1480" s="23" t="str">
        <f aca="false">IF($B1480="","",IF(AND(J1480="N",G1480&gt;0,K1480=0,IFERROR(INDEX(고객사!$H$5:$H$104,MATCH($B1480,고객사!$A$5:$A$104,0)),"")="자사 차량 운행"),"차량 미배정",""))</f>
        <v/>
      </c>
      <c r="N1480" s="22" t="str">
        <f aca="false">IF($B1480="","",IFERROR(INDEX(고객사!$J$5:$J$104,MATCH($B1480,고객사!$A$5:$A$104,0)),0))</f>
        <v/>
      </c>
      <c r="O1480" s="22" t="str">
        <f aca="false">IF($B1480="","",G1480*N1480)</f>
        <v/>
      </c>
      <c r="P1480" s="22" t="str">
        <f aca="false">IF($B1480="","",IFERROR(INDEX(고객사!$K$5:$K$104,MATCH($B1480,고객사!$A$5:$A$104,0)),0))</f>
        <v/>
      </c>
      <c r="Q1480" s="22" t="str">
        <f aca="false">IF($B1480="","",G1480*P1480)</f>
        <v/>
      </c>
      <c r="R1480" s="22" t="str">
        <f aca="false">IF($B1480="","",O1480-Q1480-L1480)</f>
        <v/>
      </c>
      <c r="S1480" s="21" t="str">
        <f aca="false">IF(OR($B1480="",N(O1480)=0),"",R1480/O1480)</f>
        <v/>
      </c>
      <c r="T1480" s="14"/>
      <c r="U1480" s="19" t="n">
        <f aca="false">IF(OR($B1480="",$A1480=""),0,IF(COUNTIFS($A$5:$A1480,$A1480,$B$5:$B1480,$B1480)=1,1,0))</f>
        <v>0</v>
      </c>
    </row>
    <row r="1481" customFormat="false" ht="15" hidden="false" customHeight="false" outlineLevel="0" collapsed="false">
      <c r="A1481" s="17"/>
      <c r="B1481" s="13"/>
      <c r="C1481" s="20" t="str">
        <f aca="false">IF($B1481="","",IFERROR(INDEX(고객사!$B$5:$B$104,MATCH($B1481,고객사!$A$5:$A$104,0)),"코드 확인"))</f>
        <v/>
      </c>
      <c r="D1481" s="15"/>
      <c r="E1481" s="15"/>
      <c r="F1481" s="16"/>
      <c r="G1481" s="16"/>
      <c r="H1481" s="21" t="str">
        <f aca="false">IF(OR($B1481="",F1481=0),"",G1481/F1481)</f>
        <v/>
      </c>
      <c r="I1481" s="22" t="str">
        <f aca="false">IF($B1481="","",MAX(F1481-G1481,0))</f>
        <v/>
      </c>
      <c r="J1481" s="23" t="str">
        <f aca="false">IF($B1481="","",IFERROR(INDEX(고객사!$G$5:$G$104,MATCH($B1481,고객사!$A$5:$A$104,0)),""))</f>
        <v/>
      </c>
      <c r="K1481" s="16"/>
      <c r="L1481" s="22" t="str">
        <f aca="false">IF($B1481="","",K1481*IFERROR(INDEX(고객사!$L$5:$L$104,MATCH($B1481,고객사!$A$5:$A$104,0)),0))</f>
        <v/>
      </c>
      <c r="M1481" s="23" t="str">
        <f aca="false">IF($B1481="","",IF(AND(J1481="N",G1481&gt;0,K1481=0,IFERROR(INDEX(고객사!$H$5:$H$104,MATCH($B1481,고객사!$A$5:$A$104,0)),"")="자사 차량 운행"),"차량 미배정",""))</f>
        <v/>
      </c>
      <c r="N1481" s="22" t="str">
        <f aca="false">IF($B1481="","",IFERROR(INDEX(고객사!$J$5:$J$104,MATCH($B1481,고객사!$A$5:$A$104,0)),0))</f>
        <v/>
      </c>
      <c r="O1481" s="22" t="str">
        <f aca="false">IF($B1481="","",G1481*N1481)</f>
        <v/>
      </c>
      <c r="P1481" s="22" t="str">
        <f aca="false">IF($B1481="","",IFERROR(INDEX(고객사!$K$5:$K$104,MATCH($B1481,고객사!$A$5:$A$104,0)),0))</f>
        <v/>
      </c>
      <c r="Q1481" s="22" t="str">
        <f aca="false">IF($B1481="","",G1481*P1481)</f>
        <v/>
      </c>
      <c r="R1481" s="22" t="str">
        <f aca="false">IF($B1481="","",O1481-Q1481-L1481)</f>
        <v/>
      </c>
      <c r="S1481" s="21" t="str">
        <f aca="false">IF(OR($B1481="",N(O1481)=0),"",R1481/O1481)</f>
        <v/>
      </c>
      <c r="T1481" s="14"/>
      <c r="U1481" s="19" t="n">
        <f aca="false">IF(OR($B1481="",$A1481=""),0,IF(COUNTIFS($A$5:$A1481,$A1481,$B$5:$B1481,$B1481)=1,1,0))</f>
        <v>0</v>
      </c>
    </row>
    <row r="1482" customFormat="false" ht="15" hidden="false" customHeight="false" outlineLevel="0" collapsed="false">
      <c r="A1482" s="17"/>
      <c r="B1482" s="13"/>
      <c r="C1482" s="20" t="str">
        <f aca="false">IF($B1482="","",IFERROR(INDEX(고객사!$B$5:$B$104,MATCH($B1482,고객사!$A$5:$A$104,0)),"코드 확인"))</f>
        <v/>
      </c>
      <c r="D1482" s="15"/>
      <c r="E1482" s="15"/>
      <c r="F1482" s="16"/>
      <c r="G1482" s="16"/>
      <c r="H1482" s="21" t="str">
        <f aca="false">IF(OR($B1482="",F1482=0),"",G1482/F1482)</f>
        <v/>
      </c>
      <c r="I1482" s="22" t="str">
        <f aca="false">IF($B1482="","",MAX(F1482-G1482,0))</f>
        <v/>
      </c>
      <c r="J1482" s="23" t="str">
        <f aca="false">IF($B1482="","",IFERROR(INDEX(고객사!$G$5:$G$104,MATCH($B1482,고객사!$A$5:$A$104,0)),""))</f>
        <v/>
      </c>
      <c r="K1482" s="16"/>
      <c r="L1482" s="22" t="str">
        <f aca="false">IF($B1482="","",K1482*IFERROR(INDEX(고객사!$L$5:$L$104,MATCH($B1482,고객사!$A$5:$A$104,0)),0))</f>
        <v/>
      </c>
      <c r="M1482" s="23" t="str">
        <f aca="false">IF($B1482="","",IF(AND(J1482="N",G1482&gt;0,K1482=0,IFERROR(INDEX(고객사!$H$5:$H$104,MATCH($B1482,고객사!$A$5:$A$104,0)),"")="자사 차량 운행"),"차량 미배정",""))</f>
        <v/>
      </c>
      <c r="N1482" s="22" t="str">
        <f aca="false">IF($B1482="","",IFERROR(INDEX(고객사!$J$5:$J$104,MATCH($B1482,고객사!$A$5:$A$104,0)),0))</f>
        <v/>
      </c>
      <c r="O1482" s="22" t="str">
        <f aca="false">IF($B1482="","",G1482*N1482)</f>
        <v/>
      </c>
      <c r="P1482" s="22" t="str">
        <f aca="false">IF($B1482="","",IFERROR(INDEX(고객사!$K$5:$K$104,MATCH($B1482,고객사!$A$5:$A$104,0)),0))</f>
        <v/>
      </c>
      <c r="Q1482" s="22" t="str">
        <f aca="false">IF($B1482="","",G1482*P1482)</f>
        <v/>
      </c>
      <c r="R1482" s="22" t="str">
        <f aca="false">IF($B1482="","",O1482-Q1482-L1482)</f>
        <v/>
      </c>
      <c r="S1482" s="21" t="str">
        <f aca="false">IF(OR($B1482="",N(O1482)=0),"",R1482/O1482)</f>
        <v/>
      </c>
      <c r="T1482" s="14"/>
      <c r="U1482" s="19" t="n">
        <f aca="false">IF(OR($B1482="",$A1482=""),0,IF(COUNTIFS($A$5:$A1482,$A1482,$B$5:$B1482,$B1482)=1,1,0))</f>
        <v>0</v>
      </c>
    </row>
    <row r="1483" customFormat="false" ht="15" hidden="false" customHeight="false" outlineLevel="0" collapsed="false">
      <c r="A1483" s="17"/>
      <c r="B1483" s="13"/>
      <c r="C1483" s="20" t="str">
        <f aca="false">IF($B1483="","",IFERROR(INDEX(고객사!$B$5:$B$104,MATCH($B1483,고객사!$A$5:$A$104,0)),"코드 확인"))</f>
        <v/>
      </c>
      <c r="D1483" s="15"/>
      <c r="E1483" s="15"/>
      <c r="F1483" s="16"/>
      <c r="G1483" s="16"/>
      <c r="H1483" s="21" t="str">
        <f aca="false">IF(OR($B1483="",F1483=0),"",G1483/F1483)</f>
        <v/>
      </c>
      <c r="I1483" s="22" t="str">
        <f aca="false">IF($B1483="","",MAX(F1483-G1483,0))</f>
        <v/>
      </c>
      <c r="J1483" s="23" t="str">
        <f aca="false">IF($B1483="","",IFERROR(INDEX(고객사!$G$5:$G$104,MATCH($B1483,고객사!$A$5:$A$104,0)),""))</f>
        <v/>
      </c>
      <c r="K1483" s="16"/>
      <c r="L1483" s="22" t="str">
        <f aca="false">IF($B1483="","",K1483*IFERROR(INDEX(고객사!$L$5:$L$104,MATCH($B1483,고객사!$A$5:$A$104,0)),0))</f>
        <v/>
      </c>
      <c r="M1483" s="23" t="str">
        <f aca="false">IF($B1483="","",IF(AND(J1483="N",G1483&gt;0,K1483=0,IFERROR(INDEX(고객사!$H$5:$H$104,MATCH($B1483,고객사!$A$5:$A$104,0)),"")="자사 차량 운행"),"차량 미배정",""))</f>
        <v/>
      </c>
      <c r="N1483" s="22" t="str">
        <f aca="false">IF($B1483="","",IFERROR(INDEX(고객사!$J$5:$J$104,MATCH($B1483,고객사!$A$5:$A$104,0)),0))</f>
        <v/>
      </c>
      <c r="O1483" s="22" t="str">
        <f aca="false">IF($B1483="","",G1483*N1483)</f>
        <v/>
      </c>
      <c r="P1483" s="22" t="str">
        <f aca="false">IF($B1483="","",IFERROR(INDEX(고객사!$K$5:$K$104,MATCH($B1483,고객사!$A$5:$A$104,0)),0))</f>
        <v/>
      </c>
      <c r="Q1483" s="22" t="str">
        <f aca="false">IF($B1483="","",G1483*P1483)</f>
        <v/>
      </c>
      <c r="R1483" s="22" t="str">
        <f aca="false">IF($B1483="","",O1483-Q1483-L1483)</f>
        <v/>
      </c>
      <c r="S1483" s="21" t="str">
        <f aca="false">IF(OR($B1483="",N(O1483)=0),"",R1483/O1483)</f>
        <v/>
      </c>
      <c r="T1483" s="14"/>
      <c r="U1483" s="19" t="n">
        <f aca="false">IF(OR($B1483="",$A1483=""),0,IF(COUNTIFS($A$5:$A1483,$A1483,$B$5:$B1483,$B1483)=1,1,0))</f>
        <v>0</v>
      </c>
    </row>
    <row r="1484" customFormat="false" ht="15" hidden="false" customHeight="false" outlineLevel="0" collapsed="false">
      <c r="A1484" s="17"/>
      <c r="B1484" s="13"/>
      <c r="C1484" s="20" t="str">
        <f aca="false">IF($B1484="","",IFERROR(INDEX(고객사!$B$5:$B$104,MATCH($B1484,고객사!$A$5:$A$104,0)),"코드 확인"))</f>
        <v/>
      </c>
      <c r="D1484" s="15"/>
      <c r="E1484" s="15"/>
      <c r="F1484" s="16"/>
      <c r="G1484" s="16"/>
      <c r="H1484" s="21" t="str">
        <f aca="false">IF(OR($B1484="",F1484=0),"",G1484/F1484)</f>
        <v/>
      </c>
      <c r="I1484" s="22" t="str">
        <f aca="false">IF($B1484="","",MAX(F1484-G1484,0))</f>
        <v/>
      </c>
      <c r="J1484" s="23" t="str">
        <f aca="false">IF($B1484="","",IFERROR(INDEX(고객사!$G$5:$G$104,MATCH($B1484,고객사!$A$5:$A$104,0)),""))</f>
        <v/>
      </c>
      <c r="K1484" s="16"/>
      <c r="L1484" s="22" t="str">
        <f aca="false">IF($B1484="","",K1484*IFERROR(INDEX(고객사!$L$5:$L$104,MATCH($B1484,고객사!$A$5:$A$104,0)),0))</f>
        <v/>
      </c>
      <c r="M1484" s="23" t="str">
        <f aca="false">IF($B1484="","",IF(AND(J1484="N",G1484&gt;0,K1484=0,IFERROR(INDEX(고객사!$H$5:$H$104,MATCH($B1484,고객사!$A$5:$A$104,0)),"")="자사 차량 운행"),"차량 미배정",""))</f>
        <v/>
      </c>
      <c r="N1484" s="22" t="str">
        <f aca="false">IF($B1484="","",IFERROR(INDEX(고객사!$J$5:$J$104,MATCH($B1484,고객사!$A$5:$A$104,0)),0))</f>
        <v/>
      </c>
      <c r="O1484" s="22" t="str">
        <f aca="false">IF($B1484="","",G1484*N1484)</f>
        <v/>
      </c>
      <c r="P1484" s="22" t="str">
        <f aca="false">IF($B1484="","",IFERROR(INDEX(고객사!$K$5:$K$104,MATCH($B1484,고객사!$A$5:$A$104,0)),0))</f>
        <v/>
      </c>
      <c r="Q1484" s="22" t="str">
        <f aca="false">IF($B1484="","",G1484*P1484)</f>
        <v/>
      </c>
      <c r="R1484" s="22" t="str">
        <f aca="false">IF($B1484="","",O1484-Q1484-L1484)</f>
        <v/>
      </c>
      <c r="S1484" s="21" t="str">
        <f aca="false">IF(OR($B1484="",N(O1484)=0),"",R1484/O1484)</f>
        <v/>
      </c>
      <c r="T1484" s="14"/>
      <c r="U1484" s="19" t="n">
        <f aca="false">IF(OR($B1484="",$A1484=""),0,IF(COUNTIFS($A$5:$A1484,$A1484,$B$5:$B1484,$B1484)=1,1,0))</f>
        <v>0</v>
      </c>
    </row>
    <row r="1485" customFormat="false" ht="15" hidden="false" customHeight="false" outlineLevel="0" collapsed="false">
      <c r="A1485" s="17"/>
      <c r="B1485" s="13"/>
      <c r="C1485" s="20" t="str">
        <f aca="false">IF($B1485="","",IFERROR(INDEX(고객사!$B$5:$B$104,MATCH($B1485,고객사!$A$5:$A$104,0)),"코드 확인"))</f>
        <v/>
      </c>
      <c r="D1485" s="15"/>
      <c r="E1485" s="15"/>
      <c r="F1485" s="16"/>
      <c r="G1485" s="16"/>
      <c r="H1485" s="21" t="str">
        <f aca="false">IF(OR($B1485="",F1485=0),"",G1485/F1485)</f>
        <v/>
      </c>
      <c r="I1485" s="22" t="str">
        <f aca="false">IF($B1485="","",MAX(F1485-G1485,0))</f>
        <v/>
      </c>
      <c r="J1485" s="23" t="str">
        <f aca="false">IF($B1485="","",IFERROR(INDEX(고객사!$G$5:$G$104,MATCH($B1485,고객사!$A$5:$A$104,0)),""))</f>
        <v/>
      </c>
      <c r="K1485" s="16"/>
      <c r="L1485" s="22" t="str">
        <f aca="false">IF($B1485="","",K1485*IFERROR(INDEX(고객사!$L$5:$L$104,MATCH($B1485,고객사!$A$5:$A$104,0)),0))</f>
        <v/>
      </c>
      <c r="M1485" s="23" t="str">
        <f aca="false">IF($B1485="","",IF(AND(J1485="N",G1485&gt;0,K1485=0,IFERROR(INDEX(고객사!$H$5:$H$104,MATCH($B1485,고객사!$A$5:$A$104,0)),"")="자사 차량 운행"),"차량 미배정",""))</f>
        <v/>
      </c>
      <c r="N1485" s="22" t="str">
        <f aca="false">IF($B1485="","",IFERROR(INDEX(고객사!$J$5:$J$104,MATCH($B1485,고객사!$A$5:$A$104,0)),0))</f>
        <v/>
      </c>
      <c r="O1485" s="22" t="str">
        <f aca="false">IF($B1485="","",G1485*N1485)</f>
        <v/>
      </c>
      <c r="P1485" s="22" t="str">
        <f aca="false">IF($B1485="","",IFERROR(INDEX(고객사!$K$5:$K$104,MATCH($B1485,고객사!$A$5:$A$104,0)),0))</f>
        <v/>
      </c>
      <c r="Q1485" s="22" t="str">
        <f aca="false">IF($B1485="","",G1485*P1485)</f>
        <v/>
      </c>
      <c r="R1485" s="22" t="str">
        <f aca="false">IF($B1485="","",O1485-Q1485-L1485)</f>
        <v/>
      </c>
      <c r="S1485" s="21" t="str">
        <f aca="false">IF(OR($B1485="",N(O1485)=0),"",R1485/O1485)</f>
        <v/>
      </c>
      <c r="T1485" s="14"/>
      <c r="U1485" s="19" t="n">
        <f aca="false">IF(OR($B1485="",$A1485=""),0,IF(COUNTIFS($A$5:$A1485,$A1485,$B$5:$B1485,$B1485)=1,1,0))</f>
        <v>0</v>
      </c>
    </row>
    <row r="1486" customFormat="false" ht="15" hidden="false" customHeight="false" outlineLevel="0" collapsed="false">
      <c r="A1486" s="17"/>
      <c r="B1486" s="13"/>
      <c r="C1486" s="20" t="str">
        <f aca="false">IF($B1486="","",IFERROR(INDEX(고객사!$B$5:$B$104,MATCH($B1486,고객사!$A$5:$A$104,0)),"코드 확인"))</f>
        <v/>
      </c>
      <c r="D1486" s="15"/>
      <c r="E1486" s="15"/>
      <c r="F1486" s="16"/>
      <c r="G1486" s="16"/>
      <c r="H1486" s="21" t="str">
        <f aca="false">IF(OR($B1486="",F1486=0),"",G1486/F1486)</f>
        <v/>
      </c>
      <c r="I1486" s="22" t="str">
        <f aca="false">IF($B1486="","",MAX(F1486-G1486,0))</f>
        <v/>
      </c>
      <c r="J1486" s="23" t="str">
        <f aca="false">IF($B1486="","",IFERROR(INDEX(고객사!$G$5:$G$104,MATCH($B1486,고객사!$A$5:$A$104,0)),""))</f>
        <v/>
      </c>
      <c r="K1486" s="16"/>
      <c r="L1486" s="22" t="str">
        <f aca="false">IF($B1486="","",K1486*IFERROR(INDEX(고객사!$L$5:$L$104,MATCH($B1486,고객사!$A$5:$A$104,0)),0))</f>
        <v/>
      </c>
      <c r="M1486" s="23" t="str">
        <f aca="false">IF($B1486="","",IF(AND(J1486="N",G1486&gt;0,K1486=0,IFERROR(INDEX(고객사!$H$5:$H$104,MATCH($B1486,고객사!$A$5:$A$104,0)),"")="자사 차량 운행"),"차량 미배정",""))</f>
        <v/>
      </c>
      <c r="N1486" s="22" t="str">
        <f aca="false">IF($B1486="","",IFERROR(INDEX(고객사!$J$5:$J$104,MATCH($B1486,고객사!$A$5:$A$104,0)),0))</f>
        <v/>
      </c>
      <c r="O1486" s="22" t="str">
        <f aca="false">IF($B1486="","",G1486*N1486)</f>
        <v/>
      </c>
      <c r="P1486" s="22" t="str">
        <f aca="false">IF($B1486="","",IFERROR(INDEX(고객사!$K$5:$K$104,MATCH($B1486,고객사!$A$5:$A$104,0)),0))</f>
        <v/>
      </c>
      <c r="Q1486" s="22" t="str">
        <f aca="false">IF($B1486="","",G1486*P1486)</f>
        <v/>
      </c>
      <c r="R1486" s="22" t="str">
        <f aca="false">IF($B1486="","",O1486-Q1486-L1486)</f>
        <v/>
      </c>
      <c r="S1486" s="21" t="str">
        <f aca="false">IF(OR($B1486="",N(O1486)=0),"",R1486/O1486)</f>
        <v/>
      </c>
      <c r="T1486" s="14"/>
      <c r="U1486" s="19" t="n">
        <f aca="false">IF(OR($B1486="",$A1486=""),0,IF(COUNTIFS($A$5:$A1486,$A1486,$B$5:$B1486,$B1486)=1,1,0))</f>
        <v>0</v>
      </c>
    </row>
    <row r="1487" customFormat="false" ht="15" hidden="false" customHeight="false" outlineLevel="0" collapsed="false">
      <c r="A1487" s="17"/>
      <c r="B1487" s="13"/>
      <c r="C1487" s="20" t="str">
        <f aca="false">IF($B1487="","",IFERROR(INDEX(고객사!$B$5:$B$104,MATCH($B1487,고객사!$A$5:$A$104,0)),"코드 확인"))</f>
        <v/>
      </c>
      <c r="D1487" s="15"/>
      <c r="E1487" s="15"/>
      <c r="F1487" s="16"/>
      <c r="G1487" s="16"/>
      <c r="H1487" s="21" t="str">
        <f aca="false">IF(OR($B1487="",F1487=0),"",G1487/F1487)</f>
        <v/>
      </c>
      <c r="I1487" s="22" t="str">
        <f aca="false">IF($B1487="","",MAX(F1487-G1487,0))</f>
        <v/>
      </c>
      <c r="J1487" s="23" t="str">
        <f aca="false">IF($B1487="","",IFERROR(INDEX(고객사!$G$5:$G$104,MATCH($B1487,고객사!$A$5:$A$104,0)),""))</f>
        <v/>
      </c>
      <c r="K1487" s="16"/>
      <c r="L1487" s="22" t="str">
        <f aca="false">IF($B1487="","",K1487*IFERROR(INDEX(고객사!$L$5:$L$104,MATCH($B1487,고객사!$A$5:$A$104,0)),0))</f>
        <v/>
      </c>
      <c r="M1487" s="23" t="str">
        <f aca="false">IF($B1487="","",IF(AND(J1487="N",G1487&gt;0,K1487=0,IFERROR(INDEX(고객사!$H$5:$H$104,MATCH($B1487,고객사!$A$5:$A$104,0)),"")="자사 차량 운행"),"차량 미배정",""))</f>
        <v/>
      </c>
      <c r="N1487" s="22" t="str">
        <f aca="false">IF($B1487="","",IFERROR(INDEX(고객사!$J$5:$J$104,MATCH($B1487,고객사!$A$5:$A$104,0)),0))</f>
        <v/>
      </c>
      <c r="O1487" s="22" t="str">
        <f aca="false">IF($B1487="","",G1487*N1487)</f>
        <v/>
      </c>
      <c r="P1487" s="22" t="str">
        <f aca="false">IF($B1487="","",IFERROR(INDEX(고객사!$K$5:$K$104,MATCH($B1487,고객사!$A$5:$A$104,0)),0))</f>
        <v/>
      </c>
      <c r="Q1487" s="22" t="str">
        <f aca="false">IF($B1487="","",G1487*P1487)</f>
        <v/>
      </c>
      <c r="R1487" s="22" t="str">
        <f aca="false">IF($B1487="","",O1487-Q1487-L1487)</f>
        <v/>
      </c>
      <c r="S1487" s="21" t="str">
        <f aca="false">IF(OR($B1487="",N(O1487)=0),"",R1487/O1487)</f>
        <v/>
      </c>
      <c r="T1487" s="14"/>
      <c r="U1487" s="19" t="n">
        <f aca="false">IF(OR($B1487="",$A1487=""),0,IF(COUNTIFS($A$5:$A1487,$A1487,$B$5:$B1487,$B1487)=1,1,0))</f>
        <v>0</v>
      </c>
    </row>
    <row r="1488" customFormat="false" ht="15" hidden="false" customHeight="false" outlineLevel="0" collapsed="false">
      <c r="A1488" s="17"/>
      <c r="B1488" s="13"/>
      <c r="C1488" s="20" t="str">
        <f aca="false">IF($B1488="","",IFERROR(INDEX(고객사!$B$5:$B$104,MATCH($B1488,고객사!$A$5:$A$104,0)),"코드 확인"))</f>
        <v/>
      </c>
      <c r="D1488" s="15"/>
      <c r="E1488" s="15"/>
      <c r="F1488" s="16"/>
      <c r="G1488" s="16"/>
      <c r="H1488" s="21" t="str">
        <f aca="false">IF(OR($B1488="",F1488=0),"",G1488/F1488)</f>
        <v/>
      </c>
      <c r="I1488" s="22" t="str">
        <f aca="false">IF($B1488="","",MAX(F1488-G1488,0))</f>
        <v/>
      </c>
      <c r="J1488" s="23" t="str">
        <f aca="false">IF($B1488="","",IFERROR(INDEX(고객사!$G$5:$G$104,MATCH($B1488,고객사!$A$5:$A$104,0)),""))</f>
        <v/>
      </c>
      <c r="K1488" s="16"/>
      <c r="L1488" s="22" t="str">
        <f aca="false">IF($B1488="","",K1488*IFERROR(INDEX(고객사!$L$5:$L$104,MATCH($B1488,고객사!$A$5:$A$104,0)),0))</f>
        <v/>
      </c>
      <c r="M1488" s="23" t="str">
        <f aca="false">IF($B1488="","",IF(AND(J1488="N",G1488&gt;0,K1488=0,IFERROR(INDEX(고객사!$H$5:$H$104,MATCH($B1488,고객사!$A$5:$A$104,0)),"")="자사 차량 운행"),"차량 미배정",""))</f>
        <v/>
      </c>
      <c r="N1488" s="22" t="str">
        <f aca="false">IF($B1488="","",IFERROR(INDEX(고객사!$J$5:$J$104,MATCH($B1488,고객사!$A$5:$A$104,0)),0))</f>
        <v/>
      </c>
      <c r="O1488" s="22" t="str">
        <f aca="false">IF($B1488="","",G1488*N1488)</f>
        <v/>
      </c>
      <c r="P1488" s="22" t="str">
        <f aca="false">IF($B1488="","",IFERROR(INDEX(고객사!$K$5:$K$104,MATCH($B1488,고객사!$A$5:$A$104,0)),0))</f>
        <v/>
      </c>
      <c r="Q1488" s="22" t="str">
        <f aca="false">IF($B1488="","",G1488*P1488)</f>
        <v/>
      </c>
      <c r="R1488" s="22" t="str">
        <f aca="false">IF($B1488="","",O1488-Q1488-L1488)</f>
        <v/>
      </c>
      <c r="S1488" s="21" t="str">
        <f aca="false">IF(OR($B1488="",N(O1488)=0),"",R1488/O1488)</f>
        <v/>
      </c>
      <c r="T1488" s="14"/>
      <c r="U1488" s="19" t="n">
        <f aca="false">IF(OR($B1488="",$A1488=""),0,IF(COUNTIFS($A$5:$A1488,$A1488,$B$5:$B1488,$B1488)=1,1,0))</f>
        <v>0</v>
      </c>
    </row>
    <row r="1489" customFormat="false" ht="15" hidden="false" customHeight="false" outlineLevel="0" collapsed="false">
      <c r="A1489" s="17"/>
      <c r="B1489" s="13"/>
      <c r="C1489" s="20" t="str">
        <f aca="false">IF($B1489="","",IFERROR(INDEX(고객사!$B$5:$B$104,MATCH($B1489,고객사!$A$5:$A$104,0)),"코드 확인"))</f>
        <v/>
      </c>
      <c r="D1489" s="15"/>
      <c r="E1489" s="15"/>
      <c r="F1489" s="16"/>
      <c r="G1489" s="16"/>
      <c r="H1489" s="21" t="str">
        <f aca="false">IF(OR($B1489="",F1489=0),"",G1489/F1489)</f>
        <v/>
      </c>
      <c r="I1489" s="22" t="str">
        <f aca="false">IF($B1489="","",MAX(F1489-G1489,0))</f>
        <v/>
      </c>
      <c r="J1489" s="23" t="str">
        <f aca="false">IF($B1489="","",IFERROR(INDEX(고객사!$G$5:$G$104,MATCH($B1489,고객사!$A$5:$A$104,0)),""))</f>
        <v/>
      </c>
      <c r="K1489" s="16"/>
      <c r="L1489" s="22" t="str">
        <f aca="false">IF($B1489="","",K1489*IFERROR(INDEX(고객사!$L$5:$L$104,MATCH($B1489,고객사!$A$5:$A$104,0)),0))</f>
        <v/>
      </c>
      <c r="M1489" s="23" t="str">
        <f aca="false">IF($B1489="","",IF(AND(J1489="N",G1489&gt;0,K1489=0,IFERROR(INDEX(고객사!$H$5:$H$104,MATCH($B1489,고객사!$A$5:$A$104,0)),"")="자사 차량 운행"),"차량 미배정",""))</f>
        <v/>
      </c>
      <c r="N1489" s="22" t="str">
        <f aca="false">IF($B1489="","",IFERROR(INDEX(고객사!$J$5:$J$104,MATCH($B1489,고객사!$A$5:$A$104,0)),0))</f>
        <v/>
      </c>
      <c r="O1489" s="22" t="str">
        <f aca="false">IF($B1489="","",G1489*N1489)</f>
        <v/>
      </c>
      <c r="P1489" s="22" t="str">
        <f aca="false">IF($B1489="","",IFERROR(INDEX(고객사!$K$5:$K$104,MATCH($B1489,고객사!$A$5:$A$104,0)),0))</f>
        <v/>
      </c>
      <c r="Q1489" s="22" t="str">
        <f aca="false">IF($B1489="","",G1489*P1489)</f>
        <v/>
      </c>
      <c r="R1489" s="22" t="str">
        <f aca="false">IF($B1489="","",O1489-Q1489-L1489)</f>
        <v/>
      </c>
      <c r="S1489" s="21" t="str">
        <f aca="false">IF(OR($B1489="",N(O1489)=0),"",R1489/O1489)</f>
        <v/>
      </c>
      <c r="T1489" s="14"/>
      <c r="U1489" s="19" t="n">
        <f aca="false">IF(OR($B1489="",$A1489=""),0,IF(COUNTIFS($A$5:$A1489,$A1489,$B$5:$B1489,$B1489)=1,1,0))</f>
        <v>0</v>
      </c>
    </row>
    <row r="1490" customFormat="false" ht="15" hidden="false" customHeight="false" outlineLevel="0" collapsed="false">
      <c r="A1490" s="17"/>
      <c r="B1490" s="13"/>
      <c r="C1490" s="20" t="str">
        <f aca="false">IF($B1490="","",IFERROR(INDEX(고객사!$B$5:$B$104,MATCH($B1490,고객사!$A$5:$A$104,0)),"코드 확인"))</f>
        <v/>
      </c>
      <c r="D1490" s="15"/>
      <c r="E1490" s="15"/>
      <c r="F1490" s="16"/>
      <c r="G1490" s="16"/>
      <c r="H1490" s="21" t="str">
        <f aca="false">IF(OR($B1490="",F1490=0),"",G1490/F1490)</f>
        <v/>
      </c>
      <c r="I1490" s="22" t="str">
        <f aca="false">IF($B1490="","",MAX(F1490-G1490,0))</f>
        <v/>
      </c>
      <c r="J1490" s="23" t="str">
        <f aca="false">IF($B1490="","",IFERROR(INDEX(고객사!$G$5:$G$104,MATCH($B1490,고객사!$A$5:$A$104,0)),""))</f>
        <v/>
      </c>
      <c r="K1490" s="16"/>
      <c r="L1490" s="22" t="str">
        <f aca="false">IF($B1490="","",K1490*IFERROR(INDEX(고객사!$L$5:$L$104,MATCH($B1490,고객사!$A$5:$A$104,0)),0))</f>
        <v/>
      </c>
      <c r="M1490" s="23" t="str">
        <f aca="false">IF($B1490="","",IF(AND(J1490="N",G1490&gt;0,K1490=0,IFERROR(INDEX(고객사!$H$5:$H$104,MATCH($B1490,고객사!$A$5:$A$104,0)),"")="자사 차량 운행"),"차량 미배정",""))</f>
        <v/>
      </c>
      <c r="N1490" s="22" t="str">
        <f aca="false">IF($B1490="","",IFERROR(INDEX(고객사!$J$5:$J$104,MATCH($B1490,고객사!$A$5:$A$104,0)),0))</f>
        <v/>
      </c>
      <c r="O1490" s="22" t="str">
        <f aca="false">IF($B1490="","",G1490*N1490)</f>
        <v/>
      </c>
      <c r="P1490" s="22" t="str">
        <f aca="false">IF($B1490="","",IFERROR(INDEX(고객사!$K$5:$K$104,MATCH($B1490,고객사!$A$5:$A$104,0)),0))</f>
        <v/>
      </c>
      <c r="Q1490" s="22" t="str">
        <f aca="false">IF($B1490="","",G1490*P1490)</f>
        <v/>
      </c>
      <c r="R1490" s="22" t="str">
        <f aca="false">IF($B1490="","",O1490-Q1490-L1490)</f>
        <v/>
      </c>
      <c r="S1490" s="21" t="str">
        <f aca="false">IF(OR($B1490="",N(O1490)=0),"",R1490/O1490)</f>
        <v/>
      </c>
      <c r="T1490" s="14"/>
      <c r="U1490" s="19" t="n">
        <f aca="false">IF(OR($B1490="",$A1490=""),0,IF(COUNTIFS($A$5:$A1490,$A1490,$B$5:$B1490,$B1490)=1,1,0))</f>
        <v>0</v>
      </c>
    </row>
    <row r="1491" customFormat="false" ht="15" hidden="false" customHeight="false" outlineLevel="0" collapsed="false">
      <c r="A1491" s="17"/>
      <c r="B1491" s="13"/>
      <c r="C1491" s="20" t="str">
        <f aca="false">IF($B1491="","",IFERROR(INDEX(고객사!$B$5:$B$104,MATCH($B1491,고객사!$A$5:$A$104,0)),"코드 확인"))</f>
        <v/>
      </c>
      <c r="D1491" s="15"/>
      <c r="E1491" s="15"/>
      <c r="F1491" s="16"/>
      <c r="G1491" s="16"/>
      <c r="H1491" s="21" t="str">
        <f aca="false">IF(OR($B1491="",F1491=0),"",G1491/F1491)</f>
        <v/>
      </c>
      <c r="I1491" s="22" t="str">
        <f aca="false">IF($B1491="","",MAX(F1491-G1491,0))</f>
        <v/>
      </c>
      <c r="J1491" s="23" t="str">
        <f aca="false">IF($B1491="","",IFERROR(INDEX(고객사!$G$5:$G$104,MATCH($B1491,고객사!$A$5:$A$104,0)),""))</f>
        <v/>
      </c>
      <c r="K1491" s="16"/>
      <c r="L1491" s="22" t="str">
        <f aca="false">IF($B1491="","",K1491*IFERROR(INDEX(고객사!$L$5:$L$104,MATCH($B1491,고객사!$A$5:$A$104,0)),0))</f>
        <v/>
      </c>
      <c r="M1491" s="23" t="str">
        <f aca="false">IF($B1491="","",IF(AND(J1491="N",G1491&gt;0,K1491=0,IFERROR(INDEX(고객사!$H$5:$H$104,MATCH($B1491,고객사!$A$5:$A$104,0)),"")="자사 차량 운행"),"차량 미배정",""))</f>
        <v/>
      </c>
      <c r="N1491" s="22" t="str">
        <f aca="false">IF($B1491="","",IFERROR(INDEX(고객사!$J$5:$J$104,MATCH($B1491,고객사!$A$5:$A$104,0)),0))</f>
        <v/>
      </c>
      <c r="O1491" s="22" t="str">
        <f aca="false">IF($B1491="","",G1491*N1491)</f>
        <v/>
      </c>
      <c r="P1491" s="22" t="str">
        <f aca="false">IF($B1491="","",IFERROR(INDEX(고객사!$K$5:$K$104,MATCH($B1491,고객사!$A$5:$A$104,0)),0))</f>
        <v/>
      </c>
      <c r="Q1491" s="22" t="str">
        <f aca="false">IF($B1491="","",G1491*P1491)</f>
        <v/>
      </c>
      <c r="R1491" s="22" t="str">
        <f aca="false">IF($B1491="","",O1491-Q1491-L1491)</f>
        <v/>
      </c>
      <c r="S1491" s="21" t="str">
        <f aca="false">IF(OR($B1491="",N(O1491)=0),"",R1491/O1491)</f>
        <v/>
      </c>
      <c r="T1491" s="14"/>
      <c r="U1491" s="19" t="n">
        <f aca="false">IF(OR($B1491="",$A1491=""),0,IF(COUNTIFS($A$5:$A1491,$A1491,$B$5:$B1491,$B1491)=1,1,0))</f>
        <v>0</v>
      </c>
    </row>
    <row r="1492" customFormat="false" ht="15" hidden="false" customHeight="false" outlineLevel="0" collapsed="false">
      <c r="A1492" s="17"/>
      <c r="B1492" s="13"/>
      <c r="C1492" s="20" t="str">
        <f aca="false">IF($B1492="","",IFERROR(INDEX(고객사!$B$5:$B$104,MATCH($B1492,고객사!$A$5:$A$104,0)),"코드 확인"))</f>
        <v/>
      </c>
      <c r="D1492" s="15"/>
      <c r="E1492" s="15"/>
      <c r="F1492" s="16"/>
      <c r="G1492" s="16"/>
      <c r="H1492" s="21" t="str">
        <f aca="false">IF(OR($B1492="",F1492=0),"",G1492/F1492)</f>
        <v/>
      </c>
      <c r="I1492" s="22" t="str">
        <f aca="false">IF($B1492="","",MAX(F1492-G1492,0))</f>
        <v/>
      </c>
      <c r="J1492" s="23" t="str">
        <f aca="false">IF($B1492="","",IFERROR(INDEX(고객사!$G$5:$G$104,MATCH($B1492,고객사!$A$5:$A$104,0)),""))</f>
        <v/>
      </c>
      <c r="K1492" s="16"/>
      <c r="L1492" s="22" t="str">
        <f aca="false">IF($B1492="","",K1492*IFERROR(INDEX(고객사!$L$5:$L$104,MATCH($B1492,고객사!$A$5:$A$104,0)),0))</f>
        <v/>
      </c>
      <c r="M1492" s="23" t="str">
        <f aca="false">IF($B1492="","",IF(AND(J1492="N",G1492&gt;0,K1492=0,IFERROR(INDEX(고객사!$H$5:$H$104,MATCH($B1492,고객사!$A$5:$A$104,0)),"")="자사 차량 운행"),"차량 미배정",""))</f>
        <v/>
      </c>
      <c r="N1492" s="22" t="str">
        <f aca="false">IF($B1492="","",IFERROR(INDEX(고객사!$J$5:$J$104,MATCH($B1492,고객사!$A$5:$A$104,0)),0))</f>
        <v/>
      </c>
      <c r="O1492" s="22" t="str">
        <f aca="false">IF($B1492="","",G1492*N1492)</f>
        <v/>
      </c>
      <c r="P1492" s="22" t="str">
        <f aca="false">IF($B1492="","",IFERROR(INDEX(고객사!$K$5:$K$104,MATCH($B1492,고객사!$A$5:$A$104,0)),0))</f>
        <v/>
      </c>
      <c r="Q1492" s="22" t="str">
        <f aca="false">IF($B1492="","",G1492*P1492)</f>
        <v/>
      </c>
      <c r="R1492" s="22" t="str">
        <f aca="false">IF($B1492="","",O1492-Q1492-L1492)</f>
        <v/>
      </c>
      <c r="S1492" s="21" t="str">
        <f aca="false">IF(OR($B1492="",N(O1492)=0),"",R1492/O1492)</f>
        <v/>
      </c>
      <c r="T1492" s="14"/>
      <c r="U1492" s="19" t="n">
        <f aca="false">IF(OR($B1492="",$A1492=""),0,IF(COUNTIFS($A$5:$A1492,$A1492,$B$5:$B1492,$B1492)=1,1,0))</f>
        <v>0</v>
      </c>
    </row>
    <row r="1493" customFormat="false" ht="15" hidden="false" customHeight="false" outlineLevel="0" collapsed="false">
      <c r="A1493" s="17"/>
      <c r="B1493" s="13"/>
      <c r="C1493" s="20" t="str">
        <f aca="false">IF($B1493="","",IFERROR(INDEX(고객사!$B$5:$B$104,MATCH($B1493,고객사!$A$5:$A$104,0)),"코드 확인"))</f>
        <v/>
      </c>
      <c r="D1493" s="15"/>
      <c r="E1493" s="15"/>
      <c r="F1493" s="16"/>
      <c r="G1493" s="16"/>
      <c r="H1493" s="21" t="str">
        <f aca="false">IF(OR($B1493="",F1493=0),"",G1493/F1493)</f>
        <v/>
      </c>
      <c r="I1493" s="22" t="str">
        <f aca="false">IF($B1493="","",MAX(F1493-G1493,0))</f>
        <v/>
      </c>
      <c r="J1493" s="23" t="str">
        <f aca="false">IF($B1493="","",IFERROR(INDEX(고객사!$G$5:$G$104,MATCH($B1493,고객사!$A$5:$A$104,0)),""))</f>
        <v/>
      </c>
      <c r="K1493" s="16"/>
      <c r="L1493" s="22" t="str">
        <f aca="false">IF($B1493="","",K1493*IFERROR(INDEX(고객사!$L$5:$L$104,MATCH($B1493,고객사!$A$5:$A$104,0)),0))</f>
        <v/>
      </c>
      <c r="M1493" s="23" t="str">
        <f aca="false">IF($B1493="","",IF(AND(J1493="N",G1493&gt;0,K1493=0,IFERROR(INDEX(고객사!$H$5:$H$104,MATCH($B1493,고객사!$A$5:$A$104,0)),"")="자사 차량 운행"),"차량 미배정",""))</f>
        <v/>
      </c>
      <c r="N1493" s="22" t="str">
        <f aca="false">IF($B1493="","",IFERROR(INDEX(고객사!$J$5:$J$104,MATCH($B1493,고객사!$A$5:$A$104,0)),0))</f>
        <v/>
      </c>
      <c r="O1493" s="22" t="str">
        <f aca="false">IF($B1493="","",G1493*N1493)</f>
        <v/>
      </c>
      <c r="P1493" s="22" t="str">
        <f aca="false">IF($B1493="","",IFERROR(INDEX(고객사!$K$5:$K$104,MATCH($B1493,고객사!$A$5:$A$104,0)),0))</f>
        <v/>
      </c>
      <c r="Q1493" s="22" t="str">
        <f aca="false">IF($B1493="","",G1493*P1493)</f>
        <v/>
      </c>
      <c r="R1493" s="22" t="str">
        <f aca="false">IF($B1493="","",O1493-Q1493-L1493)</f>
        <v/>
      </c>
      <c r="S1493" s="21" t="str">
        <f aca="false">IF(OR($B1493="",N(O1493)=0),"",R1493/O1493)</f>
        <v/>
      </c>
      <c r="T1493" s="14"/>
      <c r="U1493" s="19" t="n">
        <f aca="false">IF(OR($B1493="",$A1493=""),0,IF(COUNTIFS($A$5:$A1493,$A1493,$B$5:$B1493,$B1493)=1,1,0))</f>
        <v>0</v>
      </c>
    </row>
    <row r="1494" customFormat="false" ht="15" hidden="false" customHeight="false" outlineLevel="0" collapsed="false">
      <c r="A1494" s="17"/>
      <c r="B1494" s="13"/>
      <c r="C1494" s="20" t="str">
        <f aca="false">IF($B1494="","",IFERROR(INDEX(고객사!$B$5:$B$104,MATCH($B1494,고객사!$A$5:$A$104,0)),"코드 확인"))</f>
        <v/>
      </c>
      <c r="D1494" s="15"/>
      <c r="E1494" s="15"/>
      <c r="F1494" s="16"/>
      <c r="G1494" s="16"/>
      <c r="H1494" s="21" t="str">
        <f aca="false">IF(OR($B1494="",F1494=0),"",G1494/F1494)</f>
        <v/>
      </c>
      <c r="I1494" s="22" t="str">
        <f aca="false">IF($B1494="","",MAX(F1494-G1494,0))</f>
        <v/>
      </c>
      <c r="J1494" s="23" t="str">
        <f aca="false">IF($B1494="","",IFERROR(INDEX(고객사!$G$5:$G$104,MATCH($B1494,고객사!$A$5:$A$104,0)),""))</f>
        <v/>
      </c>
      <c r="K1494" s="16"/>
      <c r="L1494" s="22" t="str">
        <f aca="false">IF($B1494="","",K1494*IFERROR(INDEX(고객사!$L$5:$L$104,MATCH($B1494,고객사!$A$5:$A$104,0)),0))</f>
        <v/>
      </c>
      <c r="M1494" s="23" t="str">
        <f aca="false">IF($B1494="","",IF(AND(J1494="N",G1494&gt;0,K1494=0,IFERROR(INDEX(고객사!$H$5:$H$104,MATCH($B1494,고객사!$A$5:$A$104,0)),"")="자사 차량 운행"),"차량 미배정",""))</f>
        <v/>
      </c>
      <c r="N1494" s="22" t="str">
        <f aca="false">IF($B1494="","",IFERROR(INDEX(고객사!$J$5:$J$104,MATCH($B1494,고객사!$A$5:$A$104,0)),0))</f>
        <v/>
      </c>
      <c r="O1494" s="22" t="str">
        <f aca="false">IF($B1494="","",G1494*N1494)</f>
        <v/>
      </c>
      <c r="P1494" s="22" t="str">
        <f aca="false">IF($B1494="","",IFERROR(INDEX(고객사!$K$5:$K$104,MATCH($B1494,고객사!$A$5:$A$104,0)),0))</f>
        <v/>
      </c>
      <c r="Q1494" s="22" t="str">
        <f aca="false">IF($B1494="","",G1494*P1494)</f>
        <v/>
      </c>
      <c r="R1494" s="22" t="str">
        <f aca="false">IF($B1494="","",O1494-Q1494-L1494)</f>
        <v/>
      </c>
      <c r="S1494" s="21" t="str">
        <f aca="false">IF(OR($B1494="",N(O1494)=0),"",R1494/O1494)</f>
        <v/>
      </c>
      <c r="T1494" s="14"/>
      <c r="U1494" s="19" t="n">
        <f aca="false">IF(OR($B1494="",$A1494=""),0,IF(COUNTIFS($A$5:$A1494,$A1494,$B$5:$B1494,$B1494)=1,1,0))</f>
        <v>0</v>
      </c>
    </row>
    <row r="1495" customFormat="false" ht="15" hidden="false" customHeight="false" outlineLevel="0" collapsed="false">
      <c r="A1495" s="17"/>
      <c r="B1495" s="13"/>
      <c r="C1495" s="20" t="str">
        <f aca="false">IF($B1495="","",IFERROR(INDEX(고객사!$B$5:$B$104,MATCH($B1495,고객사!$A$5:$A$104,0)),"코드 확인"))</f>
        <v/>
      </c>
      <c r="D1495" s="15"/>
      <c r="E1495" s="15"/>
      <c r="F1495" s="16"/>
      <c r="G1495" s="16"/>
      <c r="H1495" s="21" t="str">
        <f aca="false">IF(OR($B1495="",F1495=0),"",G1495/F1495)</f>
        <v/>
      </c>
      <c r="I1495" s="22" t="str">
        <f aca="false">IF($B1495="","",MAX(F1495-G1495,0))</f>
        <v/>
      </c>
      <c r="J1495" s="23" t="str">
        <f aca="false">IF($B1495="","",IFERROR(INDEX(고객사!$G$5:$G$104,MATCH($B1495,고객사!$A$5:$A$104,0)),""))</f>
        <v/>
      </c>
      <c r="K1495" s="16"/>
      <c r="L1495" s="22" t="str">
        <f aca="false">IF($B1495="","",K1495*IFERROR(INDEX(고객사!$L$5:$L$104,MATCH($B1495,고객사!$A$5:$A$104,0)),0))</f>
        <v/>
      </c>
      <c r="M1495" s="23" t="str">
        <f aca="false">IF($B1495="","",IF(AND(J1495="N",G1495&gt;0,K1495=0,IFERROR(INDEX(고객사!$H$5:$H$104,MATCH($B1495,고객사!$A$5:$A$104,0)),"")="자사 차량 운행"),"차량 미배정",""))</f>
        <v/>
      </c>
      <c r="N1495" s="22" t="str">
        <f aca="false">IF($B1495="","",IFERROR(INDEX(고객사!$J$5:$J$104,MATCH($B1495,고객사!$A$5:$A$104,0)),0))</f>
        <v/>
      </c>
      <c r="O1495" s="22" t="str">
        <f aca="false">IF($B1495="","",G1495*N1495)</f>
        <v/>
      </c>
      <c r="P1495" s="22" t="str">
        <f aca="false">IF($B1495="","",IFERROR(INDEX(고객사!$K$5:$K$104,MATCH($B1495,고객사!$A$5:$A$104,0)),0))</f>
        <v/>
      </c>
      <c r="Q1495" s="22" t="str">
        <f aca="false">IF($B1495="","",G1495*P1495)</f>
        <v/>
      </c>
      <c r="R1495" s="22" t="str">
        <f aca="false">IF($B1495="","",O1495-Q1495-L1495)</f>
        <v/>
      </c>
      <c r="S1495" s="21" t="str">
        <f aca="false">IF(OR($B1495="",N(O1495)=0),"",R1495/O1495)</f>
        <v/>
      </c>
      <c r="T1495" s="14"/>
      <c r="U1495" s="19" t="n">
        <f aca="false">IF(OR($B1495="",$A1495=""),0,IF(COUNTIFS($A$5:$A1495,$A1495,$B$5:$B1495,$B1495)=1,1,0))</f>
        <v>0</v>
      </c>
    </row>
    <row r="1496" customFormat="false" ht="15" hidden="false" customHeight="false" outlineLevel="0" collapsed="false">
      <c r="A1496" s="17"/>
      <c r="B1496" s="13"/>
      <c r="C1496" s="20" t="str">
        <f aca="false">IF($B1496="","",IFERROR(INDEX(고객사!$B$5:$B$104,MATCH($B1496,고객사!$A$5:$A$104,0)),"코드 확인"))</f>
        <v/>
      </c>
      <c r="D1496" s="15"/>
      <c r="E1496" s="15"/>
      <c r="F1496" s="16"/>
      <c r="G1496" s="16"/>
      <c r="H1496" s="21" t="str">
        <f aca="false">IF(OR($B1496="",F1496=0),"",G1496/F1496)</f>
        <v/>
      </c>
      <c r="I1496" s="22" t="str">
        <f aca="false">IF($B1496="","",MAX(F1496-G1496,0))</f>
        <v/>
      </c>
      <c r="J1496" s="23" t="str">
        <f aca="false">IF($B1496="","",IFERROR(INDEX(고객사!$G$5:$G$104,MATCH($B1496,고객사!$A$5:$A$104,0)),""))</f>
        <v/>
      </c>
      <c r="K1496" s="16"/>
      <c r="L1496" s="22" t="str">
        <f aca="false">IF($B1496="","",K1496*IFERROR(INDEX(고객사!$L$5:$L$104,MATCH($B1496,고객사!$A$5:$A$104,0)),0))</f>
        <v/>
      </c>
      <c r="M1496" s="23" t="str">
        <f aca="false">IF($B1496="","",IF(AND(J1496="N",G1496&gt;0,K1496=0,IFERROR(INDEX(고객사!$H$5:$H$104,MATCH($B1496,고객사!$A$5:$A$104,0)),"")="자사 차량 운행"),"차량 미배정",""))</f>
        <v/>
      </c>
      <c r="N1496" s="22" t="str">
        <f aca="false">IF($B1496="","",IFERROR(INDEX(고객사!$J$5:$J$104,MATCH($B1496,고객사!$A$5:$A$104,0)),0))</f>
        <v/>
      </c>
      <c r="O1496" s="22" t="str">
        <f aca="false">IF($B1496="","",G1496*N1496)</f>
        <v/>
      </c>
      <c r="P1496" s="22" t="str">
        <f aca="false">IF($B1496="","",IFERROR(INDEX(고객사!$K$5:$K$104,MATCH($B1496,고객사!$A$5:$A$104,0)),0))</f>
        <v/>
      </c>
      <c r="Q1496" s="22" t="str">
        <f aca="false">IF($B1496="","",G1496*P1496)</f>
        <v/>
      </c>
      <c r="R1496" s="22" t="str">
        <f aca="false">IF($B1496="","",O1496-Q1496-L1496)</f>
        <v/>
      </c>
      <c r="S1496" s="21" t="str">
        <f aca="false">IF(OR($B1496="",N(O1496)=0),"",R1496/O1496)</f>
        <v/>
      </c>
      <c r="T1496" s="14"/>
      <c r="U1496" s="19" t="n">
        <f aca="false">IF(OR($B1496="",$A1496=""),0,IF(COUNTIFS($A$5:$A1496,$A1496,$B$5:$B1496,$B1496)=1,1,0))</f>
        <v>0</v>
      </c>
    </row>
    <row r="1497" customFormat="false" ht="15" hidden="false" customHeight="false" outlineLevel="0" collapsed="false">
      <c r="A1497" s="17"/>
      <c r="B1497" s="13"/>
      <c r="C1497" s="20" t="str">
        <f aca="false">IF($B1497="","",IFERROR(INDEX(고객사!$B$5:$B$104,MATCH($B1497,고객사!$A$5:$A$104,0)),"코드 확인"))</f>
        <v/>
      </c>
      <c r="D1497" s="15"/>
      <c r="E1497" s="15"/>
      <c r="F1497" s="16"/>
      <c r="G1497" s="16"/>
      <c r="H1497" s="21" t="str">
        <f aca="false">IF(OR($B1497="",F1497=0),"",G1497/F1497)</f>
        <v/>
      </c>
      <c r="I1497" s="22" t="str">
        <f aca="false">IF($B1497="","",MAX(F1497-G1497,0))</f>
        <v/>
      </c>
      <c r="J1497" s="23" t="str">
        <f aca="false">IF($B1497="","",IFERROR(INDEX(고객사!$G$5:$G$104,MATCH($B1497,고객사!$A$5:$A$104,0)),""))</f>
        <v/>
      </c>
      <c r="K1497" s="16"/>
      <c r="L1497" s="22" t="str">
        <f aca="false">IF($B1497="","",K1497*IFERROR(INDEX(고객사!$L$5:$L$104,MATCH($B1497,고객사!$A$5:$A$104,0)),0))</f>
        <v/>
      </c>
      <c r="M1497" s="23" t="str">
        <f aca="false">IF($B1497="","",IF(AND(J1497="N",G1497&gt;0,K1497=0,IFERROR(INDEX(고객사!$H$5:$H$104,MATCH($B1497,고객사!$A$5:$A$104,0)),"")="자사 차량 운행"),"차량 미배정",""))</f>
        <v/>
      </c>
      <c r="N1497" s="22" t="str">
        <f aca="false">IF($B1497="","",IFERROR(INDEX(고객사!$J$5:$J$104,MATCH($B1497,고객사!$A$5:$A$104,0)),0))</f>
        <v/>
      </c>
      <c r="O1497" s="22" t="str">
        <f aca="false">IF($B1497="","",G1497*N1497)</f>
        <v/>
      </c>
      <c r="P1497" s="22" t="str">
        <f aca="false">IF($B1497="","",IFERROR(INDEX(고객사!$K$5:$K$104,MATCH($B1497,고객사!$A$5:$A$104,0)),0))</f>
        <v/>
      </c>
      <c r="Q1497" s="22" t="str">
        <f aca="false">IF($B1497="","",G1497*P1497)</f>
        <v/>
      </c>
      <c r="R1497" s="22" t="str">
        <f aca="false">IF($B1497="","",O1497-Q1497-L1497)</f>
        <v/>
      </c>
      <c r="S1497" s="21" t="str">
        <f aca="false">IF(OR($B1497="",N(O1497)=0),"",R1497/O1497)</f>
        <v/>
      </c>
      <c r="T1497" s="14"/>
      <c r="U1497" s="19" t="n">
        <f aca="false">IF(OR($B1497="",$A1497=""),0,IF(COUNTIFS($A$5:$A1497,$A1497,$B$5:$B1497,$B1497)=1,1,0))</f>
        <v>0</v>
      </c>
    </row>
    <row r="1498" customFormat="false" ht="15" hidden="false" customHeight="false" outlineLevel="0" collapsed="false">
      <c r="A1498" s="17"/>
      <c r="B1498" s="13"/>
      <c r="C1498" s="20" t="str">
        <f aca="false">IF($B1498="","",IFERROR(INDEX(고객사!$B$5:$B$104,MATCH($B1498,고객사!$A$5:$A$104,0)),"코드 확인"))</f>
        <v/>
      </c>
      <c r="D1498" s="15"/>
      <c r="E1498" s="15"/>
      <c r="F1498" s="16"/>
      <c r="G1498" s="16"/>
      <c r="H1498" s="21" t="str">
        <f aca="false">IF(OR($B1498="",F1498=0),"",G1498/F1498)</f>
        <v/>
      </c>
      <c r="I1498" s="22" t="str">
        <f aca="false">IF($B1498="","",MAX(F1498-G1498,0))</f>
        <v/>
      </c>
      <c r="J1498" s="23" t="str">
        <f aca="false">IF($B1498="","",IFERROR(INDEX(고객사!$G$5:$G$104,MATCH($B1498,고객사!$A$5:$A$104,0)),""))</f>
        <v/>
      </c>
      <c r="K1498" s="16"/>
      <c r="L1498" s="22" t="str">
        <f aca="false">IF($B1498="","",K1498*IFERROR(INDEX(고객사!$L$5:$L$104,MATCH($B1498,고객사!$A$5:$A$104,0)),0))</f>
        <v/>
      </c>
      <c r="M1498" s="23" t="str">
        <f aca="false">IF($B1498="","",IF(AND(J1498="N",G1498&gt;0,K1498=0,IFERROR(INDEX(고객사!$H$5:$H$104,MATCH($B1498,고객사!$A$5:$A$104,0)),"")="자사 차량 운행"),"차량 미배정",""))</f>
        <v/>
      </c>
      <c r="N1498" s="22" t="str">
        <f aca="false">IF($B1498="","",IFERROR(INDEX(고객사!$J$5:$J$104,MATCH($B1498,고객사!$A$5:$A$104,0)),0))</f>
        <v/>
      </c>
      <c r="O1498" s="22" t="str">
        <f aca="false">IF($B1498="","",G1498*N1498)</f>
        <v/>
      </c>
      <c r="P1498" s="22" t="str">
        <f aca="false">IF($B1498="","",IFERROR(INDEX(고객사!$K$5:$K$104,MATCH($B1498,고객사!$A$5:$A$104,0)),0))</f>
        <v/>
      </c>
      <c r="Q1498" s="22" t="str">
        <f aca="false">IF($B1498="","",G1498*P1498)</f>
        <v/>
      </c>
      <c r="R1498" s="22" t="str">
        <f aca="false">IF($B1498="","",O1498-Q1498-L1498)</f>
        <v/>
      </c>
      <c r="S1498" s="21" t="str">
        <f aca="false">IF(OR($B1498="",N(O1498)=0),"",R1498/O1498)</f>
        <v/>
      </c>
      <c r="T1498" s="14"/>
      <c r="U1498" s="19" t="n">
        <f aca="false">IF(OR($B1498="",$A1498=""),0,IF(COUNTIFS($A$5:$A1498,$A1498,$B$5:$B1498,$B1498)=1,1,0))</f>
        <v>0</v>
      </c>
    </row>
    <row r="1499" customFormat="false" ht="15" hidden="false" customHeight="false" outlineLevel="0" collapsed="false">
      <c r="A1499" s="17"/>
      <c r="B1499" s="13"/>
      <c r="C1499" s="20" t="str">
        <f aca="false">IF($B1499="","",IFERROR(INDEX(고객사!$B$5:$B$104,MATCH($B1499,고객사!$A$5:$A$104,0)),"코드 확인"))</f>
        <v/>
      </c>
      <c r="D1499" s="15"/>
      <c r="E1499" s="15"/>
      <c r="F1499" s="16"/>
      <c r="G1499" s="16"/>
      <c r="H1499" s="21" t="str">
        <f aca="false">IF(OR($B1499="",F1499=0),"",G1499/F1499)</f>
        <v/>
      </c>
      <c r="I1499" s="22" t="str">
        <f aca="false">IF($B1499="","",MAX(F1499-G1499,0))</f>
        <v/>
      </c>
      <c r="J1499" s="23" t="str">
        <f aca="false">IF($B1499="","",IFERROR(INDEX(고객사!$G$5:$G$104,MATCH($B1499,고객사!$A$5:$A$104,0)),""))</f>
        <v/>
      </c>
      <c r="K1499" s="16"/>
      <c r="L1499" s="22" t="str">
        <f aca="false">IF($B1499="","",K1499*IFERROR(INDEX(고객사!$L$5:$L$104,MATCH($B1499,고객사!$A$5:$A$104,0)),0))</f>
        <v/>
      </c>
      <c r="M1499" s="23" t="str">
        <f aca="false">IF($B1499="","",IF(AND(J1499="N",G1499&gt;0,K1499=0,IFERROR(INDEX(고객사!$H$5:$H$104,MATCH($B1499,고객사!$A$5:$A$104,0)),"")="자사 차량 운행"),"차량 미배정",""))</f>
        <v/>
      </c>
      <c r="N1499" s="22" t="str">
        <f aca="false">IF($B1499="","",IFERROR(INDEX(고객사!$J$5:$J$104,MATCH($B1499,고객사!$A$5:$A$104,0)),0))</f>
        <v/>
      </c>
      <c r="O1499" s="22" t="str">
        <f aca="false">IF($B1499="","",G1499*N1499)</f>
        <v/>
      </c>
      <c r="P1499" s="22" t="str">
        <f aca="false">IF($B1499="","",IFERROR(INDEX(고객사!$K$5:$K$104,MATCH($B1499,고객사!$A$5:$A$104,0)),0))</f>
        <v/>
      </c>
      <c r="Q1499" s="22" t="str">
        <f aca="false">IF($B1499="","",G1499*P1499)</f>
        <v/>
      </c>
      <c r="R1499" s="22" t="str">
        <f aca="false">IF($B1499="","",O1499-Q1499-L1499)</f>
        <v/>
      </c>
      <c r="S1499" s="21" t="str">
        <f aca="false">IF(OR($B1499="",N(O1499)=0),"",R1499/O1499)</f>
        <v/>
      </c>
      <c r="T1499" s="14"/>
      <c r="U1499" s="19" t="n">
        <f aca="false">IF(OR($B1499="",$A1499=""),0,IF(COUNTIFS($A$5:$A1499,$A1499,$B$5:$B1499,$B1499)=1,1,0))</f>
        <v>0</v>
      </c>
    </row>
    <row r="1500" customFormat="false" ht="15" hidden="false" customHeight="false" outlineLevel="0" collapsed="false">
      <c r="A1500" s="17"/>
      <c r="B1500" s="13"/>
      <c r="C1500" s="20" t="str">
        <f aca="false">IF($B1500="","",IFERROR(INDEX(고객사!$B$5:$B$104,MATCH($B1500,고객사!$A$5:$A$104,0)),"코드 확인"))</f>
        <v/>
      </c>
      <c r="D1500" s="15"/>
      <c r="E1500" s="15"/>
      <c r="F1500" s="16"/>
      <c r="G1500" s="16"/>
      <c r="H1500" s="21" t="str">
        <f aca="false">IF(OR($B1500="",F1500=0),"",G1500/F1500)</f>
        <v/>
      </c>
      <c r="I1500" s="22" t="str">
        <f aca="false">IF($B1500="","",MAX(F1500-G1500,0))</f>
        <v/>
      </c>
      <c r="J1500" s="23" t="str">
        <f aca="false">IF($B1500="","",IFERROR(INDEX(고객사!$G$5:$G$104,MATCH($B1500,고객사!$A$5:$A$104,0)),""))</f>
        <v/>
      </c>
      <c r="K1500" s="16"/>
      <c r="L1500" s="22" t="str">
        <f aca="false">IF($B1500="","",K1500*IFERROR(INDEX(고객사!$L$5:$L$104,MATCH($B1500,고객사!$A$5:$A$104,0)),0))</f>
        <v/>
      </c>
      <c r="M1500" s="23" t="str">
        <f aca="false">IF($B1500="","",IF(AND(J1500="N",G1500&gt;0,K1500=0,IFERROR(INDEX(고객사!$H$5:$H$104,MATCH($B1500,고객사!$A$5:$A$104,0)),"")="자사 차량 운행"),"차량 미배정",""))</f>
        <v/>
      </c>
      <c r="N1500" s="22" t="str">
        <f aca="false">IF($B1500="","",IFERROR(INDEX(고객사!$J$5:$J$104,MATCH($B1500,고객사!$A$5:$A$104,0)),0))</f>
        <v/>
      </c>
      <c r="O1500" s="22" t="str">
        <f aca="false">IF($B1500="","",G1500*N1500)</f>
        <v/>
      </c>
      <c r="P1500" s="22" t="str">
        <f aca="false">IF($B1500="","",IFERROR(INDEX(고객사!$K$5:$K$104,MATCH($B1500,고객사!$A$5:$A$104,0)),0))</f>
        <v/>
      </c>
      <c r="Q1500" s="22" t="str">
        <f aca="false">IF($B1500="","",G1500*P1500)</f>
        <v/>
      </c>
      <c r="R1500" s="22" t="str">
        <f aca="false">IF($B1500="","",O1500-Q1500-L1500)</f>
        <v/>
      </c>
      <c r="S1500" s="21" t="str">
        <f aca="false">IF(OR($B1500="",N(O1500)=0),"",R1500/O1500)</f>
        <v/>
      </c>
      <c r="T1500" s="14"/>
      <c r="U1500" s="19" t="n">
        <f aca="false">IF(OR($B1500="",$A1500=""),0,IF(COUNTIFS($A$5:$A1500,$A1500,$B$5:$B1500,$B1500)=1,1,0))</f>
        <v>0</v>
      </c>
    </row>
    <row r="1501" customFormat="false" ht="15" hidden="false" customHeight="false" outlineLevel="0" collapsed="false">
      <c r="A1501" s="17"/>
      <c r="B1501" s="13"/>
      <c r="C1501" s="20" t="str">
        <f aca="false">IF($B1501="","",IFERROR(INDEX(고객사!$B$5:$B$104,MATCH($B1501,고객사!$A$5:$A$104,0)),"코드 확인"))</f>
        <v/>
      </c>
      <c r="D1501" s="15"/>
      <c r="E1501" s="15"/>
      <c r="F1501" s="16"/>
      <c r="G1501" s="16"/>
      <c r="H1501" s="21" t="str">
        <f aca="false">IF(OR($B1501="",F1501=0),"",G1501/F1501)</f>
        <v/>
      </c>
      <c r="I1501" s="22" t="str">
        <f aca="false">IF($B1501="","",MAX(F1501-G1501,0))</f>
        <v/>
      </c>
      <c r="J1501" s="23" t="str">
        <f aca="false">IF($B1501="","",IFERROR(INDEX(고객사!$G$5:$G$104,MATCH($B1501,고객사!$A$5:$A$104,0)),""))</f>
        <v/>
      </c>
      <c r="K1501" s="16"/>
      <c r="L1501" s="22" t="str">
        <f aca="false">IF($B1501="","",K1501*IFERROR(INDEX(고객사!$L$5:$L$104,MATCH($B1501,고객사!$A$5:$A$104,0)),0))</f>
        <v/>
      </c>
      <c r="M1501" s="23" t="str">
        <f aca="false">IF($B1501="","",IF(AND(J1501="N",G1501&gt;0,K1501=0,IFERROR(INDEX(고객사!$H$5:$H$104,MATCH($B1501,고객사!$A$5:$A$104,0)),"")="자사 차량 운행"),"차량 미배정",""))</f>
        <v/>
      </c>
      <c r="N1501" s="22" t="str">
        <f aca="false">IF($B1501="","",IFERROR(INDEX(고객사!$J$5:$J$104,MATCH($B1501,고객사!$A$5:$A$104,0)),0))</f>
        <v/>
      </c>
      <c r="O1501" s="22" t="str">
        <f aca="false">IF($B1501="","",G1501*N1501)</f>
        <v/>
      </c>
      <c r="P1501" s="22" t="str">
        <f aca="false">IF($B1501="","",IFERROR(INDEX(고객사!$K$5:$K$104,MATCH($B1501,고객사!$A$5:$A$104,0)),0))</f>
        <v/>
      </c>
      <c r="Q1501" s="22" t="str">
        <f aca="false">IF($B1501="","",G1501*P1501)</f>
        <v/>
      </c>
      <c r="R1501" s="22" t="str">
        <f aca="false">IF($B1501="","",O1501-Q1501-L1501)</f>
        <v/>
      </c>
      <c r="S1501" s="21" t="str">
        <f aca="false">IF(OR($B1501="",N(O1501)=0),"",R1501/O1501)</f>
        <v/>
      </c>
      <c r="T1501" s="14"/>
      <c r="U1501" s="19" t="n">
        <f aca="false">IF(OR($B1501="",$A1501=""),0,IF(COUNTIFS($A$5:$A1501,$A1501,$B$5:$B1501,$B1501)=1,1,0))</f>
        <v>0</v>
      </c>
    </row>
    <row r="1502" customFormat="false" ht="15" hidden="false" customHeight="false" outlineLevel="0" collapsed="false">
      <c r="A1502" s="17"/>
      <c r="B1502" s="13"/>
      <c r="C1502" s="20" t="str">
        <f aca="false">IF($B1502="","",IFERROR(INDEX(고객사!$B$5:$B$104,MATCH($B1502,고객사!$A$5:$A$104,0)),"코드 확인"))</f>
        <v/>
      </c>
      <c r="D1502" s="15"/>
      <c r="E1502" s="15"/>
      <c r="F1502" s="16"/>
      <c r="G1502" s="16"/>
      <c r="H1502" s="21" t="str">
        <f aca="false">IF(OR($B1502="",F1502=0),"",G1502/F1502)</f>
        <v/>
      </c>
      <c r="I1502" s="22" t="str">
        <f aca="false">IF($B1502="","",MAX(F1502-G1502,0))</f>
        <v/>
      </c>
      <c r="J1502" s="23" t="str">
        <f aca="false">IF($B1502="","",IFERROR(INDEX(고객사!$G$5:$G$104,MATCH($B1502,고객사!$A$5:$A$104,0)),""))</f>
        <v/>
      </c>
      <c r="K1502" s="16"/>
      <c r="L1502" s="22" t="str">
        <f aca="false">IF($B1502="","",K1502*IFERROR(INDEX(고객사!$L$5:$L$104,MATCH($B1502,고객사!$A$5:$A$104,0)),0))</f>
        <v/>
      </c>
      <c r="M1502" s="23" t="str">
        <f aca="false">IF($B1502="","",IF(AND(J1502="N",G1502&gt;0,K1502=0,IFERROR(INDEX(고객사!$H$5:$H$104,MATCH($B1502,고객사!$A$5:$A$104,0)),"")="자사 차량 운행"),"차량 미배정",""))</f>
        <v/>
      </c>
      <c r="N1502" s="22" t="str">
        <f aca="false">IF($B1502="","",IFERROR(INDEX(고객사!$J$5:$J$104,MATCH($B1502,고객사!$A$5:$A$104,0)),0))</f>
        <v/>
      </c>
      <c r="O1502" s="22" t="str">
        <f aca="false">IF($B1502="","",G1502*N1502)</f>
        <v/>
      </c>
      <c r="P1502" s="22" t="str">
        <f aca="false">IF($B1502="","",IFERROR(INDEX(고객사!$K$5:$K$104,MATCH($B1502,고객사!$A$5:$A$104,0)),0))</f>
        <v/>
      </c>
      <c r="Q1502" s="22" t="str">
        <f aca="false">IF($B1502="","",G1502*P1502)</f>
        <v/>
      </c>
      <c r="R1502" s="22" t="str">
        <f aca="false">IF($B1502="","",O1502-Q1502-L1502)</f>
        <v/>
      </c>
      <c r="S1502" s="21" t="str">
        <f aca="false">IF(OR($B1502="",N(O1502)=0),"",R1502/O1502)</f>
        <v/>
      </c>
      <c r="T1502" s="14"/>
      <c r="U1502" s="19" t="n">
        <f aca="false">IF(OR($B1502="",$A1502=""),0,IF(COUNTIFS($A$5:$A1502,$A1502,$B$5:$B1502,$B1502)=1,1,0))</f>
        <v>0</v>
      </c>
    </row>
    <row r="1503" customFormat="false" ht="15" hidden="false" customHeight="false" outlineLevel="0" collapsed="false">
      <c r="A1503" s="17"/>
      <c r="B1503" s="13"/>
      <c r="C1503" s="20" t="str">
        <f aca="false">IF($B1503="","",IFERROR(INDEX(고객사!$B$5:$B$104,MATCH($B1503,고객사!$A$5:$A$104,0)),"코드 확인"))</f>
        <v/>
      </c>
      <c r="D1503" s="15"/>
      <c r="E1503" s="15"/>
      <c r="F1503" s="16"/>
      <c r="G1503" s="16"/>
      <c r="H1503" s="21" t="str">
        <f aca="false">IF(OR($B1503="",F1503=0),"",G1503/F1503)</f>
        <v/>
      </c>
      <c r="I1503" s="22" t="str">
        <f aca="false">IF($B1503="","",MAX(F1503-G1503,0))</f>
        <v/>
      </c>
      <c r="J1503" s="23" t="str">
        <f aca="false">IF($B1503="","",IFERROR(INDEX(고객사!$G$5:$G$104,MATCH($B1503,고객사!$A$5:$A$104,0)),""))</f>
        <v/>
      </c>
      <c r="K1503" s="16"/>
      <c r="L1503" s="22" t="str">
        <f aca="false">IF($B1503="","",K1503*IFERROR(INDEX(고객사!$L$5:$L$104,MATCH($B1503,고객사!$A$5:$A$104,0)),0))</f>
        <v/>
      </c>
      <c r="M1503" s="23" t="str">
        <f aca="false">IF($B1503="","",IF(AND(J1503="N",G1503&gt;0,K1503=0,IFERROR(INDEX(고객사!$H$5:$H$104,MATCH($B1503,고객사!$A$5:$A$104,0)),"")="자사 차량 운행"),"차량 미배정",""))</f>
        <v/>
      </c>
      <c r="N1503" s="22" t="str">
        <f aca="false">IF($B1503="","",IFERROR(INDEX(고객사!$J$5:$J$104,MATCH($B1503,고객사!$A$5:$A$104,0)),0))</f>
        <v/>
      </c>
      <c r="O1503" s="22" t="str">
        <f aca="false">IF($B1503="","",G1503*N1503)</f>
        <v/>
      </c>
      <c r="P1503" s="22" t="str">
        <f aca="false">IF($B1503="","",IFERROR(INDEX(고객사!$K$5:$K$104,MATCH($B1503,고객사!$A$5:$A$104,0)),0))</f>
        <v/>
      </c>
      <c r="Q1503" s="22" t="str">
        <f aca="false">IF($B1503="","",G1503*P1503)</f>
        <v/>
      </c>
      <c r="R1503" s="22" t="str">
        <f aca="false">IF($B1503="","",O1503-Q1503-L1503)</f>
        <v/>
      </c>
      <c r="S1503" s="21" t="str">
        <f aca="false">IF(OR($B1503="",N(O1503)=0),"",R1503/O1503)</f>
        <v/>
      </c>
      <c r="T1503" s="14"/>
      <c r="U1503" s="19" t="n">
        <f aca="false">IF(OR($B1503="",$A1503=""),0,IF(COUNTIFS($A$5:$A1503,$A1503,$B$5:$B1503,$B1503)=1,1,0))</f>
        <v>0</v>
      </c>
    </row>
    <row r="1504" customFormat="false" ht="15" hidden="false" customHeight="false" outlineLevel="0" collapsed="false">
      <c r="A1504" s="17"/>
      <c r="B1504" s="13"/>
      <c r="C1504" s="20" t="str">
        <f aca="false">IF($B1504="","",IFERROR(INDEX(고객사!$B$5:$B$104,MATCH($B1504,고객사!$A$5:$A$104,0)),"코드 확인"))</f>
        <v/>
      </c>
      <c r="D1504" s="15"/>
      <c r="E1504" s="15"/>
      <c r="F1504" s="16"/>
      <c r="G1504" s="16"/>
      <c r="H1504" s="21" t="str">
        <f aca="false">IF(OR($B1504="",F1504=0),"",G1504/F1504)</f>
        <v/>
      </c>
      <c r="I1504" s="22" t="str">
        <f aca="false">IF($B1504="","",MAX(F1504-G1504,0))</f>
        <v/>
      </c>
      <c r="J1504" s="23" t="str">
        <f aca="false">IF($B1504="","",IFERROR(INDEX(고객사!$G$5:$G$104,MATCH($B1504,고객사!$A$5:$A$104,0)),""))</f>
        <v/>
      </c>
      <c r="K1504" s="16"/>
      <c r="L1504" s="22" t="str">
        <f aca="false">IF($B1504="","",K1504*IFERROR(INDEX(고객사!$L$5:$L$104,MATCH($B1504,고객사!$A$5:$A$104,0)),0))</f>
        <v/>
      </c>
      <c r="M1504" s="23" t="str">
        <f aca="false">IF($B1504="","",IF(AND(J1504="N",G1504&gt;0,K1504=0,IFERROR(INDEX(고객사!$H$5:$H$104,MATCH($B1504,고객사!$A$5:$A$104,0)),"")="자사 차량 운행"),"차량 미배정",""))</f>
        <v/>
      </c>
      <c r="N1504" s="22" t="str">
        <f aca="false">IF($B1504="","",IFERROR(INDEX(고객사!$J$5:$J$104,MATCH($B1504,고객사!$A$5:$A$104,0)),0))</f>
        <v/>
      </c>
      <c r="O1504" s="22" t="str">
        <f aca="false">IF($B1504="","",G1504*N1504)</f>
        <v/>
      </c>
      <c r="P1504" s="22" t="str">
        <f aca="false">IF($B1504="","",IFERROR(INDEX(고객사!$K$5:$K$104,MATCH($B1504,고객사!$A$5:$A$104,0)),0))</f>
        <v/>
      </c>
      <c r="Q1504" s="22" t="str">
        <f aca="false">IF($B1504="","",G1504*P1504)</f>
        <v/>
      </c>
      <c r="R1504" s="22" t="str">
        <f aca="false">IF($B1504="","",O1504-Q1504-L1504)</f>
        <v/>
      </c>
      <c r="S1504" s="21" t="str">
        <f aca="false">IF(OR($B1504="",N(O1504)=0),"",R1504/O1504)</f>
        <v/>
      </c>
      <c r="T1504" s="14"/>
      <c r="U1504" s="19" t="n">
        <f aca="false">IF(OR($B1504="",$A1504=""),0,IF(COUNTIFS($A$5:$A1504,$A1504,$B$5:$B1504,$B1504)=1,1,0))</f>
        <v>0</v>
      </c>
    </row>
    <row r="1505" customFormat="false" ht="15" hidden="false" customHeight="false" outlineLevel="0" collapsed="false">
      <c r="A1505" s="17"/>
      <c r="B1505" s="13"/>
      <c r="C1505" s="20" t="str">
        <f aca="false">IF($B1505="","",IFERROR(INDEX(고객사!$B$5:$B$104,MATCH($B1505,고객사!$A$5:$A$104,0)),"코드 확인"))</f>
        <v/>
      </c>
      <c r="D1505" s="15"/>
      <c r="E1505" s="15"/>
      <c r="F1505" s="16"/>
      <c r="G1505" s="16"/>
      <c r="H1505" s="21" t="str">
        <f aca="false">IF(OR($B1505="",F1505=0),"",G1505/F1505)</f>
        <v/>
      </c>
      <c r="I1505" s="22" t="str">
        <f aca="false">IF($B1505="","",MAX(F1505-G1505,0))</f>
        <v/>
      </c>
      <c r="J1505" s="23" t="str">
        <f aca="false">IF($B1505="","",IFERROR(INDEX(고객사!$G$5:$G$104,MATCH($B1505,고객사!$A$5:$A$104,0)),""))</f>
        <v/>
      </c>
      <c r="K1505" s="16"/>
      <c r="L1505" s="22" t="str">
        <f aca="false">IF($B1505="","",K1505*IFERROR(INDEX(고객사!$L$5:$L$104,MATCH($B1505,고객사!$A$5:$A$104,0)),0))</f>
        <v/>
      </c>
      <c r="M1505" s="23" t="str">
        <f aca="false">IF($B1505="","",IF(AND(J1505="N",G1505&gt;0,K1505=0,IFERROR(INDEX(고객사!$H$5:$H$104,MATCH($B1505,고객사!$A$5:$A$104,0)),"")="자사 차량 운행"),"차량 미배정",""))</f>
        <v/>
      </c>
      <c r="N1505" s="22" t="str">
        <f aca="false">IF($B1505="","",IFERROR(INDEX(고객사!$J$5:$J$104,MATCH($B1505,고객사!$A$5:$A$104,0)),0))</f>
        <v/>
      </c>
      <c r="O1505" s="22" t="str">
        <f aca="false">IF($B1505="","",G1505*N1505)</f>
        <v/>
      </c>
      <c r="P1505" s="22" t="str">
        <f aca="false">IF($B1505="","",IFERROR(INDEX(고객사!$K$5:$K$104,MATCH($B1505,고객사!$A$5:$A$104,0)),0))</f>
        <v/>
      </c>
      <c r="Q1505" s="22" t="str">
        <f aca="false">IF($B1505="","",G1505*P1505)</f>
        <v/>
      </c>
      <c r="R1505" s="22" t="str">
        <f aca="false">IF($B1505="","",O1505-Q1505-L1505)</f>
        <v/>
      </c>
      <c r="S1505" s="21" t="str">
        <f aca="false">IF(OR($B1505="",N(O1505)=0),"",R1505/O1505)</f>
        <v/>
      </c>
      <c r="T1505" s="14"/>
      <c r="U1505" s="19" t="n">
        <f aca="false">IF(OR($B1505="",$A1505=""),0,IF(COUNTIFS($A$5:$A1505,$A1505,$B$5:$B1505,$B1505)=1,1,0))</f>
        <v>0</v>
      </c>
    </row>
    <row r="1506" customFormat="false" ht="15" hidden="false" customHeight="false" outlineLevel="0" collapsed="false">
      <c r="A1506" s="17"/>
      <c r="B1506" s="13"/>
      <c r="C1506" s="20" t="str">
        <f aca="false">IF($B1506="","",IFERROR(INDEX(고객사!$B$5:$B$104,MATCH($B1506,고객사!$A$5:$A$104,0)),"코드 확인"))</f>
        <v/>
      </c>
      <c r="D1506" s="15"/>
      <c r="E1506" s="15"/>
      <c r="F1506" s="16"/>
      <c r="G1506" s="16"/>
      <c r="H1506" s="21" t="str">
        <f aca="false">IF(OR($B1506="",F1506=0),"",G1506/F1506)</f>
        <v/>
      </c>
      <c r="I1506" s="22" t="str">
        <f aca="false">IF($B1506="","",MAX(F1506-G1506,0))</f>
        <v/>
      </c>
      <c r="J1506" s="23" t="str">
        <f aca="false">IF($B1506="","",IFERROR(INDEX(고객사!$G$5:$G$104,MATCH($B1506,고객사!$A$5:$A$104,0)),""))</f>
        <v/>
      </c>
      <c r="K1506" s="16"/>
      <c r="L1506" s="22" t="str">
        <f aca="false">IF($B1506="","",K1506*IFERROR(INDEX(고객사!$L$5:$L$104,MATCH($B1506,고객사!$A$5:$A$104,0)),0))</f>
        <v/>
      </c>
      <c r="M1506" s="23" t="str">
        <f aca="false">IF($B1506="","",IF(AND(J1506="N",G1506&gt;0,K1506=0,IFERROR(INDEX(고객사!$H$5:$H$104,MATCH($B1506,고객사!$A$5:$A$104,0)),"")="자사 차량 운행"),"차량 미배정",""))</f>
        <v/>
      </c>
      <c r="N1506" s="22" t="str">
        <f aca="false">IF($B1506="","",IFERROR(INDEX(고객사!$J$5:$J$104,MATCH($B1506,고객사!$A$5:$A$104,0)),0))</f>
        <v/>
      </c>
      <c r="O1506" s="22" t="str">
        <f aca="false">IF($B1506="","",G1506*N1506)</f>
        <v/>
      </c>
      <c r="P1506" s="22" t="str">
        <f aca="false">IF($B1506="","",IFERROR(INDEX(고객사!$K$5:$K$104,MATCH($B1506,고객사!$A$5:$A$104,0)),0))</f>
        <v/>
      </c>
      <c r="Q1506" s="22" t="str">
        <f aca="false">IF($B1506="","",G1506*P1506)</f>
        <v/>
      </c>
      <c r="R1506" s="22" t="str">
        <f aca="false">IF($B1506="","",O1506-Q1506-L1506)</f>
        <v/>
      </c>
      <c r="S1506" s="21" t="str">
        <f aca="false">IF(OR($B1506="",N(O1506)=0),"",R1506/O1506)</f>
        <v/>
      </c>
      <c r="T1506" s="14"/>
      <c r="U1506" s="19" t="n">
        <f aca="false">IF(OR($B1506="",$A1506=""),0,IF(COUNTIFS($A$5:$A1506,$A1506,$B$5:$B1506,$B1506)=1,1,0))</f>
        <v>0</v>
      </c>
    </row>
    <row r="1507" customFormat="false" ht="15" hidden="false" customHeight="false" outlineLevel="0" collapsed="false">
      <c r="A1507" s="17"/>
      <c r="B1507" s="13"/>
      <c r="C1507" s="20" t="str">
        <f aca="false">IF($B1507="","",IFERROR(INDEX(고객사!$B$5:$B$104,MATCH($B1507,고객사!$A$5:$A$104,0)),"코드 확인"))</f>
        <v/>
      </c>
      <c r="D1507" s="15"/>
      <c r="E1507" s="15"/>
      <c r="F1507" s="16"/>
      <c r="G1507" s="16"/>
      <c r="H1507" s="21" t="str">
        <f aca="false">IF(OR($B1507="",F1507=0),"",G1507/F1507)</f>
        <v/>
      </c>
      <c r="I1507" s="22" t="str">
        <f aca="false">IF($B1507="","",MAX(F1507-G1507,0))</f>
        <v/>
      </c>
      <c r="J1507" s="23" t="str">
        <f aca="false">IF($B1507="","",IFERROR(INDEX(고객사!$G$5:$G$104,MATCH($B1507,고객사!$A$5:$A$104,0)),""))</f>
        <v/>
      </c>
      <c r="K1507" s="16"/>
      <c r="L1507" s="22" t="str">
        <f aca="false">IF($B1507="","",K1507*IFERROR(INDEX(고객사!$L$5:$L$104,MATCH($B1507,고객사!$A$5:$A$104,0)),0))</f>
        <v/>
      </c>
      <c r="M1507" s="23" t="str">
        <f aca="false">IF($B1507="","",IF(AND(J1507="N",G1507&gt;0,K1507=0,IFERROR(INDEX(고객사!$H$5:$H$104,MATCH($B1507,고객사!$A$5:$A$104,0)),"")="자사 차량 운행"),"차량 미배정",""))</f>
        <v/>
      </c>
      <c r="N1507" s="22" t="str">
        <f aca="false">IF($B1507="","",IFERROR(INDEX(고객사!$J$5:$J$104,MATCH($B1507,고객사!$A$5:$A$104,0)),0))</f>
        <v/>
      </c>
      <c r="O1507" s="22" t="str">
        <f aca="false">IF($B1507="","",G1507*N1507)</f>
        <v/>
      </c>
      <c r="P1507" s="22" t="str">
        <f aca="false">IF($B1507="","",IFERROR(INDEX(고객사!$K$5:$K$104,MATCH($B1507,고객사!$A$5:$A$104,0)),0))</f>
        <v/>
      </c>
      <c r="Q1507" s="22" t="str">
        <f aca="false">IF($B1507="","",G1507*P1507)</f>
        <v/>
      </c>
      <c r="R1507" s="22" t="str">
        <f aca="false">IF($B1507="","",O1507-Q1507-L1507)</f>
        <v/>
      </c>
      <c r="S1507" s="21" t="str">
        <f aca="false">IF(OR($B1507="",N(O1507)=0),"",R1507/O1507)</f>
        <v/>
      </c>
      <c r="T1507" s="14"/>
      <c r="U1507" s="19" t="n">
        <f aca="false">IF(OR($B1507="",$A1507=""),0,IF(COUNTIFS($A$5:$A1507,$A1507,$B$5:$B1507,$B1507)=1,1,0))</f>
        <v>0</v>
      </c>
    </row>
    <row r="1508" customFormat="false" ht="15" hidden="false" customHeight="false" outlineLevel="0" collapsed="false">
      <c r="A1508" s="17"/>
      <c r="B1508" s="13"/>
      <c r="C1508" s="20" t="str">
        <f aca="false">IF($B1508="","",IFERROR(INDEX(고객사!$B$5:$B$104,MATCH($B1508,고객사!$A$5:$A$104,0)),"코드 확인"))</f>
        <v/>
      </c>
      <c r="D1508" s="15"/>
      <c r="E1508" s="15"/>
      <c r="F1508" s="16"/>
      <c r="G1508" s="16"/>
      <c r="H1508" s="21" t="str">
        <f aca="false">IF(OR($B1508="",F1508=0),"",G1508/F1508)</f>
        <v/>
      </c>
      <c r="I1508" s="22" t="str">
        <f aca="false">IF($B1508="","",MAX(F1508-G1508,0))</f>
        <v/>
      </c>
      <c r="J1508" s="23" t="str">
        <f aca="false">IF($B1508="","",IFERROR(INDEX(고객사!$G$5:$G$104,MATCH($B1508,고객사!$A$5:$A$104,0)),""))</f>
        <v/>
      </c>
      <c r="K1508" s="16"/>
      <c r="L1508" s="22" t="str">
        <f aca="false">IF($B1508="","",K1508*IFERROR(INDEX(고객사!$L$5:$L$104,MATCH($B1508,고객사!$A$5:$A$104,0)),0))</f>
        <v/>
      </c>
      <c r="M1508" s="23" t="str">
        <f aca="false">IF($B1508="","",IF(AND(J1508="N",G1508&gt;0,K1508=0,IFERROR(INDEX(고객사!$H$5:$H$104,MATCH($B1508,고객사!$A$5:$A$104,0)),"")="자사 차량 운행"),"차량 미배정",""))</f>
        <v/>
      </c>
      <c r="N1508" s="22" t="str">
        <f aca="false">IF($B1508="","",IFERROR(INDEX(고객사!$J$5:$J$104,MATCH($B1508,고객사!$A$5:$A$104,0)),0))</f>
        <v/>
      </c>
      <c r="O1508" s="22" t="str">
        <f aca="false">IF($B1508="","",G1508*N1508)</f>
        <v/>
      </c>
      <c r="P1508" s="22" t="str">
        <f aca="false">IF($B1508="","",IFERROR(INDEX(고객사!$K$5:$K$104,MATCH($B1508,고객사!$A$5:$A$104,0)),0))</f>
        <v/>
      </c>
      <c r="Q1508" s="22" t="str">
        <f aca="false">IF($B1508="","",G1508*P1508)</f>
        <v/>
      </c>
      <c r="R1508" s="22" t="str">
        <f aca="false">IF($B1508="","",O1508-Q1508-L1508)</f>
        <v/>
      </c>
      <c r="S1508" s="21" t="str">
        <f aca="false">IF(OR($B1508="",N(O1508)=0),"",R1508/O1508)</f>
        <v/>
      </c>
      <c r="T1508" s="14"/>
      <c r="U1508" s="19" t="n">
        <f aca="false">IF(OR($B1508="",$A1508=""),0,IF(COUNTIFS($A$5:$A1508,$A1508,$B$5:$B1508,$B1508)=1,1,0))</f>
        <v>0</v>
      </c>
    </row>
    <row r="1509" customFormat="false" ht="15" hidden="false" customHeight="false" outlineLevel="0" collapsed="false">
      <c r="A1509" s="17"/>
      <c r="B1509" s="13"/>
      <c r="C1509" s="20" t="str">
        <f aca="false">IF($B1509="","",IFERROR(INDEX(고객사!$B$5:$B$104,MATCH($B1509,고객사!$A$5:$A$104,0)),"코드 확인"))</f>
        <v/>
      </c>
      <c r="D1509" s="15"/>
      <c r="E1509" s="15"/>
      <c r="F1509" s="16"/>
      <c r="G1509" s="16"/>
      <c r="H1509" s="21" t="str">
        <f aca="false">IF(OR($B1509="",F1509=0),"",G1509/F1509)</f>
        <v/>
      </c>
      <c r="I1509" s="22" t="str">
        <f aca="false">IF($B1509="","",MAX(F1509-G1509,0))</f>
        <v/>
      </c>
      <c r="J1509" s="23" t="str">
        <f aca="false">IF($B1509="","",IFERROR(INDEX(고객사!$G$5:$G$104,MATCH($B1509,고객사!$A$5:$A$104,0)),""))</f>
        <v/>
      </c>
      <c r="K1509" s="16"/>
      <c r="L1509" s="22" t="str">
        <f aca="false">IF($B1509="","",K1509*IFERROR(INDEX(고객사!$L$5:$L$104,MATCH($B1509,고객사!$A$5:$A$104,0)),0))</f>
        <v/>
      </c>
      <c r="M1509" s="23" t="str">
        <f aca="false">IF($B1509="","",IF(AND(J1509="N",G1509&gt;0,K1509=0,IFERROR(INDEX(고객사!$H$5:$H$104,MATCH($B1509,고객사!$A$5:$A$104,0)),"")="자사 차량 운행"),"차량 미배정",""))</f>
        <v/>
      </c>
      <c r="N1509" s="22" t="str">
        <f aca="false">IF($B1509="","",IFERROR(INDEX(고객사!$J$5:$J$104,MATCH($B1509,고객사!$A$5:$A$104,0)),0))</f>
        <v/>
      </c>
      <c r="O1509" s="22" t="str">
        <f aca="false">IF($B1509="","",G1509*N1509)</f>
        <v/>
      </c>
      <c r="P1509" s="22" t="str">
        <f aca="false">IF($B1509="","",IFERROR(INDEX(고객사!$K$5:$K$104,MATCH($B1509,고객사!$A$5:$A$104,0)),0))</f>
        <v/>
      </c>
      <c r="Q1509" s="22" t="str">
        <f aca="false">IF($B1509="","",G1509*P1509)</f>
        <v/>
      </c>
      <c r="R1509" s="22" t="str">
        <f aca="false">IF($B1509="","",O1509-Q1509-L1509)</f>
        <v/>
      </c>
      <c r="S1509" s="21" t="str">
        <f aca="false">IF(OR($B1509="",N(O1509)=0),"",R1509/O1509)</f>
        <v/>
      </c>
      <c r="T1509" s="14"/>
      <c r="U1509" s="19" t="n">
        <f aca="false">IF(OR($B1509="",$A1509=""),0,IF(COUNTIFS($A$5:$A1509,$A1509,$B$5:$B1509,$B1509)=1,1,0))</f>
        <v>0</v>
      </c>
    </row>
    <row r="1510" customFormat="false" ht="15" hidden="false" customHeight="false" outlineLevel="0" collapsed="false">
      <c r="A1510" s="17"/>
      <c r="B1510" s="13"/>
      <c r="C1510" s="20" t="str">
        <f aca="false">IF($B1510="","",IFERROR(INDEX(고객사!$B$5:$B$104,MATCH($B1510,고객사!$A$5:$A$104,0)),"코드 확인"))</f>
        <v/>
      </c>
      <c r="D1510" s="15"/>
      <c r="E1510" s="15"/>
      <c r="F1510" s="16"/>
      <c r="G1510" s="16"/>
      <c r="H1510" s="21" t="str">
        <f aca="false">IF(OR($B1510="",F1510=0),"",G1510/F1510)</f>
        <v/>
      </c>
      <c r="I1510" s="22" t="str">
        <f aca="false">IF($B1510="","",MAX(F1510-G1510,0))</f>
        <v/>
      </c>
      <c r="J1510" s="23" t="str">
        <f aca="false">IF($B1510="","",IFERROR(INDEX(고객사!$G$5:$G$104,MATCH($B1510,고객사!$A$5:$A$104,0)),""))</f>
        <v/>
      </c>
      <c r="K1510" s="16"/>
      <c r="L1510" s="22" t="str">
        <f aca="false">IF($B1510="","",K1510*IFERROR(INDEX(고객사!$L$5:$L$104,MATCH($B1510,고객사!$A$5:$A$104,0)),0))</f>
        <v/>
      </c>
      <c r="M1510" s="23" t="str">
        <f aca="false">IF($B1510="","",IF(AND(J1510="N",G1510&gt;0,K1510=0,IFERROR(INDEX(고객사!$H$5:$H$104,MATCH($B1510,고객사!$A$5:$A$104,0)),"")="자사 차량 운행"),"차량 미배정",""))</f>
        <v/>
      </c>
      <c r="N1510" s="22" t="str">
        <f aca="false">IF($B1510="","",IFERROR(INDEX(고객사!$J$5:$J$104,MATCH($B1510,고객사!$A$5:$A$104,0)),0))</f>
        <v/>
      </c>
      <c r="O1510" s="22" t="str">
        <f aca="false">IF($B1510="","",G1510*N1510)</f>
        <v/>
      </c>
      <c r="P1510" s="22" t="str">
        <f aca="false">IF($B1510="","",IFERROR(INDEX(고객사!$K$5:$K$104,MATCH($B1510,고객사!$A$5:$A$104,0)),0))</f>
        <v/>
      </c>
      <c r="Q1510" s="22" t="str">
        <f aca="false">IF($B1510="","",G1510*P1510)</f>
        <v/>
      </c>
      <c r="R1510" s="22" t="str">
        <f aca="false">IF($B1510="","",O1510-Q1510-L1510)</f>
        <v/>
      </c>
      <c r="S1510" s="21" t="str">
        <f aca="false">IF(OR($B1510="",N(O1510)=0),"",R1510/O1510)</f>
        <v/>
      </c>
      <c r="T1510" s="14"/>
      <c r="U1510" s="19" t="n">
        <f aca="false">IF(OR($B1510="",$A1510=""),0,IF(COUNTIFS($A$5:$A1510,$A1510,$B$5:$B1510,$B1510)=1,1,0))</f>
        <v>0</v>
      </c>
    </row>
    <row r="1511" customFormat="false" ht="15" hidden="false" customHeight="false" outlineLevel="0" collapsed="false">
      <c r="A1511" s="17"/>
      <c r="B1511" s="13"/>
      <c r="C1511" s="20" t="str">
        <f aca="false">IF($B1511="","",IFERROR(INDEX(고객사!$B$5:$B$104,MATCH($B1511,고객사!$A$5:$A$104,0)),"코드 확인"))</f>
        <v/>
      </c>
      <c r="D1511" s="15"/>
      <c r="E1511" s="15"/>
      <c r="F1511" s="16"/>
      <c r="G1511" s="16"/>
      <c r="H1511" s="21" t="str">
        <f aca="false">IF(OR($B1511="",F1511=0),"",G1511/F1511)</f>
        <v/>
      </c>
      <c r="I1511" s="22" t="str">
        <f aca="false">IF($B1511="","",MAX(F1511-G1511,0))</f>
        <v/>
      </c>
      <c r="J1511" s="23" t="str">
        <f aca="false">IF($B1511="","",IFERROR(INDEX(고객사!$G$5:$G$104,MATCH($B1511,고객사!$A$5:$A$104,0)),""))</f>
        <v/>
      </c>
      <c r="K1511" s="16"/>
      <c r="L1511" s="22" t="str">
        <f aca="false">IF($B1511="","",K1511*IFERROR(INDEX(고객사!$L$5:$L$104,MATCH($B1511,고객사!$A$5:$A$104,0)),0))</f>
        <v/>
      </c>
      <c r="M1511" s="23" t="str">
        <f aca="false">IF($B1511="","",IF(AND(J1511="N",G1511&gt;0,K1511=0,IFERROR(INDEX(고객사!$H$5:$H$104,MATCH($B1511,고객사!$A$5:$A$104,0)),"")="자사 차량 운행"),"차량 미배정",""))</f>
        <v/>
      </c>
      <c r="N1511" s="22" t="str">
        <f aca="false">IF($B1511="","",IFERROR(INDEX(고객사!$J$5:$J$104,MATCH($B1511,고객사!$A$5:$A$104,0)),0))</f>
        <v/>
      </c>
      <c r="O1511" s="22" t="str">
        <f aca="false">IF($B1511="","",G1511*N1511)</f>
        <v/>
      </c>
      <c r="P1511" s="22" t="str">
        <f aca="false">IF($B1511="","",IFERROR(INDEX(고객사!$K$5:$K$104,MATCH($B1511,고객사!$A$5:$A$104,0)),0))</f>
        <v/>
      </c>
      <c r="Q1511" s="22" t="str">
        <f aca="false">IF($B1511="","",G1511*P1511)</f>
        <v/>
      </c>
      <c r="R1511" s="22" t="str">
        <f aca="false">IF($B1511="","",O1511-Q1511-L1511)</f>
        <v/>
      </c>
      <c r="S1511" s="21" t="str">
        <f aca="false">IF(OR($B1511="",N(O1511)=0),"",R1511/O1511)</f>
        <v/>
      </c>
      <c r="T1511" s="14"/>
      <c r="U1511" s="19" t="n">
        <f aca="false">IF(OR($B1511="",$A1511=""),0,IF(COUNTIFS($A$5:$A1511,$A1511,$B$5:$B1511,$B1511)=1,1,0))</f>
        <v>0</v>
      </c>
    </row>
    <row r="1512" customFormat="false" ht="15" hidden="false" customHeight="false" outlineLevel="0" collapsed="false">
      <c r="A1512" s="17"/>
      <c r="B1512" s="13"/>
      <c r="C1512" s="20" t="str">
        <f aca="false">IF($B1512="","",IFERROR(INDEX(고객사!$B$5:$B$104,MATCH($B1512,고객사!$A$5:$A$104,0)),"코드 확인"))</f>
        <v/>
      </c>
      <c r="D1512" s="15"/>
      <c r="E1512" s="15"/>
      <c r="F1512" s="16"/>
      <c r="G1512" s="16"/>
      <c r="H1512" s="21" t="str">
        <f aca="false">IF(OR($B1512="",F1512=0),"",G1512/F1512)</f>
        <v/>
      </c>
      <c r="I1512" s="22" t="str">
        <f aca="false">IF($B1512="","",MAX(F1512-G1512,0))</f>
        <v/>
      </c>
      <c r="J1512" s="23" t="str">
        <f aca="false">IF($B1512="","",IFERROR(INDEX(고객사!$G$5:$G$104,MATCH($B1512,고객사!$A$5:$A$104,0)),""))</f>
        <v/>
      </c>
      <c r="K1512" s="16"/>
      <c r="L1512" s="22" t="str">
        <f aca="false">IF($B1512="","",K1512*IFERROR(INDEX(고객사!$L$5:$L$104,MATCH($B1512,고객사!$A$5:$A$104,0)),0))</f>
        <v/>
      </c>
      <c r="M1512" s="23" t="str">
        <f aca="false">IF($B1512="","",IF(AND(J1512="N",G1512&gt;0,K1512=0,IFERROR(INDEX(고객사!$H$5:$H$104,MATCH($B1512,고객사!$A$5:$A$104,0)),"")="자사 차량 운행"),"차량 미배정",""))</f>
        <v/>
      </c>
      <c r="N1512" s="22" t="str">
        <f aca="false">IF($B1512="","",IFERROR(INDEX(고객사!$J$5:$J$104,MATCH($B1512,고객사!$A$5:$A$104,0)),0))</f>
        <v/>
      </c>
      <c r="O1512" s="22" t="str">
        <f aca="false">IF($B1512="","",G1512*N1512)</f>
        <v/>
      </c>
      <c r="P1512" s="22" t="str">
        <f aca="false">IF($B1512="","",IFERROR(INDEX(고객사!$K$5:$K$104,MATCH($B1512,고객사!$A$5:$A$104,0)),0))</f>
        <v/>
      </c>
      <c r="Q1512" s="22" t="str">
        <f aca="false">IF($B1512="","",G1512*P1512)</f>
        <v/>
      </c>
      <c r="R1512" s="22" t="str">
        <f aca="false">IF($B1512="","",O1512-Q1512-L1512)</f>
        <v/>
      </c>
      <c r="S1512" s="21" t="str">
        <f aca="false">IF(OR($B1512="",N(O1512)=0),"",R1512/O1512)</f>
        <v/>
      </c>
      <c r="T1512" s="14"/>
      <c r="U1512" s="19" t="n">
        <f aca="false">IF(OR($B1512="",$A1512=""),0,IF(COUNTIFS($A$5:$A1512,$A1512,$B$5:$B1512,$B1512)=1,1,0))</f>
        <v>0</v>
      </c>
    </row>
    <row r="1513" customFormat="false" ht="15" hidden="false" customHeight="false" outlineLevel="0" collapsed="false">
      <c r="A1513" s="17"/>
      <c r="B1513" s="13"/>
      <c r="C1513" s="20" t="str">
        <f aca="false">IF($B1513="","",IFERROR(INDEX(고객사!$B$5:$B$104,MATCH($B1513,고객사!$A$5:$A$104,0)),"코드 확인"))</f>
        <v/>
      </c>
      <c r="D1513" s="15"/>
      <c r="E1513" s="15"/>
      <c r="F1513" s="16"/>
      <c r="G1513" s="16"/>
      <c r="H1513" s="21" t="str">
        <f aca="false">IF(OR($B1513="",F1513=0),"",G1513/F1513)</f>
        <v/>
      </c>
      <c r="I1513" s="22" t="str">
        <f aca="false">IF($B1513="","",MAX(F1513-G1513,0))</f>
        <v/>
      </c>
      <c r="J1513" s="23" t="str">
        <f aca="false">IF($B1513="","",IFERROR(INDEX(고객사!$G$5:$G$104,MATCH($B1513,고객사!$A$5:$A$104,0)),""))</f>
        <v/>
      </c>
      <c r="K1513" s="16"/>
      <c r="L1513" s="22" t="str">
        <f aca="false">IF($B1513="","",K1513*IFERROR(INDEX(고객사!$L$5:$L$104,MATCH($B1513,고객사!$A$5:$A$104,0)),0))</f>
        <v/>
      </c>
      <c r="M1513" s="23" t="str">
        <f aca="false">IF($B1513="","",IF(AND(J1513="N",G1513&gt;0,K1513=0,IFERROR(INDEX(고객사!$H$5:$H$104,MATCH($B1513,고객사!$A$5:$A$104,0)),"")="자사 차량 운행"),"차량 미배정",""))</f>
        <v/>
      </c>
      <c r="N1513" s="22" t="str">
        <f aca="false">IF($B1513="","",IFERROR(INDEX(고객사!$J$5:$J$104,MATCH($B1513,고객사!$A$5:$A$104,0)),0))</f>
        <v/>
      </c>
      <c r="O1513" s="22" t="str">
        <f aca="false">IF($B1513="","",G1513*N1513)</f>
        <v/>
      </c>
      <c r="P1513" s="22" t="str">
        <f aca="false">IF($B1513="","",IFERROR(INDEX(고객사!$K$5:$K$104,MATCH($B1513,고객사!$A$5:$A$104,0)),0))</f>
        <v/>
      </c>
      <c r="Q1513" s="22" t="str">
        <f aca="false">IF($B1513="","",G1513*P1513)</f>
        <v/>
      </c>
      <c r="R1513" s="22" t="str">
        <f aca="false">IF($B1513="","",O1513-Q1513-L1513)</f>
        <v/>
      </c>
      <c r="S1513" s="21" t="str">
        <f aca="false">IF(OR($B1513="",N(O1513)=0),"",R1513/O1513)</f>
        <v/>
      </c>
      <c r="T1513" s="14"/>
      <c r="U1513" s="19" t="n">
        <f aca="false">IF(OR($B1513="",$A1513=""),0,IF(COUNTIFS($A$5:$A1513,$A1513,$B$5:$B1513,$B1513)=1,1,0))</f>
        <v>0</v>
      </c>
    </row>
    <row r="1514" customFormat="false" ht="15" hidden="false" customHeight="false" outlineLevel="0" collapsed="false">
      <c r="A1514" s="17"/>
      <c r="B1514" s="13"/>
      <c r="C1514" s="20" t="str">
        <f aca="false">IF($B1514="","",IFERROR(INDEX(고객사!$B$5:$B$104,MATCH($B1514,고객사!$A$5:$A$104,0)),"코드 확인"))</f>
        <v/>
      </c>
      <c r="D1514" s="15"/>
      <c r="E1514" s="15"/>
      <c r="F1514" s="16"/>
      <c r="G1514" s="16"/>
      <c r="H1514" s="21" t="str">
        <f aca="false">IF(OR($B1514="",F1514=0),"",G1514/F1514)</f>
        <v/>
      </c>
      <c r="I1514" s="22" t="str">
        <f aca="false">IF($B1514="","",MAX(F1514-G1514,0))</f>
        <v/>
      </c>
      <c r="J1514" s="23" t="str">
        <f aca="false">IF($B1514="","",IFERROR(INDEX(고객사!$G$5:$G$104,MATCH($B1514,고객사!$A$5:$A$104,0)),""))</f>
        <v/>
      </c>
      <c r="K1514" s="16"/>
      <c r="L1514" s="22" t="str">
        <f aca="false">IF($B1514="","",K1514*IFERROR(INDEX(고객사!$L$5:$L$104,MATCH($B1514,고객사!$A$5:$A$104,0)),0))</f>
        <v/>
      </c>
      <c r="M1514" s="23" t="str">
        <f aca="false">IF($B1514="","",IF(AND(J1514="N",G1514&gt;0,K1514=0,IFERROR(INDEX(고객사!$H$5:$H$104,MATCH($B1514,고객사!$A$5:$A$104,0)),"")="자사 차량 운행"),"차량 미배정",""))</f>
        <v/>
      </c>
      <c r="N1514" s="22" t="str">
        <f aca="false">IF($B1514="","",IFERROR(INDEX(고객사!$J$5:$J$104,MATCH($B1514,고객사!$A$5:$A$104,0)),0))</f>
        <v/>
      </c>
      <c r="O1514" s="22" t="str">
        <f aca="false">IF($B1514="","",G1514*N1514)</f>
        <v/>
      </c>
      <c r="P1514" s="22" t="str">
        <f aca="false">IF($B1514="","",IFERROR(INDEX(고객사!$K$5:$K$104,MATCH($B1514,고객사!$A$5:$A$104,0)),0))</f>
        <v/>
      </c>
      <c r="Q1514" s="22" t="str">
        <f aca="false">IF($B1514="","",G1514*P1514)</f>
        <v/>
      </c>
      <c r="R1514" s="22" t="str">
        <f aca="false">IF($B1514="","",O1514-Q1514-L1514)</f>
        <v/>
      </c>
      <c r="S1514" s="21" t="str">
        <f aca="false">IF(OR($B1514="",N(O1514)=0),"",R1514/O1514)</f>
        <v/>
      </c>
      <c r="T1514" s="14"/>
      <c r="U1514" s="19" t="n">
        <f aca="false">IF(OR($B1514="",$A1514=""),0,IF(COUNTIFS($A$5:$A1514,$A1514,$B$5:$B1514,$B1514)=1,1,0))</f>
        <v>0</v>
      </c>
    </row>
    <row r="1515" customFormat="false" ht="15" hidden="false" customHeight="false" outlineLevel="0" collapsed="false">
      <c r="A1515" s="17"/>
      <c r="B1515" s="13"/>
      <c r="C1515" s="20" t="str">
        <f aca="false">IF($B1515="","",IFERROR(INDEX(고객사!$B$5:$B$104,MATCH($B1515,고객사!$A$5:$A$104,0)),"코드 확인"))</f>
        <v/>
      </c>
      <c r="D1515" s="15"/>
      <c r="E1515" s="15"/>
      <c r="F1515" s="16"/>
      <c r="G1515" s="16"/>
      <c r="H1515" s="21" t="str">
        <f aca="false">IF(OR($B1515="",F1515=0),"",G1515/F1515)</f>
        <v/>
      </c>
      <c r="I1515" s="22" t="str">
        <f aca="false">IF($B1515="","",MAX(F1515-G1515,0))</f>
        <v/>
      </c>
      <c r="J1515" s="23" t="str">
        <f aca="false">IF($B1515="","",IFERROR(INDEX(고객사!$G$5:$G$104,MATCH($B1515,고객사!$A$5:$A$104,0)),""))</f>
        <v/>
      </c>
      <c r="K1515" s="16"/>
      <c r="L1515" s="22" t="str">
        <f aca="false">IF($B1515="","",K1515*IFERROR(INDEX(고객사!$L$5:$L$104,MATCH($B1515,고객사!$A$5:$A$104,0)),0))</f>
        <v/>
      </c>
      <c r="M1515" s="23" t="str">
        <f aca="false">IF($B1515="","",IF(AND(J1515="N",G1515&gt;0,K1515=0,IFERROR(INDEX(고객사!$H$5:$H$104,MATCH($B1515,고객사!$A$5:$A$104,0)),"")="자사 차량 운행"),"차량 미배정",""))</f>
        <v/>
      </c>
      <c r="N1515" s="22" t="str">
        <f aca="false">IF($B1515="","",IFERROR(INDEX(고객사!$J$5:$J$104,MATCH($B1515,고객사!$A$5:$A$104,0)),0))</f>
        <v/>
      </c>
      <c r="O1515" s="22" t="str">
        <f aca="false">IF($B1515="","",G1515*N1515)</f>
        <v/>
      </c>
      <c r="P1515" s="22" t="str">
        <f aca="false">IF($B1515="","",IFERROR(INDEX(고객사!$K$5:$K$104,MATCH($B1515,고객사!$A$5:$A$104,0)),0))</f>
        <v/>
      </c>
      <c r="Q1515" s="22" t="str">
        <f aca="false">IF($B1515="","",G1515*P1515)</f>
        <v/>
      </c>
      <c r="R1515" s="22" t="str">
        <f aca="false">IF($B1515="","",O1515-Q1515-L1515)</f>
        <v/>
      </c>
      <c r="S1515" s="21" t="str">
        <f aca="false">IF(OR($B1515="",N(O1515)=0),"",R1515/O1515)</f>
        <v/>
      </c>
      <c r="T1515" s="14"/>
      <c r="U1515" s="19" t="n">
        <f aca="false">IF(OR($B1515="",$A1515=""),0,IF(COUNTIFS($A$5:$A1515,$A1515,$B$5:$B1515,$B1515)=1,1,0))</f>
        <v>0</v>
      </c>
    </row>
    <row r="1516" customFormat="false" ht="15" hidden="false" customHeight="false" outlineLevel="0" collapsed="false">
      <c r="A1516" s="17"/>
      <c r="B1516" s="13"/>
      <c r="C1516" s="20" t="str">
        <f aca="false">IF($B1516="","",IFERROR(INDEX(고객사!$B$5:$B$104,MATCH($B1516,고객사!$A$5:$A$104,0)),"코드 확인"))</f>
        <v/>
      </c>
      <c r="D1516" s="15"/>
      <c r="E1516" s="15"/>
      <c r="F1516" s="16"/>
      <c r="G1516" s="16"/>
      <c r="H1516" s="21" t="str">
        <f aca="false">IF(OR($B1516="",F1516=0),"",G1516/F1516)</f>
        <v/>
      </c>
      <c r="I1516" s="22" t="str">
        <f aca="false">IF($B1516="","",MAX(F1516-G1516,0))</f>
        <v/>
      </c>
      <c r="J1516" s="23" t="str">
        <f aca="false">IF($B1516="","",IFERROR(INDEX(고객사!$G$5:$G$104,MATCH($B1516,고객사!$A$5:$A$104,0)),""))</f>
        <v/>
      </c>
      <c r="K1516" s="16"/>
      <c r="L1516" s="22" t="str">
        <f aca="false">IF($B1516="","",K1516*IFERROR(INDEX(고객사!$L$5:$L$104,MATCH($B1516,고객사!$A$5:$A$104,0)),0))</f>
        <v/>
      </c>
      <c r="M1516" s="23" t="str">
        <f aca="false">IF($B1516="","",IF(AND(J1516="N",G1516&gt;0,K1516=0,IFERROR(INDEX(고객사!$H$5:$H$104,MATCH($B1516,고객사!$A$5:$A$104,0)),"")="자사 차량 운행"),"차량 미배정",""))</f>
        <v/>
      </c>
      <c r="N1516" s="22" t="str">
        <f aca="false">IF($B1516="","",IFERROR(INDEX(고객사!$J$5:$J$104,MATCH($B1516,고객사!$A$5:$A$104,0)),0))</f>
        <v/>
      </c>
      <c r="O1516" s="22" t="str">
        <f aca="false">IF($B1516="","",G1516*N1516)</f>
        <v/>
      </c>
      <c r="P1516" s="22" t="str">
        <f aca="false">IF($B1516="","",IFERROR(INDEX(고객사!$K$5:$K$104,MATCH($B1516,고객사!$A$5:$A$104,0)),0))</f>
        <v/>
      </c>
      <c r="Q1516" s="22" t="str">
        <f aca="false">IF($B1516="","",G1516*P1516)</f>
        <v/>
      </c>
      <c r="R1516" s="22" t="str">
        <f aca="false">IF($B1516="","",O1516-Q1516-L1516)</f>
        <v/>
      </c>
      <c r="S1516" s="21" t="str">
        <f aca="false">IF(OR($B1516="",N(O1516)=0),"",R1516/O1516)</f>
        <v/>
      </c>
      <c r="T1516" s="14"/>
      <c r="U1516" s="19" t="n">
        <f aca="false">IF(OR($B1516="",$A1516=""),0,IF(COUNTIFS($A$5:$A1516,$A1516,$B$5:$B1516,$B1516)=1,1,0))</f>
        <v>0</v>
      </c>
    </row>
    <row r="1517" customFormat="false" ht="15" hidden="false" customHeight="false" outlineLevel="0" collapsed="false">
      <c r="A1517" s="17"/>
      <c r="B1517" s="13"/>
      <c r="C1517" s="20" t="str">
        <f aca="false">IF($B1517="","",IFERROR(INDEX(고객사!$B$5:$B$104,MATCH($B1517,고객사!$A$5:$A$104,0)),"코드 확인"))</f>
        <v/>
      </c>
      <c r="D1517" s="15"/>
      <c r="E1517" s="15"/>
      <c r="F1517" s="16"/>
      <c r="G1517" s="16"/>
      <c r="H1517" s="21" t="str">
        <f aca="false">IF(OR($B1517="",F1517=0),"",G1517/F1517)</f>
        <v/>
      </c>
      <c r="I1517" s="22" t="str">
        <f aca="false">IF($B1517="","",MAX(F1517-G1517,0))</f>
        <v/>
      </c>
      <c r="J1517" s="23" t="str">
        <f aca="false">IF($B1517="","",IFERROR(INDEX(고객사!$G$5:$G$104,MATCH($B1517,고객사!$A$5:$A$104,0)),""))</f>
        <v/>
      </c>
      <c r="K1517" s="16"/>
      <c r="L1517" s="22" t="str">
        <f aca="false">IF($B1517="","",K1517*IFERROR(INDEX(고객사!$L$5:$L$104,MATCH($B1517,고객사!$A$5:$A$104,0)),0))</f>
        <v/>
      </c>
      <c r="M1517" s="23" t="str">
        <f aca="false">IF($B1517="","",IF(AND(J1517="N",G1517&gt;0,K1517=0,IFERROR(INDEX(고객사!$H$5:$H$104,MATCH($B1517,고객사!$A$5:$A$104,0)),"")="자사 차량 운행"),"차량 미배정",""))</f>
        <v/>
      </c>
      <c r="N1517" s="22" t="str">
        <f aca="false">IF($B1517="","",IFERROR(INDEX(고객사!$J$5:$J$104,MATCH($B1517,고객사!$A$5:$A$104,0)),0))</f>
        <v/>
      </c>
      <c r="O1517" s="22" t="str">
        <f aca="false">IF($B1517="","",G1517*N1517)</f>
        <v/>
      </c>
      <c r="P1517" s="22" t="str">
        <f aca="false">IF($B1517="","",IFERROR(INDEX(고객사!$K$5:$K$104,MATCH($B1517,고객사!$A$5:$A$104,0)),0))</f>
        <v/>
      </c>
      <c r="Q1517" s="22" t="str">
        <f aca="false">IF($B1517="","",G1517*P1517)</f>
        <v/>
      </c>
      <c r="R1517" s="22" t="str">
        <f aca="false">IF($B1517="","",O1517-Q1517-L1517)</f>
        <v/>
      </c>
      <c r="S1517" s="21" t="str">
        <f aca="false">IF(OR($B1517="",N(O1517)=0),"",R1517/O1517)</f>
        <v/>
      </c>
      <c r="T1517" s="14"/>
      <c r="U1517" s="19" t="n">
        <f aca="false">IF(OR($B1517="",$A1517=""),0,IF(COUNTIFS($A$5:$A1517,$A1517,$B$5:$B1517,$B1517)=1,1,0))</f>
        <v>0</v>
      </c>
    </row>
    <row r="1518" customFormat="false" ht="15" hidden="false" customHeight="false" outlineLevel="0" collapsed="false">
      <c r="A1518" s="17"/>
      <c r="B1518" s="13"/>
      <c r="C1518" s="20" t="str">
        <f aca="false">IF($B1518="","",IFERROR(INDEX(고객사!$B$5:$B$104,MATCH($B1518,고객사!$A$5:$A$104,0)),"코드 확인"))</f>
        <v/>
      </c>
      <c r="D1518" s="15"/>
      <c r="E1518" s="15"/>
      <c r="F1518" s="16"/>
      <c r="G1518" s="16"/>
      <c r="H1518" s="21" t="str">
        <f aca="false">IF(OR($B1518="",F1518=0),"",G1518/F1518)</f>
        <v/>
      </c>
      <c r="I1518" s="22" t="str">
        <f aca="false">IF($B1518="","",MAX(F1518-G1518,0))</f>
        <v/>
      </c>
      <c r="J1518" s="23" t="str">
        <f aca="false">IF($B1518="","",IFERROR(INDEX(고객사!$G$5:$G$104,MATCH($B1518,고객사!$A$5:$A$104,0)),""))</f>
        <v/>
      </c>
      <c r="K1518" s="16"/>
      <c r="L1518" s="22" t="str">
        <f aca="false">IF($B1518="","",K1518*IFERROR(INDEX(고객사!$L$5:$L$104,MATCH($B1518,고객사!$A$5:$A$104,0)),0))</f>
        <v/>
      </c>
      <c r="M1518" s="23" t="str">
        <f aca="false">IF($B1518="","",IF(AND(J1518="N",G1518&gt;0,K1518=0,IFERROR(INDEX(고객사!$H$5:$H$104,MATCH($B1518,고객사!$A$5:$A$104,0)),"")="자사 차량 운행"),"차량 미배정",""))</f>
        <v/>
      </c>
      <c r="N1518" s="22" t="str">
        <f aca="false">IF($B1518="","",IFERROR(INDEX(고객사!$J$5:$J$104,MATCH($B1518,고객사!$A$5:$A$104,0)),0))</f>
        <v/>
      </c>
      <c r="O1518" s="22" t="str">
        <f aca="false">IF($B1518="","",G1518*N1518)</f>
        <v/>
      </c>
      <c r="P1518" s="22" t="str">
        <f aca="false">IF($B1518="","",IFERROR(INDEX(고객사!$K$5:$K$104,MATCH($B1518,고객사!$A$5:$A$104,0)),0))</f>
        <v/>
      </c>
      <c r="Q1518" s="22" t="str">
        <f aca="false">IF($B1518="","",G1518*P1518)</f>
        <v/>
      </c>
      <c r="R1518" s="22" t="str">
        <f aca="false">IF($B1518="","",O1518-Q1518-L1518)</f>
        <v/>
      </c>
      <c r="S1518" s="21" t="str">
        <f aca="false">IF(OR($B1518="",N(O1518)=0),"",R1518/O1518)</f>
        <v/>
      </c>
      <c r="T1518" s="14"/>
      <c r="U1518" s="19" t="n">
        <f aca="false">IF(OR($B1518="",$A1518=""),0,IF(COUNTIFS($A$5:$A1518,$A1518,$B$5:$B1518,$B1518)=1,1,0))</f>
        <v>0</v>
      </c>
    </row>
    <row r="1519" customFormat="false" ht="15" hidden="false" customHeight="false" outlineLevel="0" collapsed="false">
      <c r="A1519" s="17"/>
      <c r="B1519" s="13"/>
      <c r="C1519" s="20" t="str">
        <f aca="false">IF($B1519="","",IFERROR(INDEX(고객사!$B$5:$B$104,MATCH($B1519,고객사!$A$5:$A$104,0)),"코드 확인"))</f>
        <v/>
      </c>
      <c r="D1519" s="15"/>
      <c r="E1519" s="15"/>
      <c r="F1519" s="16"/>
      <c r="G1519" s="16"/>
      <c r="H1519" s="21" t="str">
        <f aca="false">IF(OR($B1519="",F1519=0),"",G1519/F1519)</f>
        <v/>
      </c>
      <c r="I1519" s="22" t="str">
        <f aca="false">IF($B1519="","",MAX(F1519-G1519,0))</f>
        <v/>
      </c>
      <c r="J1519" s="23" t="str">
        <f aca="false">IF($B1519="","",IFERROR(INDEX(고객사!$G$5:$G$104,MATCH($B1519,고객사!$A$5:$A$104,0)),""))</f>
        <v/>
      </c>
      <c r="K1519" s="16"/>
      <c r="L1519" s="22" t="str">
        <f aca="false">IF($B1519="","",K1519*IFERROR(INDEX(고객사!$L$5:$L$104,MATCH($B1519,고객사!$A$5:$A$104,0)),0))</f>
        <v/>
      </c>
      <c r="M1519" s="23" t="str">
        <f aca="false">IF($B1519="","",IF(AND(J1519="N",G1519&gt;0,K1519=0,IFERROR(INDEX(고객사!$H$5:$H$104,MATCH($B1519,고객사!$A$5:$A$104,0)),"")="자사 차량 운행"),"차량 미배정",""))</f>
        <v/>
      </c>
      <c r="N1519" s="22" t="str">
        <f aca="false">IF($B1519="","",IFERROR(INDEX(고객사!$J$5:$J$104,MATCH($B1519,고객사!$A$5:$A$104,0)),0))</f>
        <v/>
      </c>
      <c r="O1519" s="22" t="str">
        <f aca="false">IF($B1519="","",G1519*N1519)</f>
        <v/>
      </c>
      <c r="P1519" s="22" t="str">
        <f aca="false">IF($B1519="","",IFERROR(INDEX(고객사!$K$5:$K$104,MATCH($B1519,고객사!$A$5:$A$104,0)),0))</f>
        <v/>
      </c>
      <c r="Q1519" s="22" t="str">
        <f aca="false">IF($B1519="","",G1519*P1519)</f>
        <v/>
      </c>
      <c r="R1519" s="22" t="str">
        <f aca="false">IF($B1519="","",O1519-Q1519-L1519)</f>
        <v/>
      </c>
      <c r="S1519" s="21" t="str">
        <f aca="false">IF(OR($B1519="",N(O1519)=0),"",R1519/O1519)</f>
        <v/>
      </c>
      <c r="T1519" s="14"/>
      <c r="U1519" s="19" t="n">
        <f aca="false">IF(OR($B1519="",$A1519=""),0,IF(COUNTIFS($A$5:$A1519,$A1519,$B$5:$B1519,$B1519)=1,1,0))</f>
        <v>0</v>
      </c>
    </row>
    <row r="1520" customFormat="false" ht="15" hidden="false" customHeight="false" outlineLevel="0" collapsed="false">
      <c r="A1520" s="17"/>
      <c r="B1520" s="13"/>
      <c r="C1520" s="20" t="str">
        <f aca="false">IF($B1520="","",IFERROR(INDEX(고객사!$B$5:$B$104,MATCH($B1520,고객사!$A$5:$A$104,0)),"코드 확인"))</f>
        <v/>
      </c>
      <c r="D1520" s="15"/>
      <c r="E1520" s="15"/>
      <c r="F1520" s="16"/>
      <c r="G1520" s="16"/>
      <c r="H1520" s="21" t="str">
        <f aca="false">IF(OR($B1520="",F1520=0),"",G1520/F1520)</f>
        <v/>
      </c>
      <c r="I1520" s="22" t="str">
        <f aca="false">IF($B1520="","",MAX(F1520-G1520,0))</f>
        <v/>
      </c>
      <c r="J1520" s="23" t="str">
        <f aca="false">IF($B1520="","",IFERROR(INDEX(고객사!$G$5:$G$104,MATCH($B1520,고객사!$A$5:$A$104,0)),""))</f>
        <v/>
      </c>
      <c r="K1520" s="16"/>
      <c r="L1520" s="22" t="str">
        <f aca="false">IF($B1520="","",K1520*IFERROR(INDEX(고객사!$L$5:$L$104,MATCH($B1520,고객사!$A$5:$A$104,0)),0))</f>
        <v/>
      </c>
      <c r="M1520" s="23" t="str">
        <f aca="false">IF($B1520="","",IF(AND(J1520="N",G1520&gt;0,K1520=0,IFERROR(INDEX(고객사!$H$5:$H$104,MATCH($B1520,고객사!$A$5:$A$104,0)),"")="자사 차량 운행"),"차량 미배정",""))</f>
        <v/>
      </c>
      <c r="N1520" s="22" t="str">
        <f aca="false">IF($B1520="","",IFERROR(INDEX(고객사!$J$5:$J$104,MATCH($B1520,고객사!$A$5:$A$104,0)),0))</f>
        <v/>
      </c>
      <c r="O1520" s="22" t="str">
        <f aca="false">IF($B1520="","",G1520*N1520)</f>
        <v/>
      </c>
      <c r="P1520" s="22" t="str">
        <f aca="false">IF($B1520="","",IFERROR(INDEX(고객사!$K$5:$K$104,MATCH($B1520,고객사!$A$5:$A$104,0)),0))</f>
        <v/>
      </c>
      <c r="Q1520" s="22" t="str">
        <f aca="false">IF($B1520="","",G1520*P1520)</f>
        <v/>
      </c>
      <c r="R1520" s="22" t="str">
        <f aca="false">IF($B1520="","",O1520-Q1520-L1520)</f>
        <v/>
      </c>
      <c r="S1520" s="21" t="str">
        <f aca="false">IF(OR($B1520="",N(O1520)=0),"",R1520/O1520)</f>
        <v/>
      </c>
      <c r="T1520" s="14"/>
      <c r="U1520" s="19" t="n">
        <f aca="false">IF(OR($B1520="",$A1520=""),0,IF(COUNTIFS($A$5:$A1520,$A1520,$B$5:$B1520,$B1520)=1,1,0))</f>
        <v>0</v>
      </c>
    </row>
    <row r="1521" customFormat="false" ht="15" hidden="false" customHeight="false" outlineLevel="0" collapsed="false">
      <c r="A1521" s="17"/>
      <c r="B1521" s="13"/>
      <c r="C1521" s="20" t="str">
        <f aca="false">IF($B1521="","",IFERROR(INDEX(고객사!$B$5:$B$104,MATCH($B1521,고객사!$A$5:$A$104,0)),"코드 확인"))</f>
        <v/>
      </c>
      <c r="D1521" s="15"/>
      <c r="E1521" s="15"/>
      <c r="F1521" s="16"/>
      <c r="G1521" s="16"/>
      <c r="H1521" s="21" t="str">
        <f aca="false">IF(OR($B1521="",F1521=0),"",G1521/F1521)</f>
        <v/>
      </c>
      <c r="I1521" s="22" t="str">
        <f aca="false">IF($B1521="","",MAX(F1521-G1521,0))</f>
        <v/>
      </c>
      <c r="J1521" s="23" t="str">
        <f aca="false">IF($B1521="","",IFERROR(INDEX(고객사!$G$5:$G$104,MATCH($B1521,고객사!$A$5:$A$104,0)),""))</f>
        <v/>
      </c>
      <c r="K1521" s="16"/>
      <c r="L1521" s="22" t="str">
        <f aca="false">IF($B1521="","",K1521*IFERROR(INDEX(고객사!$L$5:$L$104,MATCH($B1521,고객사!$A$5:$A$104,0)),0))</f>
        <v/>
      </c>
      <c r="M1521" s="23" t="str">
        <f aca="false">IF($B1521="","",IF(AND(J1521="N",G1521&gt;0,K1521=0,IFERROR(INDEX(고객사!$H$5:$H$104,MATCH($B1521,고객사!$A$5:$A$104,0)),"")="자사 차량 운행"),"차량 미배정",""))</f>
        <v/>
      </c>
      <c r="N1521" s="22" t="str">
        <f aca="false">IF($B1521="","",IFERROR(INDEX(고객사!$J$5:$J$104,MATCH($B1521,고객사!$A$5:$A$104,0)),0))</f>
        <v/>
      </c>
      <c r="O1521" s="22" t="str">
        <f aca="false">IF($B1521="","",G1521*N1521)</f>
        <v/>
      </c>
      <c r="P1521" s="22" t="str">
        <f aca="false">IF($B1521="","",IFERROR(INDEX(고객사!$K$5:$K$104,MATCH($B1521,고객사!$A$5:$A$104,0)),0))</f>
        <v/>
      </c>
      <c r="Q1521" s="22" t="str">
        <f aca="false">IF($B1521="","",G1521*P1521)</f>
        <v/>
      </c>
      <c r="R1521" s="22" t="str">
        <f aca="false">IF($B1521="","",O1521-Q1521-L1521)</f>
        <v/>
      </c>
      <c r="S1521" s="21" t="str">
        <f aca="false">IF(OR($B1521="",N(O1521)=0),"",R1521/O1521)</f>
        <v/>
      </c>
      <c r="T1521" s="14"/>
      <c r="U1521" s="19" t="n">
        <f aca="false">IF(OR($B1521="",$A1521=""),0,IF(COUNTIFS($A$5:$A1521,$A1521,$B$5:$B1521,$B1521)=1,1,0))</f>
        <v>0</v>
      </c>
    </row>
    <row r="1522" customFormat="false" ht="15" hidden="false" customHeight="false" outlineLevel="0" collapsed="false">
      <c r="A1522" s="17"/>
      <c r="B1522" s="13"/>
      <c r="C1522" s="20" t="str">
        <f aca="false">IF($B1522="","",IFERROR(INDEX(고객사!$B$5:$B$104,MATCH($B1522,고객사!$A$5:$A$104,0)),"코드 확인"))</f>
        <v/>
      </c>
      <c r="D1522" s="15"/>
      <c r="E1522" s="15"/>
      <c r="F1522" s="16"/>
      <c r="G1522" s="16"/>
      <c r="H1522" s="21" t="str">
        <f aca="false">IF(OR($B1522="",F1522=0),"",G1522/F1522)</f>
        <v/>
      </c>
      <c r="I1522" s="22" t="str">
        <f aca="false">IF($B1522="","",MAX(F1522-G1522,0))</f>
        <v/>
      </c>
      <c r="J1522" s="23" t="str">
        <f aca="false">IF($B1522="","",IFERROR(INDEX(고객사!$G$5:$G$104,MATCH($B1522,고객사!$A$5:$A$104,0)),""))</f>
        <v/>
      </c>
      <c r="K1522" s="16"/>
      <c r="L1522" s="22" t="str">
        <f aca="false">IF($B1522="","",K1522*IFERROR(INDEX(고객사!$L$5:$L$104,MATCH($B1522,고객사!$A$5:$A$104,0)),0))</f>
        <v/>
      </c>
      <c r="M1522" s="23" t="str">
        <f aca="false">IF($B1522="","",IF(AND(J1522="N",G1522&gt;0,K1522=0,IFERROR(INDEX(고객사!$H$5:$H$104,MATCH($B1522,고객사!$A$5:$A$104,0)),"")="자사 차량 운행"),"차량 미배정",""))</f>
        <v/>
      </c>
      <c r="N1522" s="22" t="str">
        <f aca="false">IF($B1522="","",IFERROR(INDEX(고객사!$J$5:$J$104,MATCH($B1522,고객사!$A$5:$A$104,0)),0))</f>
        <v/>
      </c>
      <c r="O1522" s="22" t="str">
        <f aca="false">IF($B1522="","",G1522*N1522)</f>
        <v/>
      </c>
      <c r="P1522" s="22" t="str">
        <f aca="false">IF($B1522="","",IFERROR(INDEX(고객사!$K$5:$K$104,MATCH($B1522,고객사!$A$5:$A$104,0)),0))</f>
        <v/>
      </c>
      <c r="Q1522" s="22" t="str">
        <f aca="false">IF($B1522="","",G1522*P1522)</f>
        <v/>
      </c>
      <c r="R1522" s="22" t="str">
        <f aca="false">IF($B1522="","",O1522-Q1522-L1522)</f>
        <v/>
      </c>
      <c r="S1522" s="21" t="str">
        <f aca="false">IF(OR($B1522="",N(O1522)=0),"",R1522/O1522)</f>
        <v/>
      </c>
      <c r="T1522" s="14"/>
      <c r="U1522" s="19" t="n">
        <f aca="false">IF(OR($B1522="",$A1522=""),0,IF(COUNTIFS($A$5:$A1522,$A1522,$B$5:$B1522,$B1522)=1,1,0))</f>
        <v>0</v>
      </c>
    </row>
    <row r="1523" customFormat="false" ht="15" hidden="false" customHeight="false" outlineLevel="0" collapsed="false">
      <c r="A1523" s="17"/>
      <c r="B1523" s="13"/>
      <c r="C1523" s="20" t="str">
        <f aca="false">IF($B1523="","",IFERROR(INDEX(고객사!$B$5:$B$104,MATCH($B1523,고객사!$A$5:$A$104,0)),"코드 확인"))</f>
        <v/>
      </c>
      <c r="D1523" s="15"/>
      <c r="E1523" s="15"/>
      <c r="F1523" s="16"/>
      <c r="G1523" s="16"/>
      <c r="H1523" s="21" t="str">
        <f aca="false">IF(OR($B1523="",F1523=0),"",G1523/F1523)</f>
        <v/>
      </c>
      <c r="I1523" s="22" t="str">
        <f aca="false">IF($B1523="","",MAX(F1523-G1523,0))</f>
        <v/>
      </c>
      <c r="J1523" s="23" t="str">
        <f aca="false">IF($B1523="","",IFERROR(INDEX(고객사!$G$5:$G$104,MATCH($B1523,고객사!$A$5:$A$104,0)),""))</f>
        <v/>
      </c>
      <c r="K1523" s="16"/>
      <c r="L1523" s="22" t="str">
        <f aca="false">IF($B1523="","",K1523*IFERROR(INDEX(고객사!$L$5:$L$104,MATCH($B1523,고객사!$A$5:$A$104,0)),0))</f>
        <v/>
      </c>
      <c r="M1523" s="23" t="str">
        <f aca="false">IF($B1523="","",IF(AND(J1523="N",G1523&gt;0,K1523=0,IFERROR(INDEX(고객사!$H$5:$H$104,MATCH($B1523,고객사!$A$5:$A$104,0)),"")="자사 차량 운행"),"차량 미배정",""))</f>
        <v/>
      </c>
      <c r="N1523" s="22" t="str">
        <f aca="false">IF($B1523="","",IFERROR(INDEX(고객사!$J$5:$J$104,MATCH($B1523,고객사!$A$5:$A$104,0)),0))</f>
        <v/>
      </c>
      <c r="O1523" s="22" t="str">
        <f aca="false">IF($B1523="","",G1523*N1523)</f>
        <v/>
      </c>
      <c r="P1523" s="22" t="str">
        <f aca="false">IF($B1523="","",IFERROR(INDEX(고객사!$K$5:$K$104,MATCH($B1523,고객사!$A$5:$A$104,0)),0))</f>
        <v/>
      </c>
      <c r="Q1523" s="22" t="str">
        <f aca="false">IF($B1523="","",G1523*P1523)</f>
        <v/>
      </c>
      <c r="R1523" s="22" t="str">
        <f aca="false">IF($B1523="","",O1523-Q1523-L1523)</f>
        <v/>
      </c>
      <c r="S1523" s="21" t="str">
        <f aca="false">IF(OR($B1523="",N(O1523)=0),"",R1523/O1523)</f>
        <v/>
      </c>
      <c r="T1523" s="14"/>
      <c r="U1523" s="19" t="n">
        <f aca="false">IF(OR($B1523="",$A1523=""),0,IF(COUNTIFS($A$5:$A1523,$A1523,$B$5:$B1523,$B1523)=1,1,0))</f>
        <v>0</v>
      </c>
    </row>
    <row r="1524" customFormat="false" ht="15" hidden="false" customHeight="false" outlineLevel="0" collapsed="false">
      <c r="A1524" s="17"/>
      <c r="B1524" s="13"/>
      <c r="C1524" s="20" t="str">
        <f aca="false">IF($B1524="","",IFERROR(INDEX(고객사!$B$5:$B$104,MATCH($B1524,고객사!$A$5:$A$104,0)),"코드 확인"))</f>
        <v/>
      </c>
      <c r="D1524" s="15"/>
      <c r="E1524" s="15"/>
      <c r="F1524" s="16"/>
      <c r="G1524" s="16"/>
      <c r="H1524" s="21" t="str">
        <f aca="false">IF(OR($B1524="",F1524=0),"",G1524/F1524)</f>
        <v/>
      </c>
      <c r="I1524" s="22" t="str">
        <f aca="false">IF($B1524="","",MAX(F1524-G1524,0))</f>
        <v/>
      </c>
      <c r="J1524" s="23" t="str">
        <f aca="false">IF($B1524="","",IFERROR(INDEX(고객사!$G$5:$G$104,MATCH($B1524,고객사!$A$5:$A$104,0)),""))</f>
        <v/>
      </c>
      <c r="K1524" s="16"/>
      <c r="L1524" s="22" t="str">
        <f aca="false">IF($B1524="","",K1524*IFERROR(INDEX(고객사!$L$5:$L$104,MATCH($B1524,고객사!$A$5:$A$104,0)),0))</f>
        <v/>
      </c>
      <c r="M1524" s="23" t="str">
        <f aca="false">IF($B1524="","",IF(AND(J1524="N",G1524&gt;0,K1524=0,IFERROR(INDEX(고객사!$H$5:$H$104,MATCH($B1524,고객사!$A$5:$A$104,0)),"")="자사 차량 운행"),"차량 미배정",""))</f>
        <v/>
      </c>
      <c r="N1524" s="22" t="str">
        <f aca="false">IF($B1524="","",IFERROR(INDEX(고객사!$J$5:$J$104,MATCH($B1524,고객사!$A$5:$A$104,0)),0))</f>
        <v/>
      </c>
      <c r="O1524" s="22" t="str">
        <f aca="false">IF($B1524="","",G1524*N1524)</f>
        <v/>
      </c>
      <c r="P1524" s="22" t="str">
        <f aca="false">IF($B1524="","",IFERROR(INDEX(고객사!$K$5:$K$104,MATCH($B1524,고객사!$A$5:$A$104,0)),0))</f>
        <v/>
      </c>
      <c r="Q1524" s="22" t="str">
        <f aca="false">IF($B1524="","",G1524*P1524)</f>
        <v/>
      </c>
      <c r="R1524" s="22" t="str">
        <f aca="false">IF($B1524="","",O1524-Q1524-L1524)</f>
        <v/>
      </c>
      <c r="S1524" s="21" t="str">
        <f aca="false">IF(OR($B1524="",N(O1524)=0),"",R1524/O1524)</f>
        <v/>
      </c>
      <c r="T1524" s="14"/>
      <c r="U1524" s="19" t="n">
        <f aca="false">IF(OR($B1524="",$A1524=""),0,IF(COUNTIFS($A$5:$A1524,$A1524,$B$5:$B1524,$B1524)=1,1,0))</f>
        <v>0</v>
      </c>
    </row>
    <row r="1525" customFormat="false" ht="15" hidden="false" customHeight="false" outlineLevel="0" collapsed="false">
      <c r="A1525" s="17"/>
      <c r="B1525" s="13"/>
      <c r="C1525" s="20" t="str">
        <f aca="false">IF($B1525="","",IFERROR(INDEX(고객사!$B$5:$B$104,MATCH($B1525,고객사!$A$5:$A$104,0)),"코드 확인"))</f>
        <v/>
      </c>
      <c r="D1525" s="15"/>
      <c r="E1525" s="15"/>
      <c r="F1525" s="16"/>
      <c r="G1525" s="16"/>
      <c r="H1525" s="21" t="str">
        <f aca="false">IF(OR($B1525="",F1525=0),"",G1525/F1525)</f>
        <v/>
      </c>
      <c r="I1525" s="22" t="str">
        <f aca="false">IF($B1525="","",MAX(F1525-G1525,0))</f>
        <v/>
      </c>
      <c r="J1525" s="23" t="str">
        <f aca="false">IF($B1525="","",IFERROR(INDEX(고객사!$G$5:$G$104,MATCH($B1525,고객사!$A$5:$A$104,0)),""))</f>
        <v/>
      </c>
      <c r="K1525" s="16"/>
      <c r="L1525" s="22" t="str">
        <f aca="false">IF($B1525="","",K1525*IFERROR(INDEX(고객사!$L$5:$L$104,MATCH($B1525,고객사!$A$5:$A$104,0)),0))</f>
        <v/>
      </c>
      <c r="M1525" s="23" t="str">
        <f aca="false">IF($B1525="","",IF(AND(J1525="N",G1525&gt;0,K1525=0,IFERROR(INDEX(고객사!$H$5:$H$104,MATCH($B1525,고객사!$A$5:$A$104,0)),"")="자사 차량 운행"),"차량 미배정",""))</f>
        <v/>
      </c>
      <c r="N1525" s="22" t="str">
        <f aca="false">IF($B1525="","",IFERROR(INDEX(고객사!$J$5:$J$104,MATCH($B1525,고객사!$A$5:$A$104,0)),0))</f>
        <v/>
      </c>
      <c r="O1525" s="22" t="str">
        <f aca="false">IF($B1525="","",G1525*N1525)</f>
        <v/>
      </c>
      <c r="P1525" s="22" t="str">
        <f aca="false">IF($B1525="","",IFERROR(INDEX(고객사!$K$5:$K$104,MATCH($B1525,고객사!$A$5:$A$104,0)),0))</f>
        <v/>
      </c>
      <c r="Q1525" s="22" t="str">
        <f aca="false">IF($B1525="","",G1525*P1525)</f>
        <v/>
      </c>
      <c r="R1525" s="22" t="str">
        <f aca="false">IF($B1525="","",O1525-Q1525-L1525)</f>
        <v/>
      </c>
      <c r="S1525" s="21" t="str">
        <f aca="false">IF(OR($B1525="",N(O1525)=0),"",R1525/O1525)</f>
        <v/>
      </c>
      <c r="T1525" s="14"/>
      <c r="U1525" s="19" t="n">
        <f aca="false">IF(OR($B1525="",$A1525=""),0,IF(COUNTIFS($A$5:$A1525,$A1525,$B$5:$B1525,$B1525)=1,1,0))</f>
        <v>0</v>
      </c>
    </row>
    <row r="1526" customFormat="false" ht="15" hidden="false" customHeight="false" outlineLevel="0" collapsed="false">
      <c r="A1526" s="17"/>
      <c r="B1526" s="13"/>
      <c r="C1526" s="20" t="str">
        <f aca="false">IF($B1526="","",IFERROR(INDEX(고객사!$B$5:$B$104,MATCH($B1526,고객사!$A$5:$A$104,0)),"코드 확인"))</f>
        <v/>
      </c>
      <c r="D1526" s="15"/>
      <c r="E1526" s="15"/>
      <c r="F1526" s="16"/>
      <c r="G1526" s="16"/>
      <c r="H1526" s="21" t="str">
        <f aca="false">IF(OR($B1526="",F1526=0),"",G1526/F1526)</f>
        <v/>
      </c>
      <c r="I1526" s="22" t="str">
        <f aca="false">IF($B1526="","",MAX(F1526-G1526,0))</f>
        <v/>
      </c>
      <c r="J1526" s="23" t="str">
        <f aca="false">IF($B1526="","",IFERROR(INDEX(고객사!$G$5:$G$104,MATCH($B1526,고객사!$A$5:$A$104,0)),""))</f>
        <v/>
      </c>
      <c r="K1526" s="16"/>
      <c r="L1526" s="22" t="str">
        <f aca="false">IF($B1526="","",K1526*IFERROR(INDEX(고객사!$L$5:$L$104,MATCH($B1526,고객사!$A$5:$A$104,0)),0))</f>
        <v/>
      </c>
      <c r="M1526" s="23" t="str">
        <f aca="false">IF($B1526="","",IF(AND(J1526="N",G1526&gt;0,K1526=0,IFERROR(INDEX(고객사!$H$5:$H$104,MATCH($B1526,고객사!$A$5:$A$104,0)),"")="자사 차량 운행"),"차량 미배정",""))</f>
        <v/>
      </c>
      <c r="N1526" s="22" t="str">
        <f aca="false">IF($B1526="","",IFERROR(INDEX(고객사!$J$5:$J$104,MATCH($B1526,고객사!$A$5:$A$104,0)),0))</f>
        <v/>
      </c>
      <c r="O1526" s="22" t="str">
        <f aca="false">IF($B1526="","",G1526*N1526)</f>
        <v/>
      </c>
      <c r="P1526" s="22" t="str">
        <f aca="false">IF($B1526="","",IFERROR(INDEX(고객사!$K$5:$K$104,MATCH($B1526,고객사!$A$5:$A$104,0)),0))</f>
        <v/>
      </c>
      <c r="Q1526" s="22" t="str">
        <f aca="false">IF($B1526="","",G1526*P1526)</f>
        <v/>
      </c>
      <c r="R1526" s="22" t="str">
        <f aca="false">IF($B1526="","",O1526-Q1526-L1526)</f>
        <v/>
      </c>
      <c r="S1526" s="21" t="str">
        <f aca="false">IF(OR($B1526="",N(O1526)=0),"",R1526/O1526)</f>
        <v/>
      </c>
      <c r="T1526" s="14"/>
      <c r="U1526" s="19" t="n">
        <f aca="false">IF(OR($B1526="",$A1526=""),0,IF(COUNTIFS($A$5:$A1526,$A1526,$B$5:$B1526,$B1526)=1,1,0))</f>
        <v>0</v>
      </c>
    </row>
    <row r="1527" customFormat="false" ht="15" hidden="false" customHeight="false" outlineLevel="0" collapsed="false">
      <c r="A1527" s="17"/>
      <c r="B1527" s="13"/>
      <c r="C1527" s="20" t="str">
        <f aca="false">IF($B1527="","",IFERROR(INDEX(고객사!$B$5:$B$104,MATCH($B1527,고객사!$A$5:$A$104,0)),"코드 확인"))</f>
        <v/>
      </c>
      <c r="D1527" s="15"/>
      <c r="E1527" s="15"/>
      <c r="F1527" s="16"/>
      <c r="G1527" s="16"/>
      <c r="H1527" s="21" t="str">
        <f aca="false">IF(OR($B1527="",F1527=0),"",G1527/F1527)</f>
        <v/>
      </c>
      <c r="I1527" s="22" t="str">
        <f aca="false">IF($B1527="","",MAX(F1527-G1527,0))</f>
        <v/>
      </c>
      <c r="J1527" s="23" t="str">
        <f aca="false">IF($B1527="","",IFERROR(INDEX(고객사!$G$5:$G$104,MATCH($B1527,고객사!$A$5:$A$104,0)),""))</f>
        <v/>
      </c>
      <c r="K1527" s="16"/>
      <c r="L1527" s="22" t="str">
        <f aca="false">IF($B1527="","",K1527*IFERROR(INDEX(고객사!$L$5:$L$104,MATCH($B1527,고객사!$A$5:$A$104,0)),0))</f>
        <v/>
      </c>
      <c r="M1527" s="23" t="str">
        <f aca="false">IF($B1527="","",IF(AND(J1527="N",G1527&gt;0,K1527=0,IFERROR(INDEX(고객사!$H$5:$H$104,MATCH($B1527,고객사!$A$5:$A$104,0)),"")="자사 차량 운행"),"차량 미배정",""))</f>
        <v/>
      </c>
      <c r="N1527" s="22" t="str">
        <f aca="false">IF($B1527="","",IFERROR(INDEX(고객사!$J$5:$J$104,MATCH($B1527,고객사!$A$5:$A$104,0)),0))</f>
        <v/>
      </c>
      <c r="O1527" s="22" t="str">
        <f aca="false">IF($B1527="","",G1527*N1527)</f>
        <v/>
      </c>
      <c r="P1527" s="22" t="str">
        <f aca="false">IF($B1527="","",IFERROR(INDEX(고객사!$K$5:$K$104,MATCH($B1527,고객사!$A$5:$A$104,0)),0))</f>
        <v/>
      </c>
      <c r="Q1527" s="22" t="str">
        <f aca="false">IF($B1527="","",G1527*P1527)</f>
        <v/>
      </c>
      <c r="R1527" s="22" t="str">
        <f aca="false">IF($B1527="","",O1527-Q1527-L1527)</f>
        <v/>
      </c>
      <c r="S1527" s="21" t="str">
        <f aca="false">IF(OR($B1527="",N(O1527)=0),"",R1527/O1527)</f>
        <v/>
      </c>
      <c r="T1527" s="14"/>
      <c r="U1527" s="19" t="n">
        <f aca="false">IF(OR($B1527="",$A1527=""),0,IF(COUNTIFS($A$5:$A1527,$A1527,$B$5:$B1527,$B1527)=1,1,0))</f>
        <v>0</v>
      </c>
    </row>
    <row r="1528" customFormat="false" ht="15" hidden="false" customHeight="false" outlineLevel="0" collapsed="false">
      <c r="A1528" s="17"/>
      <c r="B1528" s="13"/>
      <c r="C1528" s="20" t="str">
        <f aca="false">IF($B1528="","",IFERROR(INDEX(고객사!$B$5:$B$104,MATCH($B1528,고객사!$A$5:$A$104,0)),"코드 확인"))</f>
        <v/>
      </c>
      <c r="D1528" s="15"/>
      <c r="E1528" s="15"/>
      <c r="F1528" s="16"/>
      <c r="G1528" s="16"/>
      <c r="H1528" s="21" t="str">
        <f aca="false">IF(OR($B1528="",F1528=0),"",G1528/F1528)</f>
        <v/>
      </c>
      <c r="I1528" s="22" t="str">
        <f aca="false">IF($B1528="","",MAX(F1528-G1528,0))</f>
        <v/>
      </c>
      <c r="J1528" s="23" t="str">
        <f aca="false">IF($B1528="","",IFERROR(INDEX(고객사!$G$5:$G$104,MATCH($B1528,고객사!$A$5:$A$104,0)),""))</f>
        <v/>
      </c>
      <c r="K1528" s="16"/>
      <c r="L1528" s="22" t="str">
        <f aca="false">IF($B1528="","",K1528*IFERROR(INDEX(고객사!$L$5:$L$104,MATCH($B1528,고객사!$A$5:$A$104,0)),0))</f>
        <v/>
      </c>
      <c r="M1528" s="23" t="str">
        <f aca="false">IF($B1528="","",IF(AND(J1528="N",G1528&gt;0,K1528=0,IFERROR(INDEX(고객사!$H$5:$H$104,MATCH($B1528,고객사!$A$5:$A$104,0)),"")="자사 차량 운행"),"차량 미배정",""))</f>
        <v/>
      </c>
      <c r="N1528" s="22" t="str">
        <f aca="false">IF($B1528="","",IFERROR(INDEX(고객사!$J$5:$J$104,MATCH($B1528,고객사!$A$5:$A$104,0)),0))</f>
        <v/>
      </c>
      <c r="O1528" s="22" t="str">
        <f aca="false">IF($B1528="","",G1528*N1528)</f>
        <v/>
      </c>
      <c r="P1528" s="22" t="str">
        <f aca="false">IF($B1528="","",IFERROR(INDEX(고객사!$K$5:$K$104,MATCH($B1528,고객사!$A$5:$A$104,0)),0))</f>
        <v/>
      </c>
      <c r="Q1528" s="22" t="str">
        <f aca="false">IF($B1528="","",G1528*P1528)</f>
        <v/>
      </c>
      <c r="R1528" s="22" t="str">
        <f aca="false">IF($B1528="","",O1528-Q1528-L1528)</f>
        <v/>
      </c>
      <c r="S1528" s="21" t="str">
        <f aca="false">IF(OR($B1528="",N(O1528)=0),"",R1528/O1528)</f>
        <v/>
      </c>
      <c r="T1528" s="14"/>
      <c r="U1528" s="19" t="n">
        <f aca="false">IF(OR($B1528="",$A1528=""),0,IF(COUNTIFS($A$5:$A1528,$A1528,$B$5:$B1528,$B1528)=1,1,0))</f>
        <v>0</v>
      </c>
    </row>
    <row r="1529" customFormat="false" ht="15" hidden="false" customHeight="false" outlineLevel="0" collapsed="false">
      <c r="A1529" s="17"/>
      <c r="B1529" s="13"/>
      <c r="C1529" s="20" t="str">
        <f aca="false">IF($B1529="","",IFERROR(INDEX(고객사!$B$5:$B$104,MATCH($B1529,고객사!$A$5:$A$104,0)),"코드 확인"))</f>
        <v/>
      </c>
      <c r="D1529" s="15"/>
      <c r="E1529" s="15"/>
      <c r="F1529" s="16"/>
      <c r="G1529" s="16"/>
      <c r="H1529" s="21" t="str">
        <f aca="false">IF(OR($B1529="",F1529=0),"",G1529/F1529)</f>
        <v/>
      </c>
      <c r="I1529" s="22" t="str">
        <f aca="false">IF($B1529="","",MAX(F1529-G1529,0))</f>
        <v/>
      </c>
      <c r="J1529" s="23" t="str">
        <f aca="false">IF($B1529="","",IFERROR(INDEX(고객사!$G$5:$G$104,MATCH($B1529,고객사!$A$5:$A$104,0)),""))</f>
        <v/>
      </c>
      <c r="K1529" s="16"/>
      <c r="L1529" s="22" t="str">
        <f aca="false">IF($B1529="","",K1529*IFERROR(INDEX(고객사!$L$5:$L$104,MATCH($B1529,고객사!$A$5:$A$104,0)),0))</f>
        <v/>
      </c>
      <c r="M1529" s="23" t="str">
        <f aca="false">IF($B1529="","",IF(AND(J1529="N",G1529&gt;0,K1529=0,IFERROR(INDEX(고객사!$H$5:$H$104,MATCH($B1529,고객사!$A$5:$A$104,0)),"")="자사 차량 운행"),"차량 미배정",""))</f>
        <v/>
      </c>
      <c r="N1529" s="22" t="str">
        <f aca="false">IF($B1529="","",IFERROR(INDEX(고객사!$J$5:$J$104,MATCH($B1529,고객사!$A$5:$A$104,0)),0))</f>
        <v/>
      </c>
      <c r="O1529" s="22" t="str">
        <f aca="false">IF($B1529="","",G1529*N1529)</f>
        <v/>
      </c>
      <c r="P1529" s="22" t="str">
        <f aca="false">IF($B1529="","",IFERROR(INDEX(고객사!$K$5:$K$104,MATCH($B1529,고객사!$A$5:$A$104,0)),0))</f>
        <v/>
      </c>
      <c r="Q1529" s="22" t="str">
        <f aca="false">IF($B1529="","",G1529*P1529)</f>
        <v/>
      </c>
      <c r="R1529" s="22" t="str">
        <f aca="false">IF($B1529="","",O1529-Q1529-L1529)</f>
        <v/>
      </c>
      <c r="S1529" s="21" t="str">
        <f aca="false">IF(OR($B1529="",N(O1529)=0),"",R1529/O1529)</f>
        <v/>
      </c>
      <c r="T1529" s="14"/>
      <c r="U1529" s="19" t="n">
        <f aca="false">IF(OR($B1529="",$A1529=""),0,IF(COUNTIFS($A$5:$A1529,$A1529,$B$5:$B1529,$B1529)=1,1,0))</f>
        <v>0</v>
      </c>
    </row>
    <row r="1530" customFormat="false" ht="15" hidden="false" customHeight="false" outlineLevel="0" collapsed="false">
      <c r="A1530" s="17"/>
      <c r="B1530" s="13"/>
      <c r="C1530" s="20" t="str">
        <f aca="false">IF($B1530="","",IFERROR(INDEX(고객사!$B$5:$B$104,MATCH($B1530,고객사!$A$5:$A$104,0)),"코드 확인"))</f>
        <v/>
      </c>
      <c r="D1530" s="15"/>
      <c r="E1530" s="15"/>
      <c r="F1530" s="16"/>
      <c r="G1530" s="16"/>
      <c r="H1530" s="21" t="str">
        <f aca="false">IF(OR($B1530="",F1530=0),"",G1530/F1530)</f>
        <v/>
      </c>
      <c r="I1530" s="22" t="str">
        <f aca="false">IF($B1530="","",MAX(F1530-G1530,0))</f>
        <v/>
      </c>
      <c r="J1530" s="23" t="str">
        <f aca="false">IF($B1530="","",IFERROR(INDEX(고객사!$G$5:$G$104,MATCH($B1530,고객사!$A$5:$A$104,0)),""))</f>
        <v/>
      </c>
      <c r="K1530" s="16"/>
      <c r="L1530" s="22" t="str">
        <f aca="false">IF($B1530="","",K1530*IFERROR(INDEX(고객사!$L$5:$L$104,MATCH($B1530,고객사!$A$5:$A$104,0)),0))</f>
        <v/>
      </c>
      <c r="M1530" s="23" t="str">
        <f aca="false">IF($B1530="","",IF(AND(J1530="N",G1530&gt;0,K1530=0,IFERROR(INDEX(고객사!$H$5:$H$104,MATCH($B1530,고객사!$A$5:$A$104,0)),"")="자사 차량 운행"),"차량 미배정",""))</f>
        <v/>
      </c>
      <c r="N1530" s="22" t="str">
        <f aca="false">IF($B1530="","",IFERROR(INDEX(고객사!$J$5:$J$104,MATCH($B1530,고객사!$A$5:$A$104,0)),0))</f>
        <v/>
      </c>
      <c r="O1530" s="22" t="str">
        <f aca="false">IF($B1530="","",G1530*N1530)</f>
        <v/>
      </c>
      <c r="P1530" s="22" t="str">
        <f aca="false">IF($B1530="","",IFERROR(INDEX(고객사!$K$5:$K$104,MATCH($B1530,고객사!$A$5:$A$104,0)),0))</f>
        <v/>
      </c>
      <c r="Q1530" s="22" t="str">
        <f aca="false">IF($B1530="","",G1530*P1530)</f>
        <v/>
      </c>
      <c r="R1530" s="22" t="str">
        <f aca="false">IF($B1530="","",O1530-Q1530-L1530)</f>
        <v/>
      </c>
      <c r="S1530" s="21" t="str">
        <f aca="false">IF(OR($B1530="",N(O1530)=0),"",R1530/O1530)</f>
        <v/>
      </c>
      <c r="T1530" s="14"/>
      <c r="U1530" s="19" t="n">
        <f aca="false">IF(OR($B1530="",$A1530=""),0,IF(COUNTIFS($A$5:$A1530,$A1530,$B$5:$B1530,$B1530)=1,1,0))</f>
        <v>0</v>
      </c>
    </row>
    <row r="1531" customFormat="false" ht="15" hidden="false" customHeight="false" outlineLevel="0" collapsed="false">
      <c r="A1531" s="17"/>
      <c r="B1531" s="13"/>
      <c r="C1531" s="20" t="str">
        <f aca="false">IF($B1531="","",IFERROR(INDEX(고객사!$B$5:$B$104,MATCH($B1531,고객사!$A$5:$A$104,0)),"코드 확인"))</f>
        <v/>
      </c>
      <c r="D1531" s="15"/>
      <c r="E1531" s="15"/>
      <c r="F1531" s="16"/>
      <c r="G1531" s="16"/>
      <c r="H1531" s="21" t="str">
        <f aca="false">IF(OR($B1531="",F1531=0),"",G1531/F1531)</f>
        <v/>
      </c>
      <c r="I1531" s="22" t="str">
        <f aca="false">IF($B1531="","",MAX(F1531-G1531,0))</f>
        <v/>
      </c>
      <c r="J1531" s="23" t="str">
        <f aca="false">IF($B1531="","",IFERROR(INDEX(고객사!$G$5:$G$104,MATCH($B1531,고객사!$A$5:$A$104,0)),""))</f>
        <v/>
      </c>
      <c r="K1531" s="16"/>
      <c r="L1531" s="22" t="str">
        <f aca="false">IF($B1531="","",K1531*IFERROR(INDEX(고객사!$L$5:$L$104,MATCH($B1531,고객사!$A$5:$A$104,0)),0))</f>
        <v/>
      </c>
      <c r="M1531" s="23" t="str">
        <f aca="false">IF($B1531="","",IF(AND(J1531="N",G1531&gt;0,K1531=0,IFERROR(INDEX(고객사!$H$5:$H$104,MATCH($B1531,고객사!$A$5:$A$104,0)),"")="자사 차량 운행"),"차량 미배정",""))</f>
        <v/>
      </c>
      <c r="N1531" s="22" t="str">
        <f aca="false">IF($B1531="","",IFERROR(INDEX(고객사!$J$5:$J$104,MATCH($B1531,고객사!$A$5:$A$104,0)),0))</f>
        <v/>
      </c>
      <c r="O1531" s="22" t="str">
        <f aca="false">IF($B1531="","",G1531*N1531)</f>
        <v/>
      </c>
      <c r="P1531" s="22" t="str">
        <f aca="false">IF($B1531="","",IFERROR(INDEX(고객사!$K$5:$K$104,MATCH($B1531,고객사!$A$5:$A$104,0)),0))</f>
        <v/>
      </c>
      <c r="Q1531" s="22" t="str">
        <f aca="false">IF($B1531="","",G1531*P1531)</f>
        <v/>
      </c>
      <c r="R1531" s="22" t="str">
        <f aca="false">IF($B1531="","",O1531-Q1531-L1531)</f>
        <v/>
      </c>
      <c r="S1531" s="21" t="str">
        <f aca="false">IF(OR($B1531="",N(O1531)=0),"",R1531/O1531)</f>
        <v/>
      </c>
      <c r="T1531" s="14"/>
      <c r="U1531" s="19" t="n">
        <f aca="false">IF(OR($B1531="",$A1531=""),0,IF(COUNTIFS($A$5:$A1531,$A1531,$B$5:$B1531,$B1531)=1,1,0))</f>
        <v>0</v>
      </c>
    </row>
    <row r="1532" customFormat="false" ht="15" hidden="false" customHeight="false" outlineLevel="0" collapsed="false">
      <c r="A1532" s="17"/>
      <c r="B1532" s="13"/>
      <c r="C1532" s="20" t="str">
        <f aca="false">IF($B1532="","",IFERROR(INDEX(고객사!$B$5:$B$104,MATCH($B1532,고객사!$A$5:$A$104,0)),"코드 확인"))</f>
        <v/>
      </c>
      <c r="D1532" s="15"/>
      <c r="E1532" s="15"/>
      <c r="F1532" s="16"/>
      <c r="G1532" s="16"/>
      <c r="H1532" s="21" t="str">
        <f aca="false">IF(OR($B1532="",F1532=0),"",G1532/F1532)</f>
        <v/>
      </c>
      <c r="I1532" s="22" t="str">
        <f aca="false">IF($B1532="","",MAX(F1532-G1532,0))</f>
        <v/>
      </c>
      <c r="J1532" s="23" t="str">
        <f aca="false">IF($B1532="","",IFERROR(INDEX(고객사!$G$5:$G$104,MATCH($B1532,고객사!$A$5:$A$104,0)),""))</f>
        <v/>
      </c>
      <c r="K1532" s="16"/>
      <c r="L1532" s="22" t="str">
        <f aca="false">IF($B1532="","",K1532*IFERROR(INDEX(고객사!$L$5:$L$104,MATCH($B1532,고객사!$A$5:$A$104,0)),0))</f>
        <v/>
      </c>
      <c r="M1532" s="23" t="str">
        <f aca="false">IF($B1532="","",IF(AND(J1532="N",G1532&gt;0,K1532=0,IFERROR(INDEX(고객사!$H$5:$H$104,MATCH($B1532,고객사!$A$5:$A$104,0)),"")="자사 차량 운행"),"차량 미배정",""))</f>
        <v/>
      </c>
      <c r="N1532" s="22" t="str">
        <f aca="false">IF($B1532="","",IFERROR(INDEX(고객사!$J$5:$J$104,MATCH($B1532,고객사!$A$5:$A$104,0)),0))</f>
        <v/>
      </c>
      <c r="O1532" s="22" t="str">
        <f aca="false">IF($B1532="","",G1532*N1532)</f>
        <v/>
      </c>
      <c r="P1532" s="22" t="str">
        <f aca="false">IF($B1532="","",IFERROR(INDEX(고객사!$K$5:$K$104,MATCH($B1532,고객사!$A$5:$A$104,0)),0))</f>
        <v/>
      </c>
      <c r="Q1532" s="22" t="str">
        <f aca="false">IF($B1532="","",G1532*P1532)</f>
        <v/>
      </c>
      <c r="R1532" s="22" t="str">
        <f aca="false">IF($B1532="","",O1532-Q1532-L1532)</f>
        <v/>
      </c>
      <c r="S1532" s="21" t="str">
        <f aca="false">IF(OR($B1532="",N(O1532)=0),"",R1532/O1532)</f>
        <v/>
      </c>
      <c r="T1532" s="14"/>
      <c r="U1532" s="19" t="n">
        <f aca="false">IF(OR($B1532="",$A1532=""),0,IF(COUNTIFS($A$5:$A1532,$A1532,$B$5:$B1532,$B1532)=1,1,0))</f>
        <v>0</v>
      </c>
    </row>
    <row r="1533" customFormat="false" ht="15" hidden="false" customHeight="false" outlineLevel="0" collapsed="false">
      <c r="A1533" s="17"/>
      <c r="B1533" s="13"/>
      <c r="C1533" s="20" t="str">
        <f aca="false">IF($B1533="","",IFERROR(INDEX(고객사!$B$5:$B$104,MATCH($B1533,고객사!$A$5:$A$104,0)),"코드 확인"))</f>
        <v/>
      </c>
      <c r="D1533" s="15"/>
      <c r="E1533" s="15"/>
      <c r="F1533" s="16"/>
      <c r="G1533" s="16"/>
      <c r="H1533" s="21" t="str">
        <f aca="false">IF(OR($B1533="",F1533=0),"",G1533/F1533)</f>
        <v/>
      </c>
      <c r="I1533" s="22" t="str">
        <f aca="false">IF($B1533="","",MAX(F1533-G1533,0))</f>
        <v/>
      </c>
      <c r="J1533" s="23" t="str">
        <f aca="false">IF($B1533="","",IFERROR(INDEX(고객사!$G$5:$G$104,MATCH($B1533,고객사!$A$5:$A$104,0)),""))</f>
        <v/>
      </c>
      <c r="K1533" s="16"/>
      <c r="L1533" s="22" t="str">
        <f aca="false">IF($B1533="","",K1533*IFERROR(INDEX(고객사!$L$5:$L$104,MATCH($B1533,고객사!$A$5:$A$104,0)),0))</f>
        <v/>
      </c>
      <c r="M1533" s="23" t="str">
        <f aca="false">IF($B1533="","",IF(AND(J1533="N",G1533&gt;0,K1533=0,IFERROR(INDEX(고객사!$H$5:$H$104,MATCH($B1533,고객사!$A$5:$A$104,0)),"")="자사 차량 운행"),"차량 미배정",""))</f>
        <v/>
      </c>
      <c r="N1533" s="22" t="str">
        <f aca="false">IF($B1533="","",IFERROR(INDEX(고객사!$J$5:$J$104,MATCH($B1533,고객사!$A$5:$A$104,0)),0))</f>
        <v/>
      </c>
      <c r="O1533" s="22" t="str">
        <f aca="false">IF($B1533="","",G1533*N1533)</f>
        <v/>
      </c>
      <c r="P1533" s="22" t="str">
        <f aca="false">IF($B1533="","",IFERROR(INDEX(고객사!$K$5:$K$104,MATCH($B1533,고객사!$A$5:$A$104,0)),0))</f>
        <v/>
      </c>
      <c r="Q1533" s="22" t="str">
        <f aca="false">IF($B1533="","",G1533*P1533)</f>
        <v/>
      </c>
      <c r="R1533" s="22" t="str">
        <f aca="false">IF($B1533="","",O1533-Q1533-L1533)</f>
        <v/>
      </c>
      <c r="S1533" s="21" t="str">
        <f aca="false">IF(OR($B1533="",N(O1533)=0),"",R1533/O1533)</f>
        <v/>
      </c>
      <c r="T1533" s="14"/>
      <c r="U1533" s="19" t="n">
        <f aca="false">IF(OR($B1533="",$A1533=""),0,IF(COUNTIFS($A$5:$A1533,$A1533,$B$5:$B1533,$B1533)=1,1,0))</f>
        <v>0</v>
      </c>
    </row>
    <row r="1534" customFormat="false" ht="15" hidden="false" customHeight="false" outlineLevel="0" collapsed="false">
      <c r="A1534" s="17"/>
      <c r="B1534" s="13"/>
      <c r="C1534" s="20" t="str">
        <f aca="false">IF($B1534="","",IFERROR(INDEX(고객사!$B$5:$B$104,MATCH($B1534,고객사!$A$5:$A$104,0)),"코드 확인"))</f>
        <v/>
      </c>
      <c r="D1534" s="15"/>
      <c r="E1534" s="15"/>
      <c r="F1534" s="16"/>
      <c r="G1534" s="16"/>
      <c r="H1534" s="21" t="str">
        <f aca="false">IF(OR($B1534="",F1534=0),"",G1534/F1534)</f>
        <v/>
      </c>
      <c r="I1534" s="22" t="str">
        <f aca="false">IF($B1534="","",MAX(F1534-G1534,0))</f>
        <v/>
      </c>
      <c r="J1534" s="23" t="str">
        <f aca="false">IF($B1534="","",IFERROR(INDEX(고객사!$G$5:$G$104,MATCH($B1534,고객사!$A$5:$A$104,0)),""))</f>
        <v/>
      </c>
      <c r="K1534" s="16"/>
      <c r="L1534" s="22" t="str">
        <f aca="false">IF($B1534="","",K1534*IFERROR(INDEX(고객사!$L$5:$L$104,MATCH($B1534,고객사!$A$5:$A$104,0)),0))</f>
        <v/>
      </c>
      <c r="M1534" s="23" t="str">
        <f aca="false">IF($B1534="","",IF(AND(J1534="N",G1534&gt;0,K1534=0,IFERROR(INDEX(고객사!$H$5:$H$104,MATCH($B1534,고객사!$A$5:$A$104,0)),"")="자사 차량 운행"),"차량 미배정",""))</f>
        <v/>
      </c>
      <c r="N1534" s="22" t="str">
        <f aca="false">IF($B1534="","",IFERROR(INDEX(고객사!$J$5:$J$104,MATCH($B1534,고객사!$A$5:$A$104,0)),0))</f>
        <v/>
      </c>
      <c r="O1534" s="22" t="str">
        <f aca="false">IF($B1534="","",G1534*N1534)</f>
        <v/>
      </c>
      <c r="P1534" s="22" t="str">
        <f aca="false">IF($B1534="","",IFERROR(INDEX(고객사!$K$5:$K$104,MATCH($B1534,고객사!$A$5:$A$104,0)),0))</f>
        <v/>
      </c>
      <c r="Q1534" s="22" t="str">
        <f aca="false">IF($B1534="","",G1534*P1534)</f>
        <v/>
      </c>
      <c r="R1534" s="22" t="str">
        <f aca="false">IF($B1534="","",O1534-Q1534-L1534)</f>
        <v/>
      </c>
      <c r="S1534" s="21" t="str">
        <f aca="false">IF(OR($B1534="",N(O1534)=0),"",R1534/O1534)</f>
        <v/>
      </c>
      <c r="T1534" s="14"/>
      <c r="U1534" s="19" t="n">
        <f aca="false">IF(OR($B1534="",$A1534=""),0,IF(COUNTIFS($A$5:$A1534,$A1534,$B$5:$B1534,$B1534)=1,1,0))</f>
        <v>0</v>
      </c>
    </row>
    <row r="1535" customFormat="false" ht="15" hidden="false" customHeight="false" outlineLevel="0" collapsed="false">
      <c r="A1535" s="17"/>
      <c r="B1535" s="13"/>
      <c r="C1535" s="20" t="str">
        <f aca="false">IF($B1535="","",IFERROR(INDEX(고객사!$B$5:$B$104,MATCH($B1535,고객사!$A$5:$A$104,0)),"코드 확인"))</f>
        <v/>
      </c>
      <c r="D1535" s="15"/>
      <c r="E1535" s="15"/>
      <c r="F1535" s="16"/>
      <c r="G1535" s="16"/>
      <c r="H1535" s="21" t="str">
        <f aca="false">IF(OR($B1535="",F1535=0),"",G1535/F1535)</f>
        <v/>
      </c>
      <c r="I1535" s="22" t="str">
        <f aca="false">IF($B1535="","",MAX(F1535-G1535,0))</f>
        <v/>
      </c>
      <c r="J1535" s="23" t="str">
        <f aca="false">IF($B1535="","",IFERROR(INDEX(고객사!$G$5:$G$104,MATCH($B1535,고객사!$A$5:$A$104,0)),""))</f>
        <v/>
      </c>
      <c r="K1535" s="16"/>
      <c r="L1535" s="22" t="str">
        <f aca="false">IF($B1535="","",K1535*IFERROR(INDEX(고객사!$L$5:$L$104,MATCH($B1535,고객사!$A$5:$A$104,0)),0))</f>
        <v/>
      </c>
      <c r="M1535" s="23" t="str">
        <f aca="false">IF($B1535="","",IF(AND(J1535="N",G1535&gt;0,K1535=0,IFERROR(INDEX(고객사!$H$5:$H$104,MATCH($B1535,고객사!$A$5:$A$104,0)),"")="자사 차량 운행"),"차량 미배정",""))</f>
        <v/>
      </c>
      <c r="N1535" s="22" t="str">
        <f aca="false">IF($B1535="","",IFERROR(INDEX(고객사!$J$5:$J$104,MATCH($B1535,고객사!$A$5:$A$104,0)),0))</f>
        <v/>
      </c>
      <c r="O1535" s="22" t="str">
        <f aca="false">IF($B1535="","",G1535*N1535)</f>
        <v/>
      </c>
      <c r="P1535" s="22" t="str">
        <f aca="false">IF($B1535="","",IFERROR(INDEX(고객사!$K$5:$K$104,MATCH($B1535,고객사!$A$5:$A$104,0)),0))</f>
        <v/>
      </c>
      <c r="Q1535" s="22" t="str">
        <f aca="false">IF($B1535="","",G1535*P1535)</f>
        <v/>
      </c>
      <c r="R1535" s="22" t="str">
        <f aca="false">IF($B1535="","",O1535-Q1535-L1535)</f>
        <v/>
      </c>
      <c r="S1535" s="21" t="str">
        <f aca="false">IF(OR($B1535="",N(O1535)=0),"",R1535/O1535)</f>
        <v/>
      </c>
      <c r="T1535" s="14"/>
      <c r="U1535" s="19" t="n">
        <f aca="false">IF(OR($B1535="",$A1535=""),0,IF(COUNTIFS($A$5:$A1535,$A1535,$B$5:$B1535,$B1535)=1,1,0))</f>
        <v>0</v>
      </c>
    </row>
    <row r="1536" customFormat="false" ht="15" hidden="false" customHeight="false" outlineLevel="0" collapsed="false">
      <c r="A1536" s="17"/>
      <c r="B1536" s="13"/>
      <c r="C1536" s="20" t="str">
        <f aca="false">IF($B1536="","",IFERROR(INDEX(고객사!$B$5:$B$104,MATCH($B1536,고객사!$A$5:$A$104,0)),"코드 확인"))</f>
        <v/>
      </c>
      <c r="D1536" s="15"/>
      <c r="E1536" s="15"/>
      <c r="F1536" s="16"/>
      <c r="G1536" s="16"/>
      <c r="H1536" s="21" t="str">
        <f aca="false">IF(OR($B1536="",F1536=0),"",G1536/F1536)</f>
        <v/>
      </c>
      <c r="I1536" s="22" t="str">
        <f aca="false">IF($B1536="","",MAX(F1536-G1536,0))</f>
        <v/>
      </c>
      <c r="J1536" s="23" t="str">
        <f aca="false">IF($B1536="","",IFERROR(INDEX(고객사!$G$5:$G$104,MATCH($B1536,고객사!$A$5:$A$104,0)),""))</f>
        <v/>
      </c>
      <c r="K1536" s="16"/>
      <c r="L1536" s="22" t="str">
        <f aca="false">IF($B1536="","",K1536*IFERROR(INDEX(고객사!$L$5:$L$104,MATCH($B1536,고객사!$A$5:$A$104,0)),0))</f>
        <v/>
      </c>
      <c r="M1536" s="23" t="str">
        <f aca="false">IF($B1536="","",IF(AND(J1536="N",G1536&gt;0,K1536=0,IFERROR(INDEX(고객사!$H$5:$H$104,MATCH($B1536,고객사!$A$5:$A$104,0)),"")="자사 차량 운행"),"차량 미배정",""))</f>
        <v/>
      </c>
      <c r="N1536" s="22" t="str">
        <f aca="false">IF($B1536="","",IFERROR(INDEX(고객사!$J$5:$J$104,MATCH($B1536,고객사!$A$5:$A$104,0)),0))</f>
        <v/>
      </c>
      <c r="O1536" s="22" t="str">
        <f aca="false">IF($B1536="","",G1536*N1536)</f>
        <v/>
      </c>
      <c r="P1536" s="22" t="str">
        <f aca="false">IF($B1536="","",IFERROR(INDEX(고객사!$K$5:$K$104,MATCH($B1536,고객사!$A$5:$A$104,0)),0))</f>
        <v/>
      </c>
      <c r="Q1536" s="22" t="str">
        <f aca="false">IF($B1536="","",G1536*P1536)</f>
        <v/>
      </c>
      <c r="R1536" s="22" t="str">
        <f aca="false">IF($B1536="","",O1536-Q1536-L1536)</f>
        <v/>
      </c>
      <c r="S1536" s="21" t="str">
        <f aca="false">IF(OR($B1536="",N(O1536)=0),"",R1536/O1536)</f>
        <v/>
      </c>
      <c r="T1536" s="14"/>
      <c r="U1536" s="19" t="n">
        <f aca="false">IF(OR($B1536="",$A1536=""),0,IF(COUNTIFS($A$5:$A1536,$A1536,$B$5:$B1536,$B1536)=1,1,0))</f>
        <v>0</v>
      </c>
    </row>
    <row r="1537" customFormat="false" ht="15" hidden="false" customHeight="false" outlineLevel="0" collapsed="false">
      <c r="A1537" s="17"/>
      <c r="B1537" s="13"/>
      <c r="C1537" s="20" t="str">
        <f aca="false">IF($B1537="","",IFERROR(INDEX(고객사!$B$5:$B$104,MATCH($B1537,고객사!$A$5:$A$104,0)),"코드 확인"))</f>
        <v/>
      </c>
      <c r="D1537" s="15"/>
      <c r="E1537" s="15"/>
      <c r="F1537" s="16"/>
      <c r="G1537" s="16"/>
      <c r="H1537" s="21" t="str">
        <f aca="false">IF(OR($B1537="",F1537=0),"",G1537/F1537)</f>
        <v/>
      </c>
      <c r="I1537" s="22" t="str">
        <f aca="false">IF($B1537="","",MAX(F1537-G1537,0))</f>
        <v/>
      </c>
      <c r="J1537" s="23" t="str">
        <f aca="false">IF($B1537="","",IFERROR(INDEX(고객사!$G$5:$G$104,MATCH($B1537,고객사!$A$5:$A$104,0)),""))</f>
        <v/>
      </c>
      <c r="K1537" s="16"/>
      <c r="L1537" s="22" t="str">
        <f aca="false">IF($B1537="","",K1537*IFERROR(INDEX(고객사!$L$5:$L$104,MATCH($B1537,고객사!$A$5:$A$104,0)),0))</f>
        <v/>
      </c>
      <c r="M1537" s="23" t="str">
        <f aca="false">IF($B1537="","",IF(AND(J1537="N",G1537&gt;0,K1537=0,IFERROR(INDEX(고객사!$H$5:$H$104,MATCH($B1537,고객사!$A$5:$A$104,0)),"")="자사 차량 운행"),"차량 미배정",""))</f>
        <v/>
      </c>
      <c r="N1537" s="22" t="str">
        <f aca="false">IF($B1537="","",IFERROR(INDEX(고객사!$J$5:$J$104,MATCH($B1537,고객사!$A$5:$A$104,0)),0))</f>
        <v/>
      </c>
      <c r="O1537" s="22" t="str">
        <f aca="false">IF($B1537="","",G1537*N1537)</f>
        <v/>
      </c>
      <c r="P1537" s="22" t="str">
        <f aca="false">IF($B1537="","",IFERROR(INDEX(고객사!$K$5:$K$104,MATCH($B1537,고객사!$A$5:$A$104,0)),0))</f>
        <v/>
      </c>
      <c r="Q1537" s="22" t="str">
        <f aca="false">IF($B1537="","",G1537*P1537)</f>
        <v/>
      </c>
      <c r="R1537" s="22" t="str">
        <f aca="false">IF($B1537="","",O1537-Q1537-L1537)</f>
        <v/>
      </c>
      <c r="S1537" s="21" t="str">
        <f aca="false">IF(OR($B1537="",N(O1537)=0),"",R1537/O1537)</f>
        <v/>
      </c>
      <c r="T1537" s="14"/>
      <c r="U1537" s="19" t="n">
        <f aca="false">IF(OR($B1537="",$A1537=""),0,IF(COUNTIFS($A$5:$A1537,$A1537,$B$5:$B1537,$B1537)=1,1,0))</f>
        <v>0</v>
      </c>
    </row>
    <row r="1538" customFormat="false" ht="15" hidden="false" customHeight="false" outlineLevel="0" collapsed="false">
      <c r="A1538" s="17"/>
      <c r="B1538" s="13"/>
      <c r="C1538" s="20" t="str">
        <f aca="false">IF($B1538="","",IFERROR(INDEX(고객사!$B$5:$B$104,MATCH($B1538,고객사!$A$5:$A$104,0)),"코드 확인"))</f>
        <v/>
      </c>
      <c r="D1538" s="15"/>
      <c r="E1538" s="15"/>
      <c r="F1538" s="16"/>
      <c r="G1538" s="16"/>
      <c r="H1538" s="21" t="str">
        <f aca="false">IF(OR($B1538="",F1538=0),"",G1538/F1538)</f>
        <v/>
      </c>
      <c r="I1538" s="22" t="str">
        <f aca="false">IF($B1538="","",MAX(F1538-G1538,0))</f>
        <v/>
      </c>
      <c r="J1538" s="23" t="str">
        <f aca="false">IF($B1538="","",IFERROR(INDEX(고객사!$G$5:$G$104,MATCH($B1538,고객사!$A$5:$A$104,0)),""))</f>
        <v/>
      </c>
      <c r="K1538" s="16"/>
      <c r="L1538" s="22" t="str">
        <f aca="false">IF($B1538="","",K1538*IFERROR(INDEX(고객사!$L$5:$L$104,MATCH($B1538,고객사!$A$5:$A$104,0)),0))</f>
        <v/>
      </c>
      <c r="M1538" s="23" t="str">
        <f aca="false">IF($B1538="","",IF(AND(J1538="N",G1538&gt;0,K1538=0,IFERROR(INDEX(고객사!$H$5:$H$104,MATCH($B1538,고객사!$A$5:$A$104,0)),"")="자사 차량 운행"),"차량 미배정",""))</f>
        <v/>
      </c>
      <c r="N1538" s="22" t="str">
        <f aca="false">IF($B1538="","",IFERROR(INDEX(고객사!$J$5:$J$104,MATCH($B1538,고객사!$A$5:$A$104,0)),0))</f>
        <v/>
      </c>
      <c r="O1538" s="22" t="str">
        <f aca="false">IF($B1538="","",G1538*N1538)</f>
        <v/>
      </c>
      <c r="P1538" s="22" t="str">
        <f aca="false">IF($B1538="","",IFERROR(INDEX(고객사!$K$5:$K$104,MATCH($B1538,고객사!$A$5:$A$104,0)),0))</f>
        <v/>
      </c>
      <c r="Q1538" s="22" t="str">
        <f aca="false">IF($B1538="","",G1538*P1538)</f>
        <v/>
      </c>
      <c r="R1538" s="22" t="str">
        <f aca="false">IF($B1538="","",O1538-Q1538-L1538)</f>
        <v/>
      </c>
      <c r="S1538" s="21" t="str">
        <f aca="false">IF(OR($B1538="",N(O1538)=0),"",R1538/O1538)</f>
        <v/>
      </c>
      <c r="T1538" s="14"/>
      <c r="U1538" s="19" t="n">
        <f aca="false">IF(OR($B1538="",$A1538=""),0,IF(COUNTIFS($A$5:$A1538,$A1538,$B$5:$B1538,$B1538)=1,1,0))</f>
        <v>0</v>
      </c>
    </row>
    <row r="1539" customFormat="false" ht="15" hidden="false" customHeight="false" outlineLevel="0" collapsed="false">
      <c r="A1539" s="17"/>
      <c r="B1539" s="13"/>
      <c r="C1539" s="20" t="str">
        <f aca="false">IF($B1539="","",IFERROR(INDEX(고객사!$B$5:$B$104,MATCH($B1539,고객사!$A$5:$A$104,0)),"코드 확인"))</f>
        <v/>
      </c>
      <c r="D1539" s="15"/>
      <c r="E1539" s="15"/>
      <c r="F1539" s="16"/>
      <c r="G1539" s="16"/>
      <c r="H1539" s="21" t="str">
        <f aca="false">IF(OR($B1539="",F1539=0),"",G1539/F1539)</f>
        <v/>
      </c>
      <c r="I1539" s="22" t="str">
        <f aca="false">IF($B1539="","",MAX(F1539-G1539,0))</f>
        <v/>
      </c>
      <c r="J1539" s="23" t="str">
        <f aca="false">IF($B1539="","",IFERROR(INDEX(고객사!$G$5:$G$104,MATCH($B1539,고객사!$A$5:$A$104,0)),""))</f>
        <v/>
      </c>
      <c r="K1539" s="16"/>
      <c r="L1539" s="22" t="str">
        <f aca="false">IF($B1539="","",K1539*IFERROR(INDEX(고객사!$L$5:$L$104,MATCH($B1539,고객사!$A$5:$A$104,0)),0))</f>
        <v/>
      </c>
      <c r="M1539" s="23" t="str">
        <f aca="false">IF($B1539="","",IF(AND(J1539="N",G1539&gt;0,K1539=0,IFERROR(INDEX(고객사!$H$5:$H$104,MATCH($B1539,고객사!$A$5:$A$104,0)),"")="자사 차량 운행"),"차량 미배정",""))</f>
        <v/>
      </c>
      <c r="N1539" s="22" t="str">
        <f aca="false">IF($B1539="","",IFERROR(INDEX(고객사!$J$5:$J$104,MATCH($B1539,고객사!$A$5:$A$104,0)),0))</f>
        <v/>
      </c>
      <c r="O1539" s="22" t="str">
        <f aca="false">IF($B1539="","",G1539*N1539)</f>
        <v/>
      </c>
      <c r="P1539" s="22" t="str">
        <f aca="false">IF($B1539="","",IFERROR(INDEX(고객사!$K$5:$K$104,MATCH($B1539,고객사!$A$5:$A$104,0)),0))</f>
        <v/>
      </c>
      <c r="Q1539" s="22" t="str">
        <f aca="false">IF($B1539="","",G1539*P1539)</f>
        <v/>
      </c>
      <c r="R1539" s="22" t="str">
        <f aca="false">IF($B1539="","",O1539-Q1539-L1539)</f>
        <v/>
      </c>
      <c r="S1539" s="21" t="str">
        <f aca="false">IF(OR($B1539="",N(O1539)=0),"",R1539/O1539)</f>
        <v/>
      </c>
      <c r="T1539" s="14"/>
      <c r="U1539" s="19" t="n">
        <f aca="false">IF(OR($B1539="",$A1539=""),0,IF(COUNTIFS($A$5:$A1539,$A1539,$B$5:$B1539,$B1539)=1,1,0))</f>
        <v>0</v>
      </c>
    </row>
    <row r="1540" customFormat="false" ht="15" hidden="false" customHeight="false" outlineLevel="0" collapsed="false">
      <c r="A1540" s="17"/>
      <c r="B1540" s="13"/>
      <c r="C1540" s="20" t="str">
        <f aca="false">IF($B1540="","",IFERROR(INDEX(고객사!$B$5:$B$104,MATCH($B1540,고객사!$A$5:$A$104,0)),"코드 확인"))</f>
        <v/>
      </c>
      <c r="D1540" s="15"/>
      <c r="E1540" s="15"/>
      <c r="F1540" s="16"/>
      <c r="G1540" s="16"/>
      <c r="H1540" s="21" t="str">
        <f aca="false">IF(OR($B1540="",F1540=0),"",G1540/F1540)</f>
        <v/>
      </c>
      <c r="I1540" s="22" t="str">
        <f aca="false">IF($B1540="","",MAX(F1540-G1540,0))</f>
        <v/>
      </c>
      <c r="J1540" s="23" t="str">
        <f aca="false">IF($B1540="","",IFERROR(INDEX(고객사!$G$5:$G$104,MATCH($B1540,고객사!$A$5:$A$104,0)),""))</f>
        <v/>
      </c>
      <c r="K1540" s="16"/>
      <c r="L1540" s="22" t="str">
        <f aca="false">IF($B1540="","",K1540*IFERROR(INDEX(고객사!$L$5:$L$104,MATCH($B1540,고객사!$A$5:$A$104,0)),0))</f>
        <v/>
      </c>
      <c r="M1540" s="23" t="str">
        <f aca="false">IF($B1540="","",IF(AND(J1540="N",G1540&gt;0,K1540=0,IFERROR(INDEX(고객사!$H$5:$H$104,MATCH($B1540,고객사!$A$5:$A$104,0)),"")="자사 차량 운행"),"차량 미배정",""))</f>
        <v/>
      </c>
      <c r="N1540" s="22" t="str">
        <f aca="false">IF($B1540="","",IFERROR(INDEX(고객사!$J$5:$J$104,MATCH($B1540,고객사!$A$5:$A$104,0)),0))</f>
        <v/>
      </c>
      <c r="O1540" s="22" t="str">
        <f aca="false">IF($B1540="","",G1540*N1540)</f>
        <v/>
      </c>
      <c r="P1540" s="22" t="str">
        <f aca="false">IF($B1540="","",IFERROR(INDEX(고객사!$K$5:$K$104,MATCH($B1540,고객사!$A$5:$A$104,0)),0))</f>
        <v/>
      </c>
      <c r="Q1540" s="22" t="str">
        <f aca="false">IF($B1540="","",G1540*P1540)</f>
        <v/>
      </c>
      <c r="R1540" s="22" t="str">
        <f aca="false">IF($B1540="","",O1540-Q1540-L1540)</f>
        <v/>
      </c>
      <c r="S1540" s="21" t="str">
        <f aca="false">IF(OR($B1540="",N(O1540)=0),"",R1540/O1540)</f>
        <v/>
      </c>
      <c r="T1540" s="14"/>
      <c r="U1540" s="19" t="n">
        <f aca="false">IF(OR($B1540="",$A1540=""),0,IF(COUNTIFS($A$5:$A1540,$A1540,$B$5:$B1540,$B1540)=1,1,0))</f>
        <v>0</v>
      </c>
    </row>
    <row r="1541" customFormat="false" ht="15" hidden="false" customHeight="false" outlineLevel="0" collapsed="false">
      <c r="A1541" s="17"/>
      <c r="B1541" s="13"/>
      <c r="C1541" s="20" t="str">
        <f aca="false">IF($B1541="","",IFERROR(INDEX(고객사!$B$5:$B$104,MATCH($B1541,고객사!$A$5:$A$104,0)),"코드 확인"))</f>
        <v/>
      </c>
      <c r="D1541" s="15"/>
      <c r="E1541" s="15"/>
      <c r="F1541" s="16"/>
      <c r="G1541" s="16"/>
      <c r="H1541" s="21" t="str">
        <f aca="false">IF(OR($B1541="",F1541=0),"",G1541/F1541)</f>
        <v/>
      </c>
      <c r="I1541" s="22" t="str">
        <f aca="false">IF($B1541="","",MAX(F1541-G1541,0))</f>
        <v/>
      </c>
      <c r="J1541" s="23" t="str">
        <f aca="false">IF($B1541="","",IFERROR(INDEX(고객사!$G$5:$G$104,MATCH($B1541,고객사!$A$5:$A$104,0)),""))</f>
        <v/>
      </c>
      <c r="K1541" s="16"/>
      <c r="L1541" s="22" t="str">
        <f aca="false">IF($B1541="","",K1541*IFERROR(INDEX(고객사!$L$5:$L$104,MATCH($B1541,고객사!$A$5:$A$104,0)),0))</f>
        <v/>
      </c>
      <c r="M1541" s="23" t="str">
        <f aca="false">IF($B1541="","",IF(AND(J1541="N",G1541&gt;0,K1541=0,IFERROR(INDEX(고객사!$H$5:$H$104,MATCH($B1541,고객사!$A$5:$A$104,0)),"")="자사 차량 운행"),"차량 미배정",""))</f>
        <v/>
      </c>
      <c r="N1541" s="22" t="str">
        <f aca="false">IF($B1541="","",IFERROR(INDEX(고객사!$J$5:$J$104,MATCH($B1541,고객사!$A$5:$A$104,0)),0))</f>
        <v/>
      </c>
      <c r="O1541" s="22" t="str">
        <f aca="false">IF($B1541="","",G1541*N1541)</f>
        <v/>
      </c>
      <c r="P1541" s="22" t="str">
        <f aca="false">IF($B1541="","",IFERROR(INDEX(고객사!$K$5:$K$104,MATCH($B1541,고객사!$A$5:$A$104,0)),0))</f>
        <v/>
      </c>
      <c r="Q1541" s="22" t="str">
        <f aca="false">IF($B1541="","",G1541*P1541)</f>
        <v/>
      </c>
      <c r="R1541" s="22" t="str">
        <f aca="false">IF($B1541="","",O1541-Q1541-L1541)</f>
        <v/>
      </c>
      <c r="S1541" s="21" t="str">
        <f aca="false">IF(OR($B1541="",N(O1541)=0),"",R1541/O1541)</f>
        <v/>
      </c>
      <c r="T1541" s="14"/>
      <c r="U1541" s="19" t="n">
        <f aca="false">IF(OR($B1541="",$A1541=""),0,IF(COUNTIFS($A$5:$A1541,$A1541,$B$5:$B1541,$B1541)=1,1,0))</f>
        <v>0</v>
      </c>
    </row>
    <row r="1542" customFormat="false" ht="15" hidden="false" customHeight="false" outlineLevel="0" collapsed="false">
      <c r="A1542" s="17"/>
      <c r="B1542" s="13"/>
      <c r="C1542" s="20" t="str">
        <f aca="false">IF($B1542="","",IFERROR(INDEX(고객사!$B$5:$B$104,MATCH($B1542,고객사!$A$5:$A$104,0)),"코드 확인"))</f>
        <v/>
      </c>
      <c r="D1542" s="15"/>
      <c r="E1542" s="15"/>
      <c r="F1542" s="16"/>
      <c r="G1542" s="16"/>
      <c r="H1542" s="21" t="str">
        <f aca="false">IF(OR($B1542="",F1542=0),"",G1542/F1542)</f>
        <v/>
      </c>
      <c r="I1542" s="22" t="str">
        <f aca="false">IF($B1542="","",MAX(F1542-G1542,0))</f>
        <v/>
      </c>
      <c r="J1542" s="23" t="str">
        <f aca="false">IF($B1542="","",IFERROR(INDEX(고객사!$G$5:$G$104,MATCH($B1542,고객사!$A$5:$A$104,0)),""))</f>
        <v/>
      </c>
      <c r="K1542" s="16"/>
      <c r="L1542" s="22" t="str">
        <f aca="false">IF($B1542="","",K1542*IFERROR(INDEX(고객사!$L$5:$L$104,MATCH($B1542,고객사!$A$5:$A$104,0)),0))</f>
        <v/>
      </c>
      <c r="M1542" s="23" t="str">
        <f aca="false">IF($B1542="","",IF(AND(J1542="N",G1542&gt;0,K1542=0,IFERROR(INDEX(고객사!$H$5:$H$104,MATCH($B1542,고객사!$A$5:$A$104,0)),"")="자사 차량 운행"),"차량 미배정",""))</f>
        <v/>
      </c>
      <c r="N1542" s="22" t="str">
        <f aca="false">IF($B1542="","",IFERROR(INDEX(고객사!$J$5:$J$104,MATCH($B1542,고객사!$A$5:$A$104,0)),0))</f>
        <v/>
      </c>
      <c r="O1542" s="22" t="str">
        <f aca="false">IF($B1542="","",G1542*N1542)</f>
        <v/>
      </c>
      <c r="P1542" s="22" t="str">
        <f aca="false">IF($B1542="","",IFERROR(INDEX(고객사!$K$5:$K$104,MATCH($B1542,고객사!$A$5:$A$104,0)),0))</f>
        <v/>
      </c>
      <c r="Q1542" s="22" t="str">
        <f aca="false">IF($B1542="","",G1542*P1542)</f>
        <v/>
      </c>
      <c r="R1542" s="22" t="str">
        <f aca="false">IF($B1542="","",O1542-Q1542-L1542)</f>
        <v/>
      </c>
      <c r="S1542" s="21" t="str">
        <f aca="false">IF(OR($B1542="",N(O1542)=0),"",R1542/O1542)</f>
        <v/>
      </c>
      <c r="T1542" s="14"/>
      <c r="U1542" s="19" t="n">
        <f aca="false">IF(OR($B1542="",$A1542=""),0,IF(COUNTIFS($A$5:$A1542,$A1542,$B$5:$B1542,$B1542)=1,1,0))</f>
        <v>0</v>
      </c>
    </row>
    <row r="1543" customFormat="false" ht="15" hidden="false" customHeight="false" outlineLevel="0" collapsed="false">
      <c r="A1543" s="17"/>
      <c r="B1543" s="13"/>
      <c r="C1543" s="20" t="str">
        <f aca="false">IF($B1543="","",IFERROR(INDEX(고객사!$B$5:$B$104,MATCH($B1543,고객사!$A$5:$A$104,0)),"코드 확인"))</f>
        <v/>
      </c>
      <c r="D1543" s="15"/>
      <c r="E1543" s="15"/>
      <c r="F1543" s="16"/>
      <c r="G1543" s="16"/>
      <c r="H1543" s="21" t="str">
        <f aca="false">IF(OR($B1543="",F1543=0),"",G1543/F1543)</f>
        <v/>
      </c>
      <c r="I1543" s="22" t="str">
        <f aca="false">IF($B1543="","",MAX(F1543-G1543,0))</f>
        <v/>
      </c>
      <c r="J1543" s="23" t="str">
        <f aca="false">IF($B1543="","",IFERROR(INDEX(고객사!$G$5:$G$104,MATCH($B1543,고객사!$A$5:$A$104,0)),""))</f>
        <v/>
      </c>
      <c r="K1543" s="16"/>
      <c r="L1543" s="22" t="str">
        <f aca="false">IF($B1543="","",K1543*IFERROR(INDEX(고객사!$L$5:$L$104,MATCH($B1543,고객사!$A$5:$A$104,0)),0))</f>
        <v/>
      </c>
      <c r="M1543" s="23" t="str">
        <f aca="false">IF($B1543="","",IF(AND(J1543="N",G1543&gt;0,K1543=0,IFERROR(INDEX(고객사!$H$5:$H$104,MATCH($B1543,고객사!$A$5:$A$104,0)),"")="자사 차량 운행"),"차량 미배정",""))</f>
        <v/>
      </c>
      <c r="N1543" s="22" t="str">
        <f aca="false">IF($B1543="","",IFERROR(INDEX(고객사!$J$5:$J$104,MATCH($B1543,고객사!$A$5:$A$104,0)),0))</f>
        <v/>
      </c>
      <c r="O1543" s="22" t="str">
        <f aca="false">IF($B1543="","",G1543*N1543)</f>
        <v/>
      </c>
      <c r="P1543" s="22" t="str">
        <f aca="false">IF($B1543="","",IFERROR(INDEX(고객사!$K$5:$K$104,MATCH($B1543,고객사!$A$5:$A$104,0)),0))</f>
        <v/>
      </c>
      <c r="Q1543" s="22" t="str">
        <f aca="false">IF($B1543="","",G1543*P1543)</f>
        <v/>
      </c>
      <c r="R1543" s="22" t="str">
        <f aca="false">IF($B1543="","",O1543-Q1543-L1543)</f>
        <v/>
      </c>
      <c r="S1543" s="21" t="str">
        <f aca="false">IF(OR($B1543="",N(O1543)=0),"",R1543/O1543)</f>
        <v/>
      </c>
      <c r="T1543" s="14"/>
      <c r="U1543" s="19" t="n">
        <f aca="false">IF(OR($B1543="",$A1543=""),0,IF(COUNTIFS($A$5:$A1543,$A1543,$B$5:$B1543,$B1543)=1,1,0))</f>
        <v>0</v>
      </c>
    </row>
    <row r="1544" customFormat="false" ht="15" hidden="false" customHeight="false" outlineLevel="0" collapsed="false">
      <c r="A1544" s="17"/>
      <c r="B1544" s="13"/>
      <c r="C1544" s="20" t="str">
        <f aca="false">IF($B1544="","",IFERROR(INDEX(고객사!$B$5:$B$104,MATCH($B1544,고객사!$A$5:$A$104,0)),"코드 확인"))</f>
        <v/>
      </c>
      <c r="D1544" s="15"/>
      <c r="E1544" s="15"/>
      <c r="F1544" s="16"/>
      <c r="G1544" s="16"/>
      <c r="H1544" s="21" t="str">
        <f aca="false">IF(OR($B1544="",F1544=0),"",G1544/F1544)</f>
        <v/>
      </c>
      <c r="I1544" s="22" t="str">
        <f aca="false">IF($B1544="","",MAX(F1544-G1544,0))</f>
        <v/>
      </c>
      <c r="J1544" s="23" t="str">
        <f aca="false">IF($B1544="","",IFERROR(INDEX(고객사!$G$5:$G$104,MATCH($B1544,고객사!$A$5:$A$104,0)),""))</f>
        <v/>
      </c>
      <c r="K1544" s="16"/>
      <c r="L1544" s="22" t="str">
        <f aca="false">IF($B1544="","",K1544*IFERROR(INDEX(고객사!$L$5:$L$104,MATCH($B1544,고객사!$A$5:$A$104,0)),0))</f>
        <v/>
      </c>
      <c r="M1544" s="23" t="str">
        <f aca="false">IF($B1544="","",IF(AND(J1544="N",G1544&gt;0,K1544=0,IFERROR(INDEX(고객사!$H$5:$H$104,MATCH($B1544,고객사!$A$5:$A$104,0)),"")="자사 차량 운행"),"차량 미배정",""))</f>
        <v/>
      </c>
      <c r="N1544" s="22" t="str">
        <f aca="false">IF($B1544="","",IFERROR(INDEX(고객사!$J$5:$J$104,MATCH($B1544,고객사!$A$5:$A$104,0)),0))</f>
        <v/>
      </c>
      <c r="O1544" s="22" t="str">
        <f aca="false">IF($B1544="","",G1544*N1544)</f>
        <v/>
      </c>
      <c r="P1544" s="22" t="str">
        <f aca="false">IF($B1544="","",IFERROR(INDEX(고객사!$K$5:$K$104,MATCH($B1544,고객사!$A$5:$A$104,0)),0))</f>
        <v/>
      </c>
      <c r="Q1544" s="22" t="str">
        <f aca="false">IF($B1544="","",G1544*P1544)</f>
        <v/>
      </c>
      <c r="R1544" s="22" t="str">
        <f aca="false">IF($B1544="","",O1544-Q1544-L1544)</f>
        <v/>
      </c>
      <c r="S1544" s="21" t="str">
        <f aca="false">IF(OR($B1544="",N(O1544)=0),"",R1544/O1544)</f>
        <v/>
      </c>
      <c r="T1544" s="14"/>
      <c r="U1544" s="19" t="n">
        <f aca="false">IF(OR($B1544="",$A1544=""),0,IF(COUNTIFS($A$5:$A1544,$A1544,$B$5:$B1544,$B1544)=1,1,0))</f>
        <v>0</v>
      </c>
    </row>
    <row r="1545" customFormat="false" ht="15" hidden="false" customHeight="false" outlineLevel="0" collapsed="false">
      <c r="A1545" s="17"/>
      <c r="B1545" s="13"/>
      <c r="C1545" s="20" t="str">
        <f aca="false">IF($B1545="","",IFERROR(INDEX(고객사!$B$5:$B$104,MATCH($B1545,고객사!$A$5:$A$104,0)),"코드 확인"))</f>
        <v/>
      </c>
      <c r="D1545" s="15"/>
      <c r="E1545" s="15"/>
      <c r="F1545" s="16"/>
      <c r="G1545" s="16"/>
      <c r="H1545" s="21" t="str">
        <f aca="false">IF(OR($B1545="",F1545=0),"",G1545/F1545)</f>
        <v/>
      </c>
      <c r="I1545" s="22" t="str">
        <f aca="false">IF($B1545="","",MAX(F1545-G1545,0))</f>
        <v/>
      </c>
      <c r="J1545" s="23" t="str">
        <f aca="false">IF($B1545="","",IFERROR(INDEX(고객사!$G$5:$G$104,MATCH($B1545,고객사!$A$5:$A$104,0)),""))</f>
        <v/>
      </c>
      <c r="K1545" s="16"/>
      <c r="L1545" s="22" t="str">
        <f aca="false">IF($B1545="","",K1545*IFERROR(INDEX(고객사!$L$5:$L$104,MATCH($B1545,고객사!$A$5:$A$104,0)),0))</f>
        <v/>
      </c>
      <c r="M1545" s="23" t="str">
        <f aca="false">IF($B1545="","",IF(AND(J1545="N",G1545&gt;0,K1545=0,IFERROR(INDEX(고객사!$H$5:$H$104,MATCH($B1545,고객사!$A$5:$A$104,0)),"")="자사 차량 운행"),"차량 미배정",""))</f>
        <v/>
      </c>
      <c r="N1545" s="22" t="str">
        <f aca="false">IF($B1545="","",IFERROR(INDEX(고객사!$J$5:$J$104,MATCH($B1545,고객사!$A$5:$A$104,0)),0))</f>
        <v/>
      </c>
      <c r="O1545" s="22" t="str">
        <f aca="false">IF($B1545="","",G1545*N1545)</f>
        <v/>
      </c>
      <c r="P1545" s="22" t="str">
        <f aca="false">IF($B1545="","",IFERROR(INDEX(고객사!$K$5:$K$104,MATCH($B1545,고객사!$A$5:$A$104,0)),0))</f>
        <v/>
      </c>
      <c r="Q1545" s="22" t="str">
        <f aca="false">IF($B1545="","",G1545*P1545)</f>
        <v/>
      </c>
      <c r="R1545" s="22" t="str">
        <f aca="false">IF($B1545="","",O1545-Q1545-L1545)</f>
        <v/>
      </c>
      <c r="S1545" s="21" t="str">
        <f aca="false">IF(OR($B1545="",N(O1545)=0),"",R1545/O1545)</f>
        <v/>
      </c>
      <c r="T1545" s="14"/>
      <c r="U1545" s="19" t="n">
        <f aca="false">IF(OR($B1545="",$A1545=""),0,IF(COUNTIFS($A$5:$A1545,$A1545,$B$5:$B1545,$B1545)=1,1,0))</f>
        <v>0</v>
      </c>
    </row>
    <row r="1546" customFormat="false" ht="15" hidden="false" customHeight="false" outlineLevel="0" collapsed="false">
      <c r="A1546" s="17"/>
      <c r="B1546" s="13"/>
      <c r="C1546" s="20" t="str">
        <f aca="false">IF($B1546="","",IFERROR(INDEX(고객사!$B$5:$B$104,MATCH($B1546,고객사!$A$5:$A$104,0)),"코드 확인"))</f>
        <v/>
      </c>
      <c r="D1546" s="15"/>
      <c r="E1546" s="15"/>
      <c r="F1546" s="16"/>
      <c r="G1546" s="16"/>
      <c r="H1546" s="21" t="str">
        <f aca="false">IF(OR($B1546="",F1546=0),"",G1546/F1546)</f>
        <v/>
      </c>
      <c r="I1546" s="22" t="str">
        <f aca="false">IF($B1546="","",MAX(F1546-G1546,0))</f>
        <v/>
      </c>
      <c r="J1546" s="23" t="str">
        <f aca="false">IF($B1546="","",IFERROR(INDEX(고객사!$G$5:$G$104,MATCH($B1546,고객사!$A$5:$A$104,0)),""))</f>
        <v/>
      </c>
      <c r="K1546" s="16"/>
      <c r="L1546" s="22" t="str">
        <f aca="false">IF($B1546="","",K1546*IFERROR(INDEX(고객사!$L$5:$L$104,MATCH($B1546,고객사!$A$5:$A$104,0)),0))</f>
        <v/>
      </c>
      <c r="M1546" s="23" t="str">
        <f aca="false">IF($B1546="","",IF(AND(J1546="N",G1546&gt;0,K1546=0,IFERROR(INDEX(고객사!$H$5:$H$104,MATCH($B1546,고객사!$A$5:$A$104,0)),"")="자사 차량 운행"),"차량 미배정",""))</f>
        <v/>
      </c>
      <c r="N1546" s="22" t="str">
        <f aca="false">IF($B1546="","",IFERROR(INDEX(고객사!$J$5:$J$104,MATCH($B1546,고객사!$A$5:$A$104,0)),0))</f>
        <v/>
      </c>
      <c r="O1546" s="22" t="str">
        <f aca="false">IF($B1546="","",G1546*N1546)</f>
        <v/>
      </c>
      <c r="P1546" s="22" t="str">
        <f aca="false">IF($B1546="","",IFERROR(INDEX(고객사!$K$5:$K$104,MATCH($B1546,고객사!$A$5:$A$104,0)),0))</f>
        <v/>
      </c>
      <c r="Q1546" s="22" t="str">
        <f aca="false">IF($B1546="","",G1546*P1546)</f>
        <v/>
      </c>
      <c r="R1546" s="22" t="str">
        <f aca="false">IF($B1546="","",O1546-Q1546-L1546)</f>
        <v/>
      </c>
      <c r="S1546" s="21" t="str">
        <f aca="false">IF(OR($B1546="",N(O1546)=0),"",R1546/O1546)</f>
        <v/>
      </c>
      <c r="T1546" s="14"/>
      <c r="U1546" s="19" t="n">
        <f aca="false">IF(OR($B1546="",$A1546=""),0,IF(COUNTIFS($A$5:$A1546,$A1546,$B$5:$B1546,$B1546)=1,1,0))</f>
        <v>0</v>
      </c>
    </row>
    <row r="1547" customFormat="false" ht="15" hidden="false" customHeight="false" outlineLevel="0" collapsed="false">
      <c r="A1547" s="17"/>
      <c r="B1547" s="13"/>
      <c r="C1547" s="20" t="str">
        <f aca="false">IF($B1547="","",IFERROR(INDEX(고객사!$B$5:$B$104,MATCH($B1547,고객사!$A$5:$A$104,0)),"코드 확인"))</f>
        <v/>
      </c>
      <c r="D1547" s="15"/>
      <c r="E1547" s="15"/>
      <c r="F1547" s="16"/>
      <c r="G1547" s="16"/>
      <c r="H1547" s="21" t="str">
        <f aca="false">IF(OR($B1547="",F1547=0),"",G1547/F1547)</f>
        <v/>
      </c>
      <c r="I1547" s="22" t="str">
        <f aca="false">IF($B1547="","",MAX(F1547-G1547,0))</f>
        <v/>
      </c>
      <c r="J1547" s="23" t="str">
        <f aca="false">IF($B1547="","",IFERROR(INDEX(고객사!$G$5:$G$104,MATCH($B1547,고객사!$A$5:$A$104,0)),""))</f>
        <v/>
      </c>
      <c r="K1547" s="16"/>
      <c r="L1547" s="22" t="str">
        <f aca="false">IF($B1547="","",K1547*IFERROR(INDEX(고객사!$L$5:$L$104,MATCH($B1547,고객사!$A$5:$A$104,0)),0))</f>
        <v/>
      </c>
      <c r="M1547" s="23" t="str">
        <f aca="false">IF($B1547="","",IF(AND(J1547="N",G1547&gt;0,K1547=0,IFERROR(INDEX(고객사!$H$5:$H$104,MATCH($B1547,고객사!$A$5:$A$104,0)),"")="자사 차량 운행"),"차량 미배정",""))</f>
        <v/>
      </c>
      <c r="N1547" s="22" t="str">
        <f aca="false">IF($B1547="","",IFERROR(INDEX(고객사!$J$5:$J$104,MATCH($B1547,고객사!$A$5:$A$104,0)),0))</f>
        <v/>
      </c>
      <c r="O1547" s="22" t="str">
        <f aca="false">IF($B1547="","",G1547*N1547)</f>
        <v/>
      </c>
      <c r="P1547" s="22" t="str">
        <f aca="false">IF($B1547="","",IFERROR(INDEX(고객사!$K$5:$K$104,MATCH($B1547,고객사!$A$5:$A$104,0)),0))</f>
        <v/>
      </c>
      <c r="Q1547" s="22" t="str">
        <f aca="false">IF($B1547="","",G1547*P1547)</f>
        <v/>
      </c>
      <c r="R1547" s="22" t="str">
        <f aca="false">IF($B1547="","",O1547-Q1547-L1547)</f>
        <v/>
      </c>
      <c r="S1547" s="21" t="str">
        <f aca="false">IF(OR($B1547="",N(O1547)=0),"",R1547/O1547)</f>
        <v/>
      </c>
      <c r="T1547" s="14"/>
      <c r="U1547" s="19" t="n">
        <f aca="false">IF(OR($B1547="",$A1547=""),0,IF(COUNTIFS($A$5:$A1547,$A1547,$B$5:$B1547,$B1547)=1,1,0))</f>
        <v>0</v>
      </c>
    </row>
    <row r="1548" customFormat="false" ht="15" hidden="false" customHeight="false" outlineLevel="0" collapsed="false">
      <c r="A1548" s="17"/>
      <c r="B1548" s="13"/>
      <c r="C1548" s="20" t="str">
        <f aca="false">IF($B1548="","",IFERROR(INDEX(고객사!$B$5:$B$104,MATCH($B1548,고객사!$A$5:$A$104,0)),"코드 확인"))</f>
        <v/>
      </c>
      <c r="D1548" s="15"/>
      <c r="E1548" s="15"/>
      <c r="F1548" s="16"/>
      <c r="G1548" s="16"/>
      <c r="H1548" s="21" t="str">
        <f aca="false">IF(OR($B1548="",F1548=0),"",G1548/F1548)</f>
        <v/>
      </c>
      <c r="I1548" s="22" t="str">
        <f aca="false">IF($B1548="","",MAX(F1548-G1548,0))</f>
        <v/>
      </c>
      <c r="J1548" s="23" t="str">
        <f aca="false">IF($B1548="","",IFERROR(INDEX(고객사!$G$5:$G$104,MATCH($B1548,고객사!$A$5:$A$104,0)),""))</f>
        <v/>
      </c>
      <c r="K1548" s="16"/>
      <c r="L1548" s="22" t="str">
        <f aca="false">IF($B1548="","",K1548*IFERROR(INDEX(고객사!$L$5:$L$104,MATCH($B1548,고객사!$A$5:$A$104,0)),0))</f>
        <v/>
      </c>
      <c r="M1548" s="23" t="str">
        <f aca="false">IF($B1548="","",IF(AND(J1548="N",G1548&gt;0,K1548=0,IFERROR(INDEX(고객사!$H$5:$H$104,MATCH($B1548,고객사!$A$5:$A$104,0)),"")="자사 차량 운행"),"차량 미배정",""))</f>
        <v/>
      </c>
      <c r="N1548" s="22" t="str">
        <f aca="false">IF($B1548="","",IFERROR(INDEX(고객사!$J$5:$J$104,MATCH($B1548,고객사!$A$5:$A$104,0)),0))</f>
        <v/>
      </c>
      <c r="O1548" s="22" t="str">
        <f aca="false">IF($B1548="","",G1548*N1548)</f>
        <v/>
      </c>
      <c r="P1548" s="22" t="str">
        <f aca="false">IF($B1548="","",IFERROR(INDEX(고객사!$K$5:$K$104,MATCH($B1548,고객사!$A$5:$A$104,0)),0))</f>
        <v/>
      </c>
      <c r="Q1548" s="22" t="str">
        <f aca="false">IF($B1548="","",G1548*P1548)</f>
        <v/>
      </c>
      <c r="R1548" s="22" t="str">
        <f aca="false">IF($B1548="","",O1548-Q1548-L1548)</f>
        <v/>
      </c>
      <c r="S1548" s="21" t="str">
        <f aca="false">IF(OR($B1548="",N(O1548)=0),"",R1548/O1548)</f>
        <v/>
      </c>
      <c r="T1548" s="14"/>
      <c r="U1548" s="19" t="n">
        <f aca="false">IF(OR($B1548="",$A1548=""),0,IF(COUNTIFS($A$5:$A1548,$A1548,$B$5:$B1548,$B1548)=1,1,0))</f>
        <v>0</v>
      </c>
    </row>
    <row r="1549" customFormat="false" ht="15" hidden="false" customHeight="false" outlineLevel="0" collapsed="false">
      <c r="A1549" s="17"/>
      <c r="B1549" s="13"/>
      <c r="C1549" s="20" t="str">
        <f aca="false">IF($B1549="","",IFERROR(INDEX(고객사!$B$5:$B$104,MATCH($B1549,고객사!$A$5:$A$104,0)),"코드 확인"))</f>
        <v/>
      </c>
      <c r="D1549" s="15"/>
      <c r="E1549" s="15"/>
      <c r="F1549" s="16"/>
      <c r="G1549" s="16"/>
      <c r="H1549" s="21" t="str">
        <f aca="false">IF(OR($B1549="",F1549=0),"",G1549/F1549)</f>
        <v/>
      </c>
      <c r="I1549" s="22" t="str">
        <f aca="false">IF($B1549="","",MAX(F1549-G1549,0))</f>
        <v/>
      </c>
      <c r="J1549" s="23" t="str">
        <f aca="false">IF($B1549="","",IFERROR(INDEX(고객사!$G$5:$G$104,MATCH($B1549,고객사!$A$5:$A$104,0)),""))</f>
        <v/>
      </c>
      <c r="K1549" s="16"/>
      <c r="L1549" s="22" t="str">
        <f aca="false">IF($B1549="","",K1549*IFERROR(INDEX(고객사!$L$5:$L$104,MATCH($B1549,고객사!$A$5:$A$104,0)),0))</f>
        <v/>
      </c>
      <c r="M1549" s="23" t="str">
        <f aca="false">IF($B1549="","",IF(AND(J1549="N",G1549&gt;0,K1549=0,IFERROR(INDEX(고객사!$H$5:$H$104,MATCH($B1549,고객사!$A$5:$A$104,0)),"")="자사 차량 운행"),"차량 미배정",""))</f>
        <v/>
      </c>
      <c r="N1549" s="22" t="str">
        <f aca="false">IF($B1549="","",IFERROR(INDEX(고객사!$J$5:$J$104,MATCH($B1549,고객사!$A$5:$A$104,0)),0))</f>
        <v/>
      </c>
      <c r="O1549" s="22" t="str">
        <f aca="false">IF($B1549="","",G1549*N1549)</f>
        <v/>
      </c>
      <c r="P1549" s="22" t="str">
        <f aca="false">IF($B1549="","",IFERROR(INDEX(고객사!$K$5:$K$104,MATCH($B1549,고객사!$A$5:$A$104,0)),0))</f>
        <v/>
      </c>
      <c r="Q1549" s="22" t="str">
        <f aca="false">IF($B1549="","",G1549*P1549)</f>
        <v/>
      </c>
      <c r="R1549" s="22" t="str">
        <f aca="false">IF($B1549="","",O1549-Q1549-L1549)</f>
        <v/>
      </c>
      <c r="S1549" s="21" t="str">
        <f aca="false">IF(OR($B1549="",N(O1549)=0),"",R1549/O1549)</f>
        <v/>
      </c>
      <c r="T1549" s="14"/>
      <c r="U1549" s="19" t="n">
        <f aca="false">IF(OR($B1549="",$A1549=""),0,IF(COUNTIFS($A$5:$A1549,$A1549,$B$5:$B1549,$B1549)=1,1,0))</f>
        <v>0</v>
      </c>
    </row>
    <row r="1550" customFormat="false" ht="15" hidden="false" customHeight="false" outlineLevel="0" collapsed="false">
      <c r="A1550" s="17"/>
      <c r="B1550" s="13"/>
      <c r="C1550" s="20" t="str">
        <f aca="false">IF($B1550="","",IFERROR(INDEX(고객사!$B$5:$B$104,MATCH($B1550,고객사!$A$5:$A$104,0)),"코드 확인"))</f>
        <v/>
      </c>
      <c r="D1550" s="15"/>
      <c r="E1550" s="15"/>
      <c r="F1550" s="16"/>
      <c r="G1550" s="16"/>
      <c r="H1550" s="21" t="str">
        <f aca="false">IF(OR($B1550="",F1550=0),"",G1550/F1550)</f>
        <v/>
      </c>
      <c r="I1550" s="22" t="str">
        <f aca="false">IF($B1550="","",MAX(F1550-G1550,0))</f>
        <v/>
      </c>
      <c r="J1550" s="23" t="str">
        <f aca="false">IF($B1550="","",IFERROR(INDEX(고객사!$G$5:$G$104,MATCH($B1550,고객사!$A$5:$A$104,0)),""))</f>
        <v/>
      </c>
      <c r="K1550" s="16"/>
      <c r="L1550" s="22" t="str">
        <f aca="false">IF($B1550="","",K1550*IFERROR(INDEX(고객사!$L$5:$L$104,MATCH($B1550,고객사!$A$5:$A$104,0)),0))</f>
        <v/>
      </c>
      <c r="M1550" s="23" t="str">
        <f aca="false">IF($B1550="","",IF(AND(J1550="N",G1550&gt;0,K1550=0,IFERROR(INDEX(고객사!$H$5:$H$104,MATCH($B1550,고객사!$A$5:$A$104,0)),"")="자사 차량 운행"),"차량 미배정",""))</f>
        <v/>
      </c>
      <c r="N1550" s="22" t="str">
        <f aca="false">IF($B1550="","",IFERROR(INDEX(고객사!$J$5:$J$104,MATCH($B1550,고객사!$A$5:$A$104,0)),0))</f>
        <v/>
      </c>
      <c r="O1550" s="22" t="str">
        <f aca="false">IF($B1550="","",G1550*N1550)</f>
        <v/>
      </c>
      <c r="P1550" s="22" t="str">
        <f aca="false">IF($B1550="","",IFERROR(INDEX(고객사!$K$5:$K$104,MATCH($B1550,고객사!$A$5:$A$104,0)),0))</f>
        <v/>
      </c>
      <c r="Q1550" s="22" t="str">
        <f aca="false">IF($B1550="","",G1550*P1550)</f>
        <v/>
      </c>
      <c r="R1550" s="22" t="str">
        <f aca="false">IF($B1550="","",O1550-Q1550-L1550)</f>
        <v/>
      </c>
      <c r="S1550" s="21" t="str">
        <f aca="false">IF(OR($B1550="",N(O1550)=0),"",R1550/O1550)</f>
        <v/>
      </c>
      <c r="T1550" s="14"/>
      <c r="U1550" s="19" t="n">
        <f aca="false">IF(OR($B1550="",$A1550=""),0,IF(COUNTIFS($A$5:$A1550,$A1550,$B$5:$B1550,$B1550)=1,1,0))</f>
        <v>0</v>
      </c>
    </row>
    <row r="1551" customFormat="false" ht="15" hidden="false" customHeight="false" outlineLevel="0" collapsed="false">
      <c r="A1551" s="17"/>
      <c r="B1551" s="13"/>
      <c r="C1551" s="20" t="str">
        <f aca="false">IF($B1551="","",IFERROR(INDEX(고객사!$B$5:$B$104,MATCH($B1551,고객사!$A$5:$A$104,0)),"코드 확인"))</f>
        <v/>
      </c>
      <c r="D1551" s="15"/>
      <c r="E1551" s="15"/>
      <c r="F1551" s="16"/>
      <c r="G1551" s="16"/>
      <c r="H1551" s="21" t="str">
        <f aca="false">IF(OR($B1551="",F1551=0),"",G1551/F1551)</f>
        <v/>
      </c>
      <c r="I1551" s="22" t="str">
        <f aca="false">IF($B1551="","",MAX(F1551-G1551,0))</f>
        <v/>
      </c>
      <c r="J1551" s="23" t="str">
        <f aca="false">IF($B1551="","",IFERROR(INDEX(고객사!$G$5:$G$104,MATCH($B1551,고객사!$A$5:$A$104,0)),""))</f>
        <v/>
      </c>
      <c r="K1551" s="16"/>
      <c r="L1551" s="22" t="str">
        <f aca="false">IF($B1551="","",K1551*IFERROR(INDEX(고객사!$L$5:$L$104,MATCH($B1551,고객사!$A$5:$A$104,0)),0))</f>
        <v/>
      </c>
      <c r="M1551" s="23" t="str">
        <f aca="false">IF($B1551="","",IF(AND(J1551="N",G1551&gt;0,K1551=0,IFERROR(INDEX(고객사!$H$5:$H$104,MATCH($B1551,고객사!$A$5:$A$104,0)),"")="자사 차량 운행"),"차량 미배정",""))</f>
        <v/>
      </c>
      <c r="N1551" s="22" t="str">
        <f aca="false">IF($B1551="","",IFERROR(INDEX(고객사!$J$5:$J$104,MATCH($B1551,고객사!$A$5:$A$104,0)),0))</f>
        <v/>
      </c>
      <c r="O1551" s="22" t="str">
        <f aca="false">IF($B1551="","",G1551*N1551)</f>
        <v/>
      </c>
      <c r="P1551" s="22" t="str">
        <f aca="false">IF($B1551="","",IFERROR(INDEX(고객사!$K$5:$K$104,MATCH($B1551,고객사!$A$5:$A$104,0)),0))</f>
        <v/>
      </c>
      <c r="Q1551" s="22" t="str">
        <f aca="false">IF($B1551="","",G1551*P1551)</f>
        <v/>
      </c>
      <c r="R1551" s="22" t="str">
        <f aca="false">IF($B1551="","",O1551-Q1551-L1551)</f>
        <v/>
      </c>
      <c r="S1551" s="21" t="str">
        <f aca="false">IF(OR($B1551="",N(O1551)=0),"",R1551/O1551)</f>
        <v/>
      </c>
      <c r="T1551" s="14"/>
      <c r="U1551" s="19" t="n">
        <f aca="false">IF(OR($B1551="",$A1551=""),0,IF(COUNTIFS($A$5:$A1551,$A1551,$B$5:$B1551,$B1551)=1,1,0))</f>
        <v>0</v>
      </c>
    </row>
    <row r="1552" customFormat="false" ht="15" hidden="false" customHeight="false" outlineLevel="0" collapsed="false">
      <c r="A1552" s="17"/>
      <c r="B1552" s="13"/>
      <c r="C1552" s="20" t="str">
        <f aca="false">IF($B1552="","",IFERROR(INDEX(고객사!$B$5:$B$104,MATCH($B1552,고객사!$A$5:$A$104,0)),"코드 확인"))</f>
        <v/>
      </c>
      <c r="D1552" s="15"/>
      <c r="E1552" s="15"/>
      <c r="F1552" s="16"/>
      <c r="G1552" s="16"/>
      <c r="H1552" s="21" t="str">
        <f aca="false">IF(OR($B1552="",F1552=0),"",G1552/F1552)</f>
        <v/>
      </c>
      <c r="I1552" s="22" t="str">
        <f aca="false">IF($B1552="","",MAX(F1552-G1552,0))</f>
        <v/>
      </c>
      <c r="J1552" s="23" t="str">
        <f aca="false">IF($B1552="","",IFERROR(INDEX(고객사!$G$5:$G$104,MATCH($B1552,고객사!$A$5:$A$104,0)),""))</f>
        <v/>
      </c>
      <c r="K1552" s="16"/>
      <c r="L1552" s="22" t="str">
        <f aca="false">IF($B1552="","",K1552*IFERROR(INDEX(고객사!$L$5:$L$104,MATCH($B1552,고객사!$A$5:$A$104,0)),0))</f>
        <v/>
      </c>
      <c r="M1552" s="23" t="str">
        <f aca="false">IF($B1552="","",IF(AND(J1552="N",G1552&gt;0,K1552=0,IFERROR(INDEX(고객사!$H$5:$H$104,MATCH($B1552,고객사!$A$5:$A$104,0)),"")="자사 차량 운행"),"차량 미배정",""))</f>
        <v/>
      </c>
      <c r="N1552" s="22" t="str">
        <f aca="false">IF($B1552="","",IFERROR(INDEX(고객사!$J$5:$J$104,MATCH($B1552,고객사!$A$5:$A$104,0)),0))</f>
        <v/>
      </c>
      <c r="O1552" s="22" t="str">
        <f aca="false">IF($B1552="","",G1552*N1552)</f>
        <v/>
      </c>
      <c r="P1552" s="22" t="str">
        <f aca="false">IF($B1552="","",IFERROR(INDEX(고객사!$K$5:$K$104,MATCH($B1552,고객사!$A$5:$A$104,0)),0))</f>
        <v/>
      </c>
      <c r="Q1552" s="22" t="str">
        <f aca="false">IF($B1552="","",G1552*P1552)</f>
        <v/>
      </c>
      <c r="R1552" s="22" t="str">
        <f aca="false">IF($B1552="","",O1552-Q1552-L1552)</f>
        <v/>
      </c>
      <c r="S1552" s="21" t="str">
        <f aca="false">IF(OR($B1552="",N(O1552)=0),"",R1552/O1552)</f>
        <v/>
      </c>
      <c r="T1552" s="14"/>
      <c r="U1552" s="19" t="n">
        <f aca="false">IF(OR($B1552="",$A1552=""),0,IF(COUNTIFS($A$5:$A1552,$A1552,$B$5:$B1552,$B1552)=1,1,0))</f>
        <v>0</v>
      </c>
    </row>
    <row r="1553" customFormat="false" ht="15" hidden="false" customHeight="false" outlineLevel="0" collapsed="false">
      <c r="A1553" s="17"/>
      <c r="B1553" s="13"/>
      <c r="C1553" s="20" t="str">
        <f aca="false">IF($B1553="","",IFERROR(INDEX(고객사!$B$5:$B$104,MATCH($B1553,고객사!$A$5:$A$104,0)),"코드 확인"))</f>
        <v/>
      </c>
      <c r="D1553" s="15"/>
      <c r="E1553" s="15"/>
      <c r="F1553" s="16"/>
      <c r="G1553" s="16"/>
      <c r="H1553" s="21" t="str">
        <f aca="false">IF(OR($B1553="",F1553=0),"",G1553/F1553)</f>
        <v/>
      </c>
      <c r="I1553" s="22" t="str">
        <f aca="false">IF($B1553="","",MAX(F1553-G1553,0))</f>
        <v/>
      </c>
      <c r="J1553" s="23" t="str">
        <f aca="false">IF($B1553="","",IFERROR(INDEX(고객사!$G$5:$G$104,MATCH($B1553,고객사!$A$5:$A$104,0)),""))</f>
        <v/>
      </c>
      <c r="K1553" s="16"/>
      <c r="L1553" s="22" t="str">
        <f aca="false">IF($B1553="","",K1553*IFERROR(INDEX(고객사!$L$5:$L$104,MATCH($B1553,고객사!$A$5:$A$104,0)),0))</f>
        <v/>
      </c>
      <c r="M1553" s="23" t="str">
        <f aca="false">IF($B1553="","",IF(AND(J1553="N",G1553&gt;0,K1553=0,IFERROR(INDEX(고객사!$H$5:$H$104,MATCH($B1553,고객사!$A$5:$A$104,0)),"")="자사 차량 운행"),"차량 미배정",""))</f>
        <v/>
      </c>
      <c r="N1553" s="22" t="str">
        <f aca="false">IF($B1553="","",IFERROR(INDEX(고객사!$J$5:$J$104,MATCH($B1553,고객사!$A$5:$A$104,0)),0))</f>
        <v/>
      </c>
      <c r="O1553" s="22" t="str">
        <f aca="false">IF($B1553="","",G1553*N1553)</f>
        <v/>
      </c>
      <c r="P1553" s="22" t="str">
        <f aca="false">IF($B1553="","",IFERROR(INDEX(고객사!$K$5:$K$104,MATCH($B1553,고객사!$A$5:$A$104,0)),0))</f>
        <v/>
      </c>
      <c r="Q1553" s="22" t="str">
        <f aca="false">IF($B1553="","",G1553*P1553)</f>
        <v/>
      </c>
      <c r="R1553" s="22" t="str">
        <f aca="false">IF($B1553="","",O1553-Q1553-L1553)</f>
        <v/>
      </c>
      <c r="S1553" s="21" t="str">
        <f aca="false">IF(OR($B1553="",N(O1553)=0),"",R1553/O1553)</f>
        <v/>
      </c>
      <c r="T1553" s="14"/>
      <c r="U1553" s="19" t="n">
        <f aca="false">IF(OR($B1553="",$A1553=""),0,IF(COUNTIFS($A$5:$A1553,$A1553,$B$5:$B1553,$B1553)=1,1,0))</f>
        <v>0</v>
      </c>
    </row>
    <row r="1554" customFormat="false" ht="15" hidden="false" customHeight="false" outlineLevel="0" collapsed="false">
      <c r="A1554" s="17"/>
      <c r="B1554" s="13"/>
      <c r="C1554" s="20" t="str">
        <f aca="false">IF($B1554="","",IFERROR(INDEX(고객사!$B$5:$B$104,MATCH($B1554,고객사!$A$5:$A$104,0)),"코드 확인"))</f>
        <v/>
      </c>
      <c r="D1554" s="15"/>
      <c r="E1554" s="15"/>
      <c r="F1554" s="16"/>
      <c r="G1554" s="16"/>
      <c r="H1554" s="21" t="str">
        <f aca="false">IF(OR($B1554="",F1554=0),"",G1554/F1554)</f>
        <v/>
      </c>
      <c r="I1554" s="22" t="str">
        <f aca="false">IF($B1554="","",MAX(F1554-G1554,0))</f>
        <v/>
      </c>
      <c r="J1554" s="23" t="str">
        <f aca="false">IF($B1554="","",IFERROR(INDEX(고객사!$G$5:$G$104,MATCH($B1554,고객사!$A$5:$A$104,0)),""))</f>
        <v/>
      </c>
      <c r="K1554" s="16"/>
      <c r="L1554" s="22" t="str">
        <f aca="false">IF($B1554="","",K1554*IFERROR(INDEX(고객사!$L$5:$L$104,MATCH($B1554,고객사!$A$5:$A$104,0)),0))</f>
        <v/>
      </c>
      <c r="M1554" s="23" t="str">
        <f aca="false">IF($B1554="","",IF(AND(J1554="N",G1554&gt;0,K1554=0,IFERROR(INDEX(고객사!$H$5:$H$104,MATCH($B1554,고객사!$A$5:$A$104,0)),"")="자사 차량 운행"),"차량 미배정",""))</f>
        <v/>
      </c>
      <c r="N1554" s="22" t="str">
        <f aca="false">IF($B1554="","",IFERROR(INDEX(고객사!$J$5:$J$104,MATCH($B1554,고객사!$A$5:$A$104,0)),0))</f>
        <v/>
      </c>
      <c r="O1554" s="22" t="str">
        <f aca="false">IF($B1554="","",G1554*N1554)</f>
        <v/>
      </c>
      <c r="P1554" s="22" t="str">
        <f aca="false">IF($B1554="","",IFERROR(INDEX(고객사!$K$5:$K$104,MATCH($B1554,고객사!$A$5:$A$104,0)),0))</f>
        <v/>
      </c>
      <c r="Q1554" s="22" t="str">
        <f aca="false">IF($B1554="","",G1554*P1554)</f>
        <v/>
      </c>
      <c r="R1554" s="22" t="str">
        <f aca="false">IF($B1554="","",O1554-Q1554-L1554)</f>
        <v/>
      </c>
      <c r="S1554" s="21" t="str">
        <f aca="false">IF(OR($B1554="",N(O1554)=0),"",R1554/O1554)</f>
        <v/>
      </c>
      <c r="T1554" s="14"/>
      <c r="U1554" s="19" t="n">
        <f aca="false">IF(OR($B1554="",$A1554=""),0,IF(COUNTIFS($A$5:$A1554,$A1554,$B$5:$B1554,$B1554)=1,1,0))</f>
        <v>0</v>
      </c>
    </row>
    <row r="1555" customFormat="false" ht="15" hidden="false" customHeight="false" outlineLevel="0" collapsed="false">
      <c r="A1555" s="17"/>
      <c r="B1555" s="13"/>
      <c r="C1555" s="20" t="str">
        <f aca="false">IF($B1555="","",IFERROR(INDEX(고객사!$B$5:$B$104,MATCH($B1555,고객사!$A$5:$A$104,0)),"코드 확인"))</f>
        <v/>
      </c>
      <c r="D1555" s="15"/>
      <c r="E1555" s="15"/>
      <c r="F1555" s="16"/>
      <c r="G1555" s="16"/>
      <c r="H1555" s="21" t="str">
        <f aca="false">IF(OR($B1555="",F1555=0),"",G1555/F1555)</f>
        <v/>
      </c>
      <c r="I1555" s="22" t="str">
        <f aca="false">IF($B1555="","",MAX(F1555-G1555,0))</f>
        <v/>
      </c>
      <c r="J1555" s="23" t="str">
        <f aca="false">IF($B1555="","",IFERROR(INDEX(고객사!$G$5:$G$104,MATCH($B1555,고객사!$A$5:$A$104,0)),""))</f>
        <v/>
      </c>
      <c r="K1555" s="16"/>
      <c r="L1555" s="22" t="str">
        <f aca="false">IF($B1555="","",K1555*IFERROR(INDEX(고객사!$L$5:$L$104,MATCH($B1555,고객사!$A$5:$A$104,0)),0))</f>
        <v/>
      </c>
      <c r="M1555" s="23" t="str">
        <f aca="false">IF($B1555="","",IF(AND(J1555="N",G1555&gt;0,K1555=0,IFERROR(INDEX(고객사!$H$5:$H$104,MATCH($B1555,고객사!$A$5:$A$104,0)),"")="자사 차량 운행"),"차량 미배정",""))</f>
        <v/>
      </c>
      <c r="N1555" s="22" t="str">
        <f aca="false">IF($B1555="","",IFERROR(INDEX(고객사!$J$5:$J$104,MATCH($B1555,고객사!$A$5:$A$104,0)),0))</f>
        <v/>
      </c>
      <c r="O1555" s="22" t="str">
        <f aca="false">IF($B1555="","",G1555*N1555)</f>
        <v/>
      </c>
      <c r="P1555" s="22" t="str">
        <f aca="false">IF($B1555="","",IFERROR(INDEX(고객사!$K$5:$K$104,MATCH($B1555,고객사!$A$5:$A$104,0)),0))</f>
        <v/>
      </c>
      <c r="Q1555" s="22" t="str">
        <f aca="false">IF($B1555="","",G1555*P1555)</f>
        <v/>
      </c>
      <c r="R1555" s="22" t="str">
        <f aca="false">IF($B1555="","",O1555-Q1555-L1555)</f>
        <v/>
      </c>
      <c r="S1555" s="21" t="str">
        <f aca="false">IF(OR($B1555="",N(O1555)=0),"",R1555/O1555)</f>
        <v/>
      </c>
      <c r="T1555" s="14"/>
      <c r="U1555" s="19" t="n">
        <f aca="false">IF(OR($B1555="",$A1555=""),0,IF(COUNTIFS($A$5:$A1555,$A1555,$B$5:$B1555,$B1555)=1,1,0))</f>
        <v>0</v>
      </c>
    </row>
    <row r="1556" customFormat="false" ht="15" hidden="false" customHeight="false" outlineLevel="0" collapsed="false">
      <c r="A1556" s="17"/>
      <c r="B1556" s="13"/>
      <c r="C1556" s="20" t="str">
        <f aca="false">IF($B1556="","",IFERROR(INDEX(고객사!$B$5:$B$104,MATCH($B1556,고객사!$A$5:$A$104,0)),"코드 확인"))</f>
        <v/>
      </c>
      <c r="D1556" s="15"/>
      <c r="E1556" s="15"/>
      <c r="F1556" s="16"/>
      <c r="G1556" s="16"/>
      <c r="H1556" s="21" t="str">
        <f aca="false">IF(OR($B1556="",F1556=0),"",G1556/F1556)</f>
        <v/>
      </c>
      <c r="I1556" s="22" t="str">
        <f aca="false">IF($B1556="","",MAX(F1556-G1556,0))</f>
        <v/>
      </c>
      <c r="J1556" s="23" t="str">
        <f aca="false">IF($B1556="","",IFERROR(INDEX(고객사!$G$5:$G$104,MATCH($B1556,고객사!$A$5:$A$104,0)),""))</f>
        <v/>
      </c>
      <c r="K1556" s="16"/>
      <c r="L1556" s="22" t="str">
        <f aca="false">IF($B1556="","",K1556*IFERROR(INDEX(고객사!$L$5:$L$104,MATCH($B1556,고객사!$A$5:$A$104,0)),0))</f>
        <v/>
      </c>
      <c r="M1556" s="23" t="str">
        <f aca="false">IF($B1556="","",IF(AND(J1556="N",G1556&gt;0,K1556=0,IFERROR(INDEX(고객사!$H$5:$H$104,MATCH($B1556,고객사!$A$5:$A$104,0)),"")="자사 차량 운행"),"차량 미배정",""))</f>
        <v/>
      </c>
      <c r="N1556" s="22" t="str">
        <f aca="false">IF($B1556="","",IFERROR(INDEX(고객사!$J$5:$J$104,MATCH($B1556,고객사!$A$5:$A$104,0)),0))</f>
        <v/>
      </c>
      <c r="O1556" s="22" t="str">
        <f aca="false">IF($B1556="","",G1556*N1556)</f>
        <v/>
      </c>
      <c r="P1556" s="22" t="str">
        <f aca="false">IF($B1556="","",IFERROR(INDEX(고객사!$K$5:$K$104,MATCH($B1556,고객사!$A$5:$A$104,0)),0))</f>
        <v/>
      </c>
      <c r="Q1556" s="22" t="str">
        <f aca="false">IF($B1556="","",G1556*P1556)</f>
        <v/>
      </c>
      <c r="R1556" s="22" t="str">
        <f aca="false">IF($B1556="","",O1556-Q1556-L1556)</f>
        <v/>
      </c>
      <c r="S1556" s="21" t="str">
        <f aca="false">IF(OR($B1556="",N(O1556)=0),"",R1556/O1556)</f>
        <v/>
      </c>
      <c r="T1556" s="14"/>
      <c r="U1556" s="19" t="n">
        <f aca="false">IF(OR($B1556="",$A1556=""),0,IF(COUNTIFS($A$5:$A1556,$A1556,$B$5:$B1556,$B1556)=1,1,0))</f>
        <v>0</v>
      </c>
    </row>
    <row r="1557" customFormat="false" ht="15" hidden="false" customHeight="false" outlineLevel="0" collapsed="false">
      <c r="A1557" s="17"/>
      <c r="B1557" s="13"/>
      <c r="C1557" s="20" t="str">
        <f aca="false">IF($B1557="","",IFERROR(INDEX(고객사!$B$5:$B$104,MATCH($B1557,고객사!$A$5:$A$104,0)),"코드 확인"))</f>
        <v/>
      </c>
      <c r="D1557" s="15"/>
      <c r="E1557" s="15"/>
      <c r="F1557" s="16"/>
      <c r="G1557" s="16"/>
      <c r="H1557" s="21" t="str">
        <f aca="false">IF(OR($B1557="",F1557=0),"",G1557/F1557)</f>
        <v/>
      </c>
      <c r="I1557" s="22" t="str">
        <f aca="false">IF($B1557="","",MAX(F1557-G1557,0))</f>
        <v/>
      </c>
      <c r="J1557" s="23" t="str">
        <f aca="false">IF($B1557="","",IFERROR(INDEX(고객사!$G$5:$G$104,MATCH($B1557,고객사!$A$5:$A$104,0)),""))</f>
        <v/>
      </c>
      <c r="K1557" s="16"/>
      <c r="L1557" s="22" t="str">
        <f aca="false">IF($B1557="","",K1557*IFERROR(INDEX(고객사!$L$5:$L$104,MATCH($B1557,고객사!$A$5:$A$104,0)),0))</f>
        <v/>
      </c>
      <c r="M1557" s="23" t="str">
        <f aca="false">IF($B1557="","",IF(AND(J1557="N",G1557&gt;0,K1557=0,IFERROR(INDEX(고객사!$H$5:$H$104,MATCH($B1557,고객사!$A$5:$A$104,0)),"")="자사 차량 운행"),"차량 미배정",""))</f>
        <v/>
      </c>
      <c r="N1557" s="22" t="str">
        <f aca="false">IF($B1557="","",IFERROR(INDEX(고객사!$J$5:$J$104,MATCH($B1557,고객사!$A$5:$A$104,0)),0))</f>
        <v/>
      </c>
      <c r="O1557" s="22" t="str">
        <f aca="false">IF($B1557="","",G1557*N1557)</f>
        <v/>
      </c>
      <c r="P1557" s="22" t="str">
        <f aca="false">IF($B1557="","",IFERROR(INDEX(고객사!$K$5:$K$104,MATCH($B1557,고객사!$A$5:$A$104,0)),0))</f>
        <v/>
      </c>
      <c r="Q1557" s="22" t="str">
        <f aca="false">IF($B1557="","",G1557*P1557)</f>
        <v/>
      </c>
      <c r="R1557" s="22" t="str">
        <f aca="false">IF($B1557="","",O1557-Q1557-L1557)</f>
        <v/>
      </c>
      <c r="S1557" s="21" t="str">
        <f aca="false">IF(OR($B1557="",N(O1557)=0),"",R1557/O1557)</f>
        <v/>
      </c>
      <c r="T1557" s="14"/>
      <c r="U1557" s="19" t="n">
        <f aca="false">IF(OR($B1557="",$A1557=""),0,IF(COUNTIFS($A$5:$A1557,$A1557,$B$5:$B1557,$B1557)=1,1,0))</f>
        <v>0</v>
      </c>
    </row>
    <row r="1558" customFormat="false" ht="15" hidden="false" customHeight="false" outlineLevel="0" collapsed="false">
      <c r="A1558" s="17"/>
      <c r="B1558" s="13"/>
      <c r="C1558" s="20" t="str">
        <f aca="false">IF($B1558="","",IFERROR(INDEX(고객사!$B$5:$B$104,MATCH($B1558,고객사!$A$5:$A$104,0)),"코드 확인"))</f>
        <v/>
      </c>
      <c r="D1558" s="15"/>
      <c r="E1558" s="15"/>
      <c r="F1558" s="16"/>
      <c r="G1558" s="16"/>
      <c r="H1558" s="21" t="str">
        <f aca="false">IF(OR($B1558="",F1558=0),"",G1558/F1558)</f>
        <v/>
      </c>
      <c r="I1558" s="22" t="str">
        <f aca="false">IF($B1558="","",MAX(F1558-G1558,0))</f>
        <v/>
      </c>
      <c r="J1558" s="23" t="str">
        <f aca="false">IF($B1558="","",IFERROR(INDEX(고객사!$G$5:$G$104,MATCH($B1558,고객사!$A$5:$A$104,0)),""))</f>
        <v/>
      </c>
      <c r="K1558" s="16"/>
      <c r="L1558" s="22" t="str">
        <f aca="false">IF($B1558="","",K1558*IFERROR(INDEX(고객사!$L$5:$L$104,MATCH($B1558,고객사!$A$5:$A$104,0)),0))</f>
        <v/>
      </c>
      <c r="M1558" s="23" t="str">
        <f aca="false">IF($B1558="","",IF(AND(J1558="N",G1558&gt;0,K1558=0,IFERROR(INDEX(고객사!$H$5:$H$104,MATCH($B1558,고객사!$A$5:$A$104,0)),"")="자사 차량 운행"),"차량 미배정",""))</f>
        <v/>
      </c>
      <c r="N1558" s="22" t="str">
        <f aca="false">IF($B1558="","",IFERROR(INDEX(고객사!$J$5:$J$104,MATCH($B1558,고객사!$A$5:$A$104,0)),0))</f>
        <v/>
      </c>
      <c r="O1558" s="22" t="str">
        <f aca="false">IF($B1558="","",G1558*N1558)</f>
        <v/>
      </c>
      <c r="P1558" s="22" t="str">
        <f aca="false">IF($B1558="","",IFERROR(INDEX(고객사!$K$5:$K$104,MATCH($B1558,고객사!$A$5:$A$104,0)),0))</f>
        <v/>
      </c>
      <c r="Q1558" s="22" t="str">
        <f aca="false">IF($B1558="","",G1558*P1558)</f>
        <v/>
      </c>
      <c r="R1558" s="22" t="str">
        <f aca="false">IF($B1558="","",O1558-Q1558-L1558)</f>
        <v/>
      </c>
      <c r="S1558" s="21" t="str">
        <f aca="false">IF(OR($B1558="",N(O1558)=0),"",R1558/O1558)</f>
        <v/>
      </c>
      <c r="T1558" s="14"/>
      <c r="U1558" s="19" t="n">
        <f aca="false">IF(OR($B1558="",$A1558=""),0,IF(COUNTIFS($A$5:$A1558,$A1558,$B$5:$B1558,$B1558)=1,1,0))</f>
        <v>0</v>
      </c>
    </row>
    <row r="1559" customFormat="false" ht="15" hidden="false" customHeight="false" outlineLevel="0" collapsed="false">
      <c r="A1559" s="17"/>
      <c r="B1559" s="13"/>
      <c r="C1559" s="20" t="str">
        <f aca="false">IF($B1559="","",IFERROR(INDEX(고객사!$B$5:$B$104,MATCH($B1559,고객사!$A$5:$A$104,0)),"코드 확인"))</f>
        <v/>
      </c>
      <c r="D1559" s="15"/>
      <c r="E1559" s="15"/>
      <c r="F1559" s="16"/>
      <c r="G1559" s="16"/>
      <c r="H1559" s="21" t="str">
        <f aca="false">IF(OR($B1559="",F1559=0),"",G1559/F1559)</f>
        <v/>
      </c>
      <c r="I1559" s="22" t="str">
        <f aca="false">IF($B1559="","",MAX(F1559-G1559,0))</f>
        <v/>
      </c>
      <c r="J1559" s="23" t="str">
        <f aca="false">IF($B1559="","",IFERROR(INDEX(고객사!$G$5:$G$104,MATCH($B1559,고객사!$A$5:$A$104,0)),""))</f>
        <v/>
      </c>
      <c r="K1559" s="16"/>
      <c r="L1559" s="22" t="str">
        <f aca="false">IF($B1559="","",K1559*IFERROR(INDEX(고객사!$L$5:$L$104,MATCH($B1559,고객사!$A$5:$A$104,0)),0))</f>
        <v/>
      </c>
      <c r="M1559" s="23" t="str">
        <f aca="false">IF($B1559="","",IF(AND(J1559="N",G1559&gt;0,K1559=0,IFERROR(INDEX(고객사!$H$5:$H$104,MATCH($B1559,고객사!$A$5:$A$104,0)),"")="자사 차량 운행"),"차량 미배정",""))</f>
        <v/>
      </c>
      <c r="N1559" s="22" t="str">
        <f aca="false">IF($B1559="","",IFERROR(INDEX(고객사!$J$5:$J$104,MATCH($B1559,고객사!$A$5:$A$104,0)),0))</f>
        <v/>
      </c>
      <c r="O1559" s="22" t="str">
        <f aca="false">IF($B1559="","",G1559*N1559)</f>
        <v/>
      </c>
      <c r="P1559" s="22" t="str">
        <f aca="false">IF($B1559="","",IFERROR(INDEX(고객사!$K$5:$K$104,MATCH($B1559,고객사!$A$5:$A$104,0)),0))</f>
        <v/>
      </c>
      <c r="Q1559" s="22" t="str">
        <f aca="false">IF($B1559="","",G1559*P1559)</f>
        <v/>
      </c>
      <c r="R1559" s="22" t="str">
        <f aca="false">IF($B1559="","",O1559-Q1559-L1559)</f>
        <v/>
      </c>
      <c r="S1559" s="21" t="str">
        <f aca="false">IF(OR($B1559="",N(O1559)=0),"",R1559/O1559)</f>
        <v/>
      </c>
      <c r="T1559" s="14"/>
      <c r="U1559" s="19" t="n">
        <f aca="false">IF(OR($B1559="",$A1559=""),0,IF(COUNTIFS($A$5:$A1559,$A1559,$B$5:$B1559,$B1559)=1,1,0))</f>
        <v>0</v>
      </c>
    </row>
    <row r="1560" customFormat="false" ht="15" hidden="false" customHeight="false" outlineLevel="0" collapsed="false">
      <c r="A1560" s="17"/>
      <c r="B1560" s="13"/>
      <c r="C1560" s="20" t="str">
        <f aca="false">IF($B1560="","",IFERROR(INDEX(고객사!$B$5:$B$104,MATCH($B1560,고객사!$A$5:$A$104,0)),"코드 확인"))</f>
        <v/>
      </c>
      <c r="D1560" s="15"/>
      <c r="E1560" s="15"/>
      <c r="F1560" s="16"/>
      <c r="G1560" s="16"/>
      <c r="H1560" s="21" t="str">
        <f aca="false">IF(OR($B1560="",F1560=0),"",G1560/F1560)</f>
        <v/>
      </c>
      <c r="I1560" s="22" t="str">
        <f aca="false">IF($B1560="","",MAX(F1560-G1560,0))</f>
        <v/>
      </c>
      <c r="J1560" s="23" t="str">
        <f aca="false">IF($B1560="","",IFERROR(INDEX(고객사!$G$5:$G$104,MATCH($B1560,고객사!$A$5:$A$104,0)),""))</f>
        <v/>
      </c>
      <c r="K1560" s="16"/>
      <c r="L1560" s="22" t="str">
        <f aca="false">IF($B1560="","",K1560*IFERROR(INDEX(고객사!$L$5:$L$104,MATCH($B1560,고객사!$A$5:$A$104,0)),0))</f>
        <v/>
      </c>
      <c r="M1560" s="23" t="str">
        <f aca="false">IF($B1560="","",IF(AND(J1560="N",G1560&gt;0,K1560=0,IFERROR(INDEX(고객사!$H$5:$H$104,MATCH($B1560,고객사!$A$5:$A$104,0)),"")="자사 차량 운행"),"차량 미배정",""))</f>
        <v/>
      </c>
      <c r="N1560" s="22" t="str">
        <f aca="false">IF($B1560="","",IFERROR(INDEX(고객사!$J$5:$J$104,MATCH($B1560,고객사!$A$5:$A$104,0)),0))</f>
        <v/>
      </c>
      <c r="O1560" s="22" t="str">
        <f aca="false">IF($B1560="","",G1560*N1560)</f>
        <v/>
      </c>
      <c r="P1560" s="22" t="str">
        <f aca="false">IF($B1560="","",IFERROR(INDEX(고객사!$K$5:$K$104,MATCH($B1560,고객사!$A$5:$A$104,0)),0))</f>
        <v/>
      </c>
      <c r="Q1560" s="22" t="str">
        <f aca="false">IF($B1560="","",G1560*P1560)</f>
        <v/>
      </c>
      <c r="R1560" s="22" t="str">
        <f aca="false">IF($B1560="","",O1560-Q1560-L1560)</f>
        <v/>
      </c>
      <c r="S1560" s="21" t="str">
        <f aca="false">IF(OR($B1560="",N(O1560)=0),"",R1560/O1560)</f>
        <v/>
      </c>
      <c r="T1560" s="14"/>
      <c r="U1560" s="19" t="n">
        <f aca="false">IF(OR($B1560="",$A1560=""),0,IF(COUNTIFS($A$5:$A1560,$A1560,$B$5:$B1560,$B1560)=1,1,0))</f>
        <v>0</v>
      </c>
    </row>
    <row r="1561" customFormat="false" ht="15" hidden="false" customHeight="false" outlineLevel="0" collapsed="false">
      <c r="A1561" s="17"/>
      <c r="B1561" s="13"/>
      <c r="C1561" s="20" t="str">
        <f aca="false">IF($B1561="","",IFERROR(INDEX(고객사!$B$5:$B$104,MATCH($B1561,고객사!$A$5:$A$104,0)),"코드 확인"))</f>
        <v/>
      </c>
      <c r="D1561" s="15"/>
      <c r="E1561" s="15"/>
      <c r="F1561" s="16"/>
      <c r="G1561" s="16"/>
      <c r="H1561" s="21" t="str">
        <f aca="false">IF(OR($B1561="",F1561=0),"",G1561/F1561)</f>
        <v/>
      </c>
      <c r="I1561" s="22" t="str">
        <f aca="false">IF($B1561="","",MAX(F1561-G1561,0))</f>
        <v/>
      </c>
      <c r="J1561" s="23" t="str">
        <f aca="false">IF($B1561="","",IFERROR(INDEX(고객사!$G$5:$G$104,MATCH($B1561,고객사!$A$5:$A$104,0)),""))</f>
        <v/>
      </c>
      <c r="K1561" s="16"/>
      <c r="L1561" s="22" t="str">
        <f aca="false">IF($B1561="","",K1561*IFERROR(INDEX(고객사!$L$5:$L$104,MATCH($B1561,고객사!$A$5:$A$104,0)),0))</f>
        <v/>
      </c>
      <c r="M1561" s="23" t="str">
        <f aca="false">IF($B1561="","",IF(AND(J1561="N",G1561&gt;0,K1561=0,IFERROR(INDEX(고객사!$H$5:$H$104,MATCH($B1561,고객사!$A$5:$A$104,0)),"")="자사 차량 운행"),"차량 미배정",""))</f>
        <v/>
      </c>
      <c r="N1561" s="22" t="str">
        <f aca="false">IF($B1561="","",IFERROR(INDEX(고객사!$J$5:$J$104,MATCH($B1561,고객사!$A$5:$A$104,0)),0))</f>
        <v/>
      </c>
      <c r="O1561" s="22" t="str">
        <f aca="false">IF($B1561="","",G1561*N1561)</f>
        <v/>
      </c>
      <c r="P1561" s="22" t="str">
        <f aca="false">IF($B1561="","",IFERROR(INDEX(고객사!$K$5:$K$104,MATCH($B1561,고객사!$A$5:$A$104,0)),0))</f>
        <v/>
      </c>
      <c r="Q1561" s="22" t="str">
        <f aca="false">IF($B1561="","",G1561*P1561)</f>
        <v/>
      </c>
      <c r="R1561" s="22" t="str">
        <f aca="false">IF($B1561="","",O1561-Q1561-L1561)</f>
        <v/>
      </c>
      <c r="S1561" s="21" t="str">
        <f aca="false">IF(OR($B1561="",N(O1561)=0),"",R1561/O1561)</f>
        <v/>
      </c>
      <c r="T1561" s="14"/>
      <c r="U1561" s="19" t="n">
        <f aca="false">IF(OR($B1561="",$A1561=""),0,IF(COUNTIFS($A$5:$A1561,$A1561,$B$5:$B1561,$B1561)=1,1,0))</f>
        <v>0</v>
      </c>
    </row>
    <row r="1562" customFormat="false" ht="15" hidden="false" customHeight="false" outlineLevel="0" collapsed="false">
      <c r="A1562" s="17"/>
      <c r="B1562" s="13"/>
      <c r="C1562" s="20" t="str">
        <f aca="false">IF($B1562="","",IFERROR(INDEX(고객사!$B$5:$B$104,MATCH($B1562,고객사!$A$5:$A$104,0)),"코드 확인"))</f>
        <v/>
      </c>
      <c r="D1562" s="15"/>
      <c r="E1562" s="15"/>
      <c r="F1562" s="16"/>
      <c r="G1562" s="16"/>
      <c r="H1562" s="21" t="str">
        <f aca="false">IF(OR($B1562="",F1562=0),"",G1562/F1562)</f>
        <v/>
      </c>
      <c r="I1562" s="22" t="str">
        <f aca="false">IF($B1562="","",MAX(F1562-G1562,0))</f>
        <v/>
      </c>
      <c r="J1562" s="23" t="str">
        <f aca="false">IF($B1562="","",IFERROR(INDEX(고객사!$G$5:$G$104,MATCH($B1562,고객사!$A$5:$A$104,0)),""))</f>
        <v/>
      </c>
      <c r="K1562" s="16"/>
      <c r="L1562" s="22" t="str">
        <f aca="false">IF($B1562="","",K1562*IFERROR(INDEX(고객사!$L$5:$L$104,MATCH($B1562,고객사!$A$5:$A$104,0)),0))</f>
        <v/>
      </c>
      <c r="M1562" s="23" t="str">
        <f aca="false">IF($B1562="","",IF(AND(J1562="N",G1562&gt;0,K1562=0,IFERROR(INDEX(고객사!$H$5:$H$104,MATCH($B1562,고객사!$A$5:$A$104,0)),"")="자사 차량 운행"),"차량 미배정",""))</f>
        <v/>
      </c>
      <c r="N1562" s="22" t="str">
        <f aca="false">IF($B1562="","",IFERROR(INDEX(고객사!$J$5:$J$104,MATCH($B1562,고객사!$A$5:$A$104,0)),0))</f>
        <v/>
      </c>
      <c r="O1562" s="22" t="str">
        <f aca="false">IF($B1562="","",G1562*N1562)</f>
        <v/>
      </c>
      <c r="P1562" s="22" t="str">
        <f aca="false">IF($B1562="","",IFERROR(INDEX(고객사!$K$5:$K$104,MATCH($B1562,고객사!$A$5:$A$104,0)),0))</f>
        <v/>
      </c>
      <c r="Q1562" s="22" t="str">
        <f aca="false">IF($B1562="","",G1562*P1562)</f>
        <v/>
      </c>
      <c r="R1562" s="22" t="str">
        <f aca="false">IF($B1562="","",O1562-Q1562-L1562)</f>
        <v/>
      </c>
      <c r="S1562" s="21" t="str">
        <f aca="false">IF(OR($B1562="",N(O1562)=0),"",R1562/O1562)</f>
        <v/>
      </c>
      <c r="T1562" s="14"/>
      <c r="U1562" s="19" t="n">
        <f aca="false">IF(OR($B1562="",$A1562=""),0,IF(COUNTIFS($A$5:$A1562,$A1562,$B$5:$B1562,$B1562)=1,1,0))</f>
        <v>0</v>
      </c>
    </row>
    <row r="1563" customFormat="false" ht="15" hidden="false" customHeight="false" outlineLevel="0" collapsed="false">
      <c r="A1563" s="17"/>
      <c r="B1563" s="13"/>
      <c r="C1563" s="20" t="str">
        <f aca="false">IF($B1563="","",IFERROR(INDEX(고객사!$B$5:$B$104,MATCH($B1563,고객사!$A$5:$A$104,0)),"코드 확인"))</f>
        <v/>
      </c>
      <c r="D1563" s="15"/>
      <c r="E1563" s="15"/>
      <c r="F1563" s="16"/>
      <c r="G1563" s="16"/>
      <c r="H1563" s="21" t="str">
        <f aca="false">IF(OR($B1563="",F1563=0),"",G1563/F1563)</f>
        <v/>
      </c>
      <c r="I1563" s="22" t="str">
        <f aca="false">IF($B1563="","",MAX(F1563-G1563,0))</f>
        <v/>
      </c>
      <c r="J1563" s="23" t="str">
        <f aca="false">IF($B1563="","",IFERROR(INDEX(고객사!$G$5:$G$104,MATCH($B1563,고객사!$A$5:$A$104,0)),""))</f>
        <v/>
      </c>
      <c r="K1563" s="16"/>
      <c r="L1563" s="22" t="str">
        <f aca="false">IF($B1563="","",K1563*IFERROR(INDEX(고객사!$L$5:$L$104,MATCH($B1563,고객사!$A$5:$A$104,0)),0))</f>
        <v/>
      </c>
      <c r="M1563" s="23" t="str">
        <f aca="false">IF($B1563="","",IF(AND(J1563="N",G1563&gt;0,K1563=0,IFERROR(INDEX(고객사!$H$5:$H$104,MATCH($B1563,고객사!$A$5:$A$104,0)),"")="자사 차량 운행"),"차량 미배정",""))</f>
        <v/>
      </c>
      <c r="N1563" s="22" t="str">
        <f aca="false">IF($B1563="","",IFERROR(INDEX(고객사!$J$5:$J$104,MATCH($B1563,고객사!$A$5:$A$104,0)),0))</f>
        <v/>
      </c>
      <c r="O1563" s="22" t="str">
        <f aca="false">IF($B1563="","",G1563*N1563)</f>
        <v/>
      </c>
      <c r="P1563" s="22" t="str">
        <f aca="false">IF($B1563="","",IFERROR(INDEX(고객사!$K$5:$K$104,MATCH($B1563,고객사!$A$5:$A$104,0)),0))</f>
        <v/>
      </c>
      <c r="Q1563" s="22" t="str">
        <f aca="false">IF($B1563="","",G1563*P1563)</f>
        <v/>
      </c>
      <c r="R1563" s="22" t="str">
        <f aca="false">IF($B1563="","",O1563-Q1563-L1563)</f>
        <v/>
      </c>
      <c r="S1563" s="21" t="str">
        <f aca="false">IF(OR($B1563="",N(O1563)=0),"",R1563/O1563)</f>
        <v/>
      </c>
      <c r="T1563" s="14"/>
      <c r="U1563" s="19" t="n">
        <f aca="false">IF(OR($B1563="",$A1563=""),0,IF(COUNTIFS($A$5:$A1563,$A1563,$B$5:$B1563,$B1563)=1,1,0))</f>
        <v>0</v>
      </c>
    </row>
    <row r="1564" customFormat="false" ht="15" hidden="false" customHeight="false" outlineLevel="0" collapsed="false">
      <c r="A1564" s="17"/>
      <c r="B1564" s="13"/>
      <c r="C1564" s="20" t="str">
        <f aca="false">IF($B1564="","",IFERROR(INDEX(고객사!$B$5:$B$104,MATCH($B1564,고객사!$A$5:$A$104,0)),"코드 확인"))</f>
        <v/>
      </c>
      <c r="D1564" s="15"/>
      <c r="E1564" s="15"/>
      <c r="F1564" s="16"/>
      <c r="G1564" s="16"/>
      <c r="H1564" s="21" t="str">
        <f aca="false">IF(OR($B1564="",F1564=0),"",G1564/F1564)</f>
        <v/>
      </c>
      <c r="I1564" s="22" t="str">
        <f aca="false">IF($B1564="","",MAX(F1564-G1564,0))</f>
        <v/>
      </c>
      <c r="J1564" s="23" t="str">
        <f aca="false">IF($B1564="","",IFERROR(INDEX(고객사!$G$5:$G$104,MATCH($B1564,고객사!$A$5:$A$104,0)),""))</f>
        <v/>
      </c>
      <c r="K1564" s="16"/>
      <c r="L1564" s="22" t="str">
        <f aca="false">IF($B1564="","",K1564*IFERROR(INDEX(고객사!$L$5:$L$104,MATCH($B1564,고객사!$A$5:$A$104,0)),0))</f>
        <v/>
      </c>
      <c r="M1564" s="23" t="str">
        <f aca="false">IF($B1564="","",IF(AND(J1564="N",G1564&gt;0,K1564=0,IFERROR(INDEX(고객사!$H$5:$H$104,MATCH($B1564,고객사!$A$5:$A$104,0)),"")="자사 차량 운행"),"차량 미배정",""))</f>
        <v/>
      </c>
      <c r="N1564" s="22" t="str">
        <f aca="false">IF($B1564="","",IFERROR(INDEX(고객사!$J$5:$J$104,MATCH($B1564,고객사!$A$5:$A$104,0)),0))</f>
        <v/>
      </c>
      <c r="O1564" s="22" t="str">
        <f aca="false">IF($B1564="","",G1564*N1564)</f>
        <v/>
      </c>
      <c r="P1564" s="22" t="str">
        <f aca="false">IF($B1564="","",IFERROR(INDEX(고객사!$K$5:$K$104,MATCH($B1564,고객사!$A$5:$A$104,0)),0))</f>
        <v/>
      </c>
      <c r="Q1564" s="22" t="str">
        <f aca="false">IF($B1564="","",G1564*P1564)</f>
        <v/>
      </c>
      <c r="R1564" s="22" t="str">
        <f aca="false">IF($B1564="","",O1564-Q1564-L1564)</f>
        <v/>
      </c>
      <c r="S1564" s="21" t="str">
        <f aca="false">IF(OR($B1564="",N(O1564)=0),"",R1564/O1564)</f>
        <v/>
      </c>
      <c r="T1564" s="14"/>
      <c r="U1564" s="19" t="n">
        <f aca="false">IF(OR($B1564="",$A1564=""),0,IF(COUNTIFS($A$5:$A1564,$A1564,$B$5:$B1564,$B1564)=1,1,0))</f>
        <v>0</v>
      </c>
    </row>
    <row r="1565" customFormat="false" ht="15" hidden="false" customHeight="false" outlineLevel="0" collapsed="false">
      <c r="A1565" s="17"/>
      <c r="B1565" s="13"/>
      <c r="C1565" s="20" t="str">
        <f aca="false">IF($B1565="","",IFERROR(INDEX(고객사!$B$5:$B$104,MATCH($B1565,고객사!$A$5:$A$104,0)),"코드 확인"))</f>
        <v/>
      </c>
      <c r="D1565" s="15"/>
      <c r="E1565" s="15"/>
      <c r="F1565" s="16"/>
      <c r="G1565" s="16"/>
      <c r="H1565" s="21" t="str">
        <f aca="false">IF(OR($B1565="",F1565=0),"",G1565/F1565)</f>
        <v/>
      </c>
      <c r="I1565" s="22" t="str">
        <f aca="false">IF($B1565="","",MAX(F1565-G1565,0))</f>
        <v/>
      </c>
      <c r="J1565" s="23" t="str">
        <f aca="false">IF($B1565="","",IFERROR(INDEX(고객사!$G$5:$G$104,MATCH($B1565,고객사!$A$5:$A$104,0)),""))</f>
        <v/>
      </c>
      <c r="K1565" s="16"/>
      <c r="L1565" s="22" t="str">
        <f aca="false">IF($B1565="","",K1565*IFERROR(INDEX(고객사!$L$5:$L$104,MATCH($B1565,고객사!$A$5:$A$104,0)),0))</f>
        <v/>
      </c>
      <c r="M1565" s="23" t="str">
        <f aca="false">IF($B1565="","",IF(AND(J1565="N",G1565&gt;0,K1565=0,IFERROR(INDEX(고객사!$H$5:$H$104,MATCH($B1565,고객사!$A$5:$A$104,0)),"")="자사 차량 운행"),"차량 미배정",""))</f>
        <v/>
      </c>
      <c r="N1565" s="22" t="str">
        <f aca="false">IF($B1565="","",IFERROR(INDEX(고객사!$J$5:$J$104,MATCH($B1565,고객사!$A$5:$A$104,0)),0))</f>
        <v/>
      </c>
      <c r="O1565" s="22" t="str">
        <f aca="false">IF($B1565="","",G1565*N1565)</f>
        <v/>
      </c>
      <c r="P1565" s="22" t="str">
        <f aca="false">IF($B1565="","",IFERROR(INDEX(고객사!$K$5:$K$104,MATCH($B1565,고객사!$A$5:$A$104,0)),0))</f>
        <v/>
      </c>
      <c r="Q1565" s="22" t="str">
        <f aca="false">IF($B1565="","",G1565*P1565)</f>
        <v/>
      </c>
      <c r="R1565" s="22" t="str">
        <f aca="false">IF($B1565="","",O1565-Q1565-L1565)</f>
        <v/>
      </c>
      <c r="S1565" s="21" t="str">
        <f aca="false">IF(OR($B1565="",N(O1565)=0),"",R1565/O1565)</f>
        <v/>
      </c>
      <c r="T1565" s="14"/>
      <c r="U1565" s="19" t="n">
        <f aca="false">IF(OR($B1565="",$A1565=""),0,IF(COUNTIFS($A$5:$A1565,$A1565,$B$5:$B1565,$B1565)=1,1,0))</f>
        <v>0</v>
      </c>
    </row>
    <row r="1566" customFormat="false" ht="15" hidden="false" customHeight="false" outlineLevel="0" collapsed="false">
      <c r="A1566" s="17"/>
      <c r="B1566" s="13"/>
      <c r="C1566" s="20" t="str">
        <f aca="false">IF($B1566="","",IFERROR(INDEX(고객사!$B$5:$B$104,MATCH($B1566,고객사!$A$5:$A$104,0)),"코드 확인"))</f>
        <v/>
      </c>
      <c r="D1566" s="15"/>
      <c r="E1566" s="15"/>
      <c r="F1566" s="16"/>
      <c r="G1566" s="16"/>
      <c r="H1566" s="21" t="str">
        <f aca="false">IF(OR($B1566="",F1566=0),"",G1566/F1566)</f>
        <v/>
      </c>
      <c r="I1566" s="22" t="str">
        <f aca="false">IF($B1566="","",MAX(F1566-G1566,0))</f>
        <v/>
      </c>
      <c r="J1566" s="23" t="str">
        <f aca="false">IF($B1566="","",IFERROR(INDEX(고객사!$G$5:$G$104,MATCH($B1566,고객사!$A$5:$A$104,0)),""))</f>
        <v/>
      </c>
      <c r="K1566" s="16"/>
      <c r="L1566" s="22" t="str">
        <f aca="false">IF($B1566="","",K1566*IFERROR(INDEX(고객사!$L$5:$L$104,MATCH($B1566,고객사!$A$5:$A$104,0)),0))</f>
        <v/>
      </c>
      <c r="M1566" s="23" t="str">
        <f aca="false">IF($B1566="","",IF(AND(J1566="N",G1566&gt;0,K1566=0,IFERROR(INDEX(고객사!$H$5:$H$104,MATCH($B1566,고객사!$A$5:$A$104,0)),"")="자사 차량 운행"),"차량 미배정",""))</f>
        <v/>
      </c>
      <c r="N1566" s="22" t="str">
        <f aca="false">IF($B1566="","",IFERROR(INDEX(고객사!$J$5:$J$104,MATCH($B1566,고객사!$A$5:$A$104,0)),0))</f>
        <v/>
      </c>
      <c r="O1566" s="22" t="str">
        <f aca="false">IF($B1566="","",G1566*N1566)</f>
        <v/>
      </c>
      <c r="P1566" s="22" t="str">
        <f aca="false">IF($B1566="","",IFERROR(INDEX(고객사!$K$5:$K$104,MATCH($B1566,고객사!$A$5:$A$104,0)),0))</f>
        <v/>
      </c>
      <c r="Q1566" s="22" t="str">
        <f aca="false">IF($B1566="","",G1566*P1566)</f>
        <v/>
      </c>
      <c r="R1566" s="22" t="str">
        <f aca="false">IF($B1566="","",O1566-Q1566-L1566)</f>
        <v/>
      </c>
      <c r="S1566" s="21" t="str">
        <f aca="false">IF(OR($B1566="",N(O1566)=0),"",R1566/O1566)</f>
        <v/>
      </c>
      <c r="T1566" s="14"/>
      <c r="U1566" s="19" t="n">
        <f aca="false">IF(OR($B1566="",$A1566=""),0,IF(COUNTIFS($A$5:$A1566,$A1566,$B$5:$B1566,$B1566)=1,1,0))</f>
        <v>0</v>
      </c>
    </row>
    <row r="1567" customFormat="false" ht="15" hidden="false" customHeight="false" outlineLevel="0" collapsed="false">
      <c r="A1567" s="17"/>
      <c r="B1567" s="13"/>
      <c r="C1567" s="20" t="str">
        <f aca="false">IF($B1567="","",IFERROR(INDEX(고객사!$B$5:$B$104,MATCH($B1567,고객사!$A$5:$A$104,0)),"코드 확인"))</f>
        <v/>
      </c>
      <c r="D1567" s="15"/>
      <c r="E1567" s="15"/>
      <c r="F1567" s="16"/>
      <c r="G1567" s="16"/>
      <c r="H1567" s="21" t="str">
        <f aca="false">IF(OR($B1567="",F1567=0),"",G1567/F1567)</f>
        <v/>
      </c>
      <c r="I1567" s="22" t="str">
        <f aca="false">IF($B1567="","",MAX(F1567-G1567,0))</f>
        <v/>
      </c>
      <c r="J1567" s="23" t="str">
        <f aca="false">IF($B1567="","",IFERROR(INDEX(고객사!$G$5:$G$104,MATCH($B1567,고객사!$A$5:$A$104,0)),""))</f>
        <v/>
      </c>
      <c r="K1567" s="16"/>
      <c r="L1567" s="22" t="str">
        <f aca="false">IF($B1567="","",K1567*IFERROR(INDEX(고객사!$L$5:$L$104,MATCH($B1567,고객사!$A$5:$A$104,0)),0))</f>
        <v/>
      </c>
      <c r="M1567" s="23" t="str">
        <f aca="false">IF($B1567="","",IF(AND(J1567="N",G1567&gt;0,K1567=0,IFERROR(INDEX(고객사!$H$5:$H$104,MATCH($B1567,고객사!$A$5:$A$104,0)),"")="자사 차량 운행"),"차량 미배정",""))</f>
        <v/>
      </c>
      <c r="N1567" s="22" t="str">
        <f aca="false">IF($B1567="","",IFERROR(INDEX(고객사!$J$5:$J$104,MATCH($B1567,고객사!$A$5:$A$104,0)),0))</f>
        <v/>
      </c>
      <c r="O1567" s="22" t="str">
        <f aca="false">IF($B1567="","",G1567*N1567)</f>
        <v/>
      </c>
      <c r="P1567" s="22" t="str">
        <f aca="false">IF($B1567="","",IFERROR(INDEX(고객사!$K$5:$K$104,MATCH($B1567,고객사!$A$5:$A$104,0)),0))</f>
        <v/>
      </c>
      <c r="Q1567" s="22" t="str">
        <f aca="false">IF($B1567="","",G1567*P1567)</f>
        <v/>
      </c>
      <c r="R1567" s="22" t="str">
        <f aca="false">IF($B1567="","",O1567-Q1567-L1567)</f>
        <v/>
      </c>
      <c r="S1567" s="21" t="str">
        <f aca="false">IF(OR($B1567="",N(O1567)=0),"",R1567/O1567)</f>
        <v/>
      </c>
      <c r="T1567" s="14"/>
      <c r="U1567" s="19" t="n">
        <f aca="false">IF(OR($B1567="",$A1567=""),0,IF(COUNTIFS($A$5:$A1567,$A1567,$B$5:$B1567,$B1567)=1,1,0))</f>
        <v>0</v>
      </c>
    </row>
    <row r="1568" customFormat="false" ht="15" hidden="false" customHeight="false" outlineLevel="0" collapsed="false">
      <c r="A1568" s="17"/>
      <c r="B1568" s="13"/>
      <c r="C1568" s="20" t="str">
        <f aca="false">IF($B1568="","",IFERROR(INDEX(고객사!$B$5:$B$104,MATCH($B1568,고객사!$A$5:$A$104,0)),"코드 확인"))</f>
        <v/>
      </c>
      <c r="D1568" s="15"/>
      <c r="E1568" s="15"/>
      <c r="F1568" s="16"/>
      <c r="G1568" s="16"/>
      <c r="H1568" s="21" t="str">
        <f aca="false">IF(OR($B1568="",F1568=0),"",G1568/F1568)</f>
        <v/>
      </c>
      <c r="I1568" s="22" t="str">
        <f aca="false">IF($B1568="","",MAX(F1568-G1568,0))</f>
        <v/>
      </c>
      <c r="J1568" s="23" t="str">
        <f aca="false">IF($B1568="","",IFERROR(INDEX(고객사!$G$5:$G$104,MATCH($B1568,고객사!$A$5:$A$104,0)),""))</f>
        <v/>
      </c>
      <c r="K1568" s="16"/>
      <c r="L1568" s="22" t="str">
        <f aca="false">IF($B1568="","",K1568*IFERROR(INDEX(고객사!$L$5:$L$104,MATCH($B1568,고객사!$A$5:$A$104,0)),0))</f>
        <v/>
      </c>
      <c r="M1568" s="23" t="str">
        <f aca="false">IF($B1568="","",IF(AND(J1568="N",G1568&gt;0,K1568=0,IFERROR(INDEX(고객사!$H$5:$H$104,MATCH($B1568,고객사!$A$5:$A$104,0)),"")="자사 차량 운행"),"차량 미배정",""))</f>
        <v/>
      </c>
      <c r="N1568" s="22" t="str">
        <f aca="false">IF($B1568="","",IFERROR(INDEX(고객사!$J$5:$J$104,MATCH($B1568,고객사!$A$5:$A$104,0)),0))</f>
        <v/>
      </c>
      <c r="O1568" s="22" t="str">
        <f aca="false">IF($B1568="","",G1568*N1568)</f>
        <v/>
      </c>
      <c r="P1568" s="22" t="str">
        <f aca="false">IF($B1568="","",IFERROR(INDEX(고객사!$K$5:$K$104,MATCH($B1568,고객사!$A$5:$A$104,0)),0))</f>
        <v/>
      </c>
      <c r="Q1568" s="22" t="str">
        <f aca="false">IF($B1568="","",G1568*P1568)</f>
        <v/>
      </c>
      <c r="R1568" s="22" t="str">
        <f aca="false">IF($B1568="","",O1568-Q1568-L1568)</f>
        <v/>
      </c>
      <c r="S1568" s="21" t="str">
        <f aca="false">IF(OR($B1568="",N(O1568)=0),"",R1568/O1568)</f>
        <v/>
      </c>
      <c r="T1568" s="14"/>
      <c r="U1568" s="19" t="n">
        <f aca="false">IF(OR($B1568="",$A1568=""),0,IF(COUNTIFS($A$5:$A1568,$A1568,$B$5:$B1568,$B1568)=1,1,0))</f>
        <v>0</v>
      </c>
    </row>
    <row r="1569" customFormat="false" ht="15" hidden="false" customHeight="false" outlineLevel="0" collapsed="false">
      <c r="A1569" s="17"/>
      <c r="B1569" s="13"/>
      <c r="C1569" s="20" t="str">
        <f aca="false">IF($B1569="","",IFERROR(INDEX(고객사!$B$5:$B$104,MATCH($B1569,고객사!$A$5:$A$104,0)),"코드 확인"))</f>
        <v/>
      </c>
      <c r="D1569" s="15"/>
      <c r="E1569" s="15"/>
      <c r="F1569" s="16"/>
      <c r="G1569" s="16"/>
      <c r="H1569" s="21" t="str">
        <f aca="false">IF(OR($B1569="",F1569=0),"",G1569/F1569)</f>
        <v/>
      </c>
      <c r="I1569" s="22" t="str">
        <f aca="false">IF($B1569="","",MAX(F1569-G1569,0))</f>
        <v/>
      </c>
      <c r="J1569" s="23" t="str">
        <f aca="false">IF($B1569="","",IFERROR(INDEX(고객사!$G$5:$G$104,MATCH($B1569,고객사!$A$5:$A$104,0)),""))</f>
        <v/>
      </c>
      <c r="K1569" s="16"/>
      <c r="L1569" s="22" t="str">
        <f aca="false">IF($B1569="","",K1569*IFERROR(INDEX(고객사!$L$5:$L$104,MATCH($B1569,고객사!$A$5:$A$104,0)),0))</f>
        <v/>
      </c>
      <c r="M1569" s="23" t="str">
        <f aca="false">IF($B1569="","",IF(AND(J1569="N",G1569&gt;0,K1569=0,IFERROR(INDEX(고객사!$H$5:$H$104,MATCH($B1569,고객사!$A$5:$A$104,0)),"")="자사 차량 운행"),"차량 미배정",""))</f>
        <v/>
      </c>
      <c r="N1569" s="22" t="str">
        <f aca="false">IF($B1569="","",IFERROR(INDEX(고객사!$J$5:$J$104,MATCH($B1569,고객사!$A$5:$A$104,0)),0))</f>
        <v/>
      </c>
      <c r="O1569" s="22" t="str">
        <f aca="false">IF($B1569="","",G1569*N1569)</f>
        <v/>
      </c>
      <c r="P1569" s="22" t="str">
        <f aca="false">IF($B1569="","",IFERROR(INDEX(고객사!$K$5:$K$104,MATCH($B1569,고객사!$A$5:$A$104,0)),0))</f>
        <v/>
      </c>
      <c r="Q1569" s="22" t="str">
        <f aca="false">IF($B1569="","",G1569*P1569)</f>
        <v/>
      </c>
      <c r="R1569" s="22" t="str">
        <f aca="false">IF($B1569="","",O1569-Q1569-L1569)</f>
        <v/>
      </c>
      <c r="S1569" s="21" t="str">
        <f aca="false">IF(OR($B1569="",N(O1569)=0),"",R1569/O1569)</f>
        <v/>
      </c>
      <c r="T1569" s="14"/>
      <c r="U1569" s="19" t="n">
        <f aca="false">IF(OR($B1569="",$A1569=""),0,IF(COUNTIFS($A$5:$A1569,$A1569,$B$5:$B1569,$B1569)=1,1,0))</f>
        <v>0</v>
      </c>
    </row>
    <row r="1570" customFormat="false" ht="15" hidden="false" customHeight="false" outlineLevel="0" collapsed="false">
      <c r="A1570" s="17"/>
      <c r="B1570" s="13"/>
      <c r="C1570" s="20" t="str">
        <f aca="false">IF($B1570="","",IFERROR(INDEX(고객사!$B$5:$B$104,MATCH($B1570,고객사!$A$5:$A$104,0)),"코드 확인"))</f>
        <v/>
      </c>
      <c r="D1570" s="15"/>
      <c r="E1570" s="15"/>
      <c r="F1570" s="16"/>
      <c r="G1570" s="16"/>
      <c r="H1570" s="21" t="str">
        <f aca="false">IF(OR($B1570="",F1570=0),"",G1570/F1570)</f>
        <v/>
      </c>
      <c r="I1570" s="22" t="str">
        <f aca="false">IF($B1570="","",MAX(F1570-G1570,0))</f>
        <v/>
      </c>
      <c r="J1570" s="23" t="str">
        <f aca="false">IF($B1570="","",IFERROR(INDEX(고객사!$G$5:$G$104,MATCH($B1570,고객사!$A$5:$A$104,0)),""))</f>
        <v/>
      </c>
      <c r="K1570" s="16"/>
      <c r="L1570" s="22" t="str">
        <f aca="false">IF($B1570="","",K1570*IFERROR(INDEX(고객사!$L$5:$L$104,MATCH($B1570,고객사!$A$5:$A$104,0)),0))</f>
        <v/>
      </c>
      <c r="M1570" s="23" t="str">
        <f aca="false">IF($B1570="","",IF(AND(J1570="N",G1570&gt;0,K1570=0,IFERROR(INDEX(고객사!$H$5:$H$104,MATCH($B1570,고객사!$A$5:$A$104,0)),"")="자사 차량 운행"),"차량 미배정",""))</f>
        <v/>
      </c>
      <c r="N1570" s="22" t="str">
        <f aca="false">IF($B1570="","",IFERROR(INDEX(고객사!$J$5:$J$104,MATCH($B1570,고객사!$A$5:$A$104,0)),0))</f>
        <v/>
      </c>
      <c r="O1570" s="22" t="str">
        <f aca="false">IF($B1570="","",G1570*N1570)</f>
        <v/>
      </c>
      <c r="P1570" s="22" t="str">
        <f aca="false">IF($B1570="","",IFERROR(INDEX(고객사!$K$5:$K$104,MATCH($B1570,고객사!$A$5:$A$104,0)),0))</f>
        <v/>
      </c>
      <c r="Q1570" s="22" t="str">
        <f aca="false">IF($B1570="","",G1570*P1570)</f>
        <v/>
      </c>
      <c r="R1570" s="22" t="str">
        <f aca="false">IF($B1570="","",O1570-Q1570-L1570)</f>
        <v/>
      </c>
      <c r="S1570" s="21" t="str">
        <f aca="false">IF(OR($B1570="",N(O1570)=0),"",R1570/O1570)</f>
        <v/>
      </c>
      <c r="T1570" s="14"/>
      <c r="U1570" s="19" t="n">
        <f aca="false">IF(OR($B1570="",$A1570=""),0,IF(COUNTIFS($A$5:$A1570,$A1570,$B$5:$B1570,$B1570)=1,1,0))</f>
        <v>0</v>
      </c>
    </row>
    <row r="1571" customFormat="false" ht="15" hidden="false" customHeight="false" outlineLevel="0" collapsed="false">
      <c r="A1571" s="17"/>
      <c r="B1571" s="13"/>
      <c r="C1571" s="20" t="str">
        <f aca="false">IF($B1571="","",IFERROR(INDEX(고객사!$B$5:$B$104,MATCH($B1571,고객사!$A$5:$A$104,0)),"코드 확인"))</f>
        <v/>
      </c>
      <c r="D1571" s="15"/>
      <c r="E1571" s="15"/>
      <c r="F1571" s="16"/>
      <c r="G1571" s="16"/>
      <c r="H1571" s="21" t="str">
        <f aca="false">IF(OR($B1571="",F1571=0),"",G1571/F1571)</f>
        <v/>
      </c>
      <c r="I1571" s="22" t="str">
        <f aca="false">IF($B1571="","",MAX(F1571-G1571,0))</f>
        <v/>
      </c>
      <c r="J1571" s="23" t="str">
        <f aca="false">IF($B1571="","",IFERROR(INDEX(고객사!$G$5:$G$104,MATCH($B1571,고객사!$A$5:$A$104,0)),""))</f>
        <v/>
      </c>
      <c r="K1571" s="16"/>
      <c r="L1571" s="22" t="str">
        <f aca="false">IF($B1571="","",K1571*IFERROR(INDEX(고객사!$L$5:$L$104,MATCH($B1571,고객사!$A$5:$A$104,0)),0))</f>
        <v/>
      </c>
      <c r="M1571" s="23" t="str">
        <f aca="false">IF($B1571="","",IF(AND(J1571="N",G1571&gt;0,K1571=0,IFERROR(INDEX(고객사!$H$5:$H$104,MATCH($B1571,고객사!$A$5:$A$104,0)),"")="자사 차량 운행"),"차량 미배정",""))</f>
        <v/>
      </c>
      <c r="N1571" s="22" t="str">
        <f aca="false">IF($B1571="","",IFERROR(INDEX(고객사!$J$5:$J$104,MATCH($B1571,고객사!$A$5:$A$104,0)),0))</f>
        <v/>
      </c>
      <c r="O1571" s="22" t="str">
        <f aca="false">IF($B1571="","",G1571*N1571)</f>
        <v/>
      </c>
      <c r="P1571" s="22" t="str">
        <f aca="false">IF($B1571="","",IFERROR(INDEX(고객사!$K$5:$K$104,MATCH($B1571,고객사!$A$5:$A$104,0)),0))</f>
        <v/>
      </c>
      <c r="Q1571" s="22" t="str">
        <f aca="false">IF($B1571="","",G1571*P1571)</f>
        <v/>
      </c>
      <c r="R1571" s="22" t="str">
        <f aca="false">IF($B1571="","",O1571-Q1571-L1571)</f>
        <v/>
      </c>
      <c r="S1571" s="21" t="str">
        <f aca="false">IF(OR($B1571="",N(O1571)=0),"",R1571/O1571)</f>
        <v/>
      </c>
      <c r="T1571" s="14"/>
      <c r="U1571" s="19" t="n">
        <f aca="false">IF(OR($B1571="",$A1571=""),0,IF(COUNTIFS($A$5:$A1571,$A1571,$B$5:$B1571,$B1571)=1,1,0))</f>
        <v>0</v>
      </c>
    </row>
    <row r="1572" customFormat="false" ht="15" hidden="false" customHeight="false" outlineLevel="0" collapsed="false">
      <c r="A1572" s="17"/>
      <c r="B1572" s="13"/>
      <c r="C1572" s="20" t="str">
        <f aca="false">IF($B1572="","",IFERROR(INDEX(고객사!$B$5:$B$104,MATCH($B1572,고객사!$A$5:$A$104,0)),"코드 확인"))</f>
        <v/>
      </c>
      <c r="D1572" s="15"/>
      <c r="E1572" s="15"/>
      <c r="F1572" s="16"/>
      <c r="G1572" s="16"/>
      <c r="H1572" s="21" t="str">
        <f aca="false">IF(OR($B1572="",F1572=0),"",G1572/F1572)</f>
        <v/>
      </c>
      <c r="I1572" s="22" t="str">
        <f aca="false">IF($B1572="","",MAX(F1572-G1572,0))</f>
        <v/>
      </c>
      <c r="J1572" s="23" t="str">
        <f aca="false">IF($B1572="","",IFERROR(INDEX(고객사!$G$5:$G$104,MATCH($B1572,고객사!$A$5:$A$104,0)),""))</f>
        <v/>
      </c>
      <c r="K1572" s="16"/>
      <c r="L1572" s="22" t="str">
        <f aca="false">IF($B1572="","",K1572*IFERROR(INDEX(고객사!$L$5:$L$104,MATCH($B1572,고객사!$A$5:$A$104,0)),0))</f>
        <v/>
      </c>
      <c r="M1572" s="23" t="str">
        <f aca="false">IF($B1572="","",IF(AND(J1572="N",G1572&gt;0,K1572=0,IFERROR(INDEX(고객사!$H$5:$H$104,MATCH($B1572,고객사!$A$5:$A$104,0)),"")="자사 차량 운행"),"차량 미배정",""))</f>
        <v/>
      </c>
      <c r="N1572" s="22" t="str">
        <f aca="false">IF($B1572="","",IFERROR(INDEX(고객사!$J$5:$J$104,MATCH($B1572,고객사!$A$5:$A$104,0)),0))</f>
        <v/>
      </c>
      <c r="O1572" s="22" t="str">
        <f aca="false">IF($B1572="","",G1572*N1572)</f>
        <v/>
      </c>
      <c r="P1572" s="22" t="str">
        <f aca="false">IF($B1572="","",IFERROR(INDEX(고객사!$K$5:$K$104,MATCH($B1572,고객사!$A$5:$A$104,0)),0))</f>
        <v/>
      </c>
      <c r="Q1572" s="22" t="str">
        <f aca="false">IF($B1572="","",G1572*P1572)</f>
        <v/>
      </c>
      <c r="R1572" s="22" t="str">
        <f aca="false">IF($B1572="","",O1572-Q1572-L1572)</f>
        <v/>
      </c>
      <c r="S1572" s="21" t="str">
        <f aca="false">IF(OR($B1572="",N(O1572)=0),"",R1572/O1572)</f>
        <v/>
      </c>
      <c r="T1572" s="14"/>
      <c r="U1572" s="19" t="n">
        <f aca="false">IF(OR($B1572="",$A1572=""),0,IF(COUNTIFS($A$5:$A1572,$A1572,$B$5:$B1572,$B1572)=1,1,0))</f>
        <v>0</v>
      </c>
    </row>
    <row r="1573" customFormat="false" ht="15" hidden="false" customHeight="false" outlineLevel="0" collapsed="false">
      <c r="A1573" s="17"/>
      <c r="B1573" s="13"/>
      <c r="C1573" s="20" t="str">
        <f aca="false">IF($B1573="","",IFERROR(INDEX(고객사!$B$5:$B$104,MATCH($B1573,고객사!$A$5:$A$104,0)),"코드 확인"))</f>
        <v/>
      </c>
      <c r="D1573" s="15"/>
      <c r="E1573" s="15"/>
      <c r="F1573" s="16"/>
      <c r="G1573" s="16"/>
      <c r="H1573" s="21" t="str">
        <f aca="false">IF(OR($B1573="",F1573=0),"",G1573/F1573)</f>
        <v/>
      </c>
      <c r="I1573" s="22" t="str">
        <f aca="false">IF($B1573="","",MAX(F1573-G1573,0))</f>
        <v/>
      </c>
      <c r="J1573" s="23" t="str">
        <f aca="false">IF($B1573="","",IFERROR(INDEX(고객사!$G$5:$G$104,MATCH($B1573,고객사!$A$5:$A$104,0)),""))</f>
        <v/>
      </c>
      <c r="K1573" s="16"/>
      <c r="L1573" s="22" t="str">
        <f aca="false">IF($B1573="","",K1573*IFERROR(INDEX(고객사!$L$5:$L$104,MATCH($B1573,고객사!$A$5:$A$104,0)),0))</f>
        <v/>
      </c>
      <c r="M1573" s="23" t="str">
        <f aca="false">IF($B1573="","",IF(AND(J1573="N",G1573&gt;0,K1573=0,IFERROR(INDEX(고객사!$H$5:$H$104,MATCH($B1573,고객사!$A$5:$A$104,0)),"")="자사 차량 운행"),"차량 미배정",""))</f>
        <v/>
      </c>
      <c r="N1573" s="22" t="str">
        <f aca="false">IF($B1573="","",IFERROR(INDEX(고객사!$J$5:$J$104,MATCH($B1573,고객사!$A$5:$A$104,0)),0))</f>
        <v/>
      </c>
      <c r="O1573" s="22" t="str">
        <f aca="false">IF($B1573="","",G1573*N1573)</f>
        <v/>
      </c>
      <c r="P1573" s="22" t="str">
        <f aca="false">IF($B1573="","",IFERROR(INDEX(고객사!$K$5:$K$104,MATCH($B1573,고객사!$A$5:$A$104,0)),0))</f>
        <v/>
      </c>
      <c r="Q1573" s="22" t="str">
        <f aca="false">IF($B1573="","",G1573*P1573)</f>
        <v/>
      </c>
      <c r="R1573" s="22" t="str">
        <f aca="false">IF($B1573="","",O1573-Q1573-L1573)</f>
        <v/>
      </c>
      <c r="S1573" s="21" t="str">
        <f aca="false">IF(OR($B1573="",N(O1573)=0),"",R1573/O1573)</f>
        <v/>
      </c>
      <c r="T1573" s="14"/>
      <c r="U1573" s="19" t="n">
        <f aca="false">IF(OR($B1573="",$A1573=""),0,IF(COUNTIFS($A$5:$A1573,$A1573,$B$5:$B1573,$B1573)=1,1,0))</f>
        <v>0</v>
      </c>
    </row>
    <row r="1574" customFormat="false" ht="15" hidden="false" customHeight="false" outlineLevel="0" collapsed="false">
      <c r="A1574" s="17"/>
      <c r="B1574" s="13"/>
      <c r="C1574" s="20" t="str">
        <f aca="false">IF($B1574="","",IFERROR(INDEX(고객사!$B$5:$B$104,MATCH($B1574,고객사!$A$5:$A$104,0)),"코드 확인"))</f>
        <v/>
      </c>
      <c r="D1574" s="15"/>
      <c r="E1574" s="15"/>
      <c r="F1574" s="16"/>
      <c r="G1574" s="16"/>
      <c r="H1574" s="21" t="str">
        <f aca="false">IF(OR($B1574="",F1574=0),"",G1574/F1574)</f>
        <v/>
      </c>
      <c r="I1574" s="22" t="str">
        <f aca="false">IF($B1574="","",MAX(F1574-G1574,0))</f>
        <v/>
      </c>
      <c r="J1574" s="23" t="str">
        <f aca="false">IF($B1574="","",IFERROR(INDEX(고객사!$G$5:$G$104,MATCH($B1574,고객사!$A$5:$A$104,0)),""))</f>
        <v/>
      </c>
      <c r="K1574" s="16"/>
      <c r="L1574" s="22" t="str">
        <f aca="false">IF($B1574="","",K1574*IFERROR(INDEX(고객사!$L$5:$L$104,MATCH($B1574,고객사!$A$5:$A$104,0)),0))</f>
        <v/>
      </c>
      <c r="M1574" s="23" t="str">
        <f aca="false">IF($B1574="","",IF(AND(J1574="N",G1574&gt;0,K1574=0,IFERROR(INDEX(고객사!$H$5:$H$104,MATCH($B1574,고객사!$A$5:$A$104,0)),"")="자사 차량 운행"),"차량 미배정",""))</f>
        <v/>
      </c>
      <c r="N1574" s="22" t="str">
        <f aca="false">IF($B1574="","",IFERROR(INDEX(고객사!$J$5:$J$104,MATCH($B1574,고객사!$A$5:$A$104,0)),0))</f>
        <v/>
      </c>
      <c r="O1574" s="22" t="str">
        <f aca="false">IF($B1574="","",G1574*N1574)</f>
        <v/>
      </c>
      <c r="P1574" s="22" t="str">
        <f aca="false">IF($B1574="","",IFERROR(INDEX(고객사!$K$5:$K$104,MATCH($B1574,고객사!$A$5:$A$104,0)),0))</f>
        <v/>
      </c>
      <c r="Q1574" s="22" t="str">
        <f aca="false">IF($B1574="","",G1574*P1574)</f>
        <v/>
      </c>
      <c r="R1574" s="22" t="str">
        <f aca="false">IF($B1574="","",O1574-Q1574-L1574)</f>
        <v/>
      </c>
      <c r="S1574" s="21" t="str">
        <f aca="false">IF(OR($B1574="",N(O1574)=0),"",R1574/O1574)</f>
        <v/>
      </c>
      <c r="T1574" s="14"/>
      <c r="U1574" s="19" t="n">
        <f aca="false">IF(OR($B1574="",$A1574=""),0,IF(COUNTIFS($A$5:$A1574,$A1574,$B$5:$B1574,$B1574)=1,1,0))</f>
        <v>0</v>
      </c>
    </row>
    <row r="1575" customFormat="false" ht="15" hidden="false" customHeight="false" outlineLevel="0" collapsed="false">
      <c r="A1575" s="17"/>
      <c r="B1575" s="13"/>
      <c r="C1575" s="20" t="str">
        <f aca="false">IF($B1575="","",IFERROR(INDEX(고객사!$B$5:$B$104,MATCH($B1575,고객사!$A$5:$A$104,0)),"코드 확인"))</f>
        <v/>
      </c>
      <c r="D1575" s="15"/>
      <c r="E1575" s="15"/>
      <c r="F1575" s="16"/>
      <c r="G1575" s="16"/>
      <c r="H1575" s="21" t="str">
        <f aca="false">IF(OR($B1575="",F1575=0),"",G1575/F1575)</f>
        <v/>
      </c>
      <c r="I1575" s="22" t="str">
        <f aca="false">IF($B1575="","",MAX(F1575-G1575,0))</f>
        <v/>
      </c>
      <c r="J1575" s="23" t="str">
        <f aca="false">IF($B1575="","",IFERROR(INDEX(고객사!$G$5:$G$104,MATCH($B1575,고객사!$A$5:$A$104,0)),""))</f>
        <v/>
      </c>
      <c r="K1575" s="16"/>
      <c r="L1575" s="22" t="str">
        <f aca="false">IF($B1575="","",K1575*IFERROR(INDEX(고객사!$L$5:$L$104,MATCH($B1575,고객사!$A$5:$A$104,0)),0))</f>
        <v/>
      </c>
      <c r="M1575" s="23" t="str">
        <f aca="false">IF($B1575="","",IF(AND(J1575="N",G1575&gt;0,K1575=0,IFERROR(INDEX(고객사!$H$5:$H$104,MATCH($B1575,고객사!$A$5:$A$104,0)),"")="자사 차량 운행"),"차량 미배정",""))</f>
        <v/>
      </c>
      <c r="N1575" s="22" t="str">
        <f aca="false">IF($B1575="","",IFERROR(INDEX(고객사!$J$5:$J$104,MATCH($B1575,고객사!$A$5:$A$104,0)),0))</f>
        <v/>
      </c>
      <c r="O1575" s="22" t="str">
        <f aca="false">IF($B1575="","",G1575*N1575)</f>
        <v/>
      </c>
      <c r="P1575" s="22" t="str">
        <f aca="false">IF($B1575="","",IFERROR(INDEX(고객사!$K$5:$K$104,MATCH($B1575,고객사!$A$5:$A$104,0)),0))</f>
        <v/>
      </c>
      <c r="Q1575" s="22" t="str">
        <f aca="false">IF($B1575="","",G1575*P1575)</f>
        <v/>
      </c>
      <c r="R1575" s="22" t="str">
        <f aca="false">IF($B1575="","",O1575-Q1575-L1575)</f>
        <v/>
      </c>
      <c r="S1575" s="21" t="str">
        <f aca="false">IF(OR($B1575="",N(O1575)=0),"",R1575/O1575)</f>
        <v/>
      </c>
      <c r="T1575" s="14"/>
      <c r="U1575" s="19" t="n">
        <f aca="false">IF(OR($B1575="",$A1575=""),0,IF(COUNTIFS($A$5:$A1575,$A1575,$B$5:$B1575,$B1575)=1,1,0))</f>
        <v>0</v>
      </c>
    </row>
    <row r="1576" customFormat="false" ht="15" hidden="false" customHeight="false" outlineLevel="0" collapsed="false">
      <c r="A1576" s="17"/>
      <c r="B1576" s="13"/>
      <c r="C1576" s="20" t="str">
        <f aca="false">IF($B1576="","",IFERROR(INDEX(고객사!$B$5:$B$104,MATCH($B1576,고객사!$A$5:$A$104,0)),"코드 확인"))</f>
        <v/>
      </c>
      <c r="D1576" s="15"/>
      <c r="E1576" s="15"/>
      <c r="F1576" s="16"/>
      <c r="G1576" s="16"/>
      <c r="H1576" s="21" t="str">
        <f aca="false">IF(OR($B1576="",F1576=0),"",G1576/F1576)</f>
        <v/>
      </c>
      <c r="I1576" s="22" t="str">
        <f aca="false">IF($B1576="","",MAX(F1576-G1576,0))</f>
        <v/>
      </c>
      <c r="J1576" s="23" t="str">
        <f aca="false">IF($B1576="","",IFERROR(INDEX(고객사!$G$5:$G$104,MATCH($B1576,고객사!$A$5:$A$104,0)),""))</f>
        <v/>
      </c>
      <c r="K1576" s="16"/>
      <c r="L1576" s="22" t="str">
        <f aca="false">IF($B1576="","",K1576*IFERROR(INDEX(고객사!$L$5:$L$104,MATCH($B1576,고객사!$A$5:$A$104,0)),0))</f>
        <v/>
      </c>
      <c r="M1576" s="23" t="str">
        <f aca="false">IF($B1576="","",IF(AND(J1576="N",G1576&gt;0,K1576=0,IFERROR(INDEX(고객사!$H$5:$H$104,MATCH($B1576,고객사!$A$5:$A$104,0)),"")="자사 차량 운행"),"차량 미배정",""))</f>
        <v/>
      </c>
      <c r="N1576" s="22" t="str">
        <f aca="false">IF($B1576="","",IFERROR(INDEX(고객사!$J$5:$J$104,MATCH($B1576,고객사!$A$5:$A$104,0)),0))</f>
        <v/>
      </c>
      <c r="O1576" s="22" t="str">
        <f aca="false">IF($B1576="","",G1576*N1576)</f>
        <v/>
      </c>
      <c r="P1576" s="22" t="str">
        <f aca="false">IF($B1576="","",IFERROR(INDEX(고객사!$K$5:$K$104,MATCH($B1576,고객사!$A$5:$A$104,0)),0))</f>
        <v/>
      </c>
      <c r="Q1576" s="22" t="str">
        <f aca="false">IF($B1576="","",G1576*P1576)</f>
        <v/>
      </c>
      <c r="R1576" s="22" t="str">
        <f aca="false">IF($B1576="","",O1576-Q1576-L1576)</f>
        <v/>
      </c>
      <c r="S1576" s="21" t="str">
        <f aca="false">IF(OR($B1576="",N(O1576)=0),"",R1576/O1576)</f>
        <v/>
      </c>
      <c r="T1576" s="14"/>
      <c r="U1576" s="19" t="n">
        <f aca="false">IF(OR($B1576="",$A1576=""),0,IF(COUNTIFS($A$5:$A1576,$A1576,$B$5:$B1576,$B1576)=1,1,0))</f>
        <v>0</v>
      </c>
    </row>
    <row r="1577" customFormat="false" ht="15" hidden="false" customHeight="false" outlineLevel="0" collapsed="false">
      <c r="A1577" s="17"/>
      <c r="B1577" s="13"/>
      <c r="C1577" s="20" t="str">
        <f aca="false">IF($B1577="","",IFERROR(INDEX(고객사!$B$5:$B$104,MATCH($B1577,고객사!$A$5:$A$104,0)),"코드 확인"))</f>
        <v/>
      </c>
      <c r="D1577" s="15"/>
      <c r="E1577" s="15"/>
      <c r="F1577" s="16"/>
      <c r="G1577" s="16"/>
      <c r="H1577" s="21" t="str">
        <f aca="false">IF(OR($B1577="",F1577=0),"",G1577/F1577)</f>
        <v/>
      </c>
      <c r="I1577" s="22" t="str">
        <f aca="false">IF($B1577="","",MAX(F1577-G1577,0))</f>
        <v/>
      </c>
      <c r="J1577" s="23" t="str">
        <f aca="false">IF($B1577="","",IFERROR(INDEX(고객사!$G$5:$G$104,MATCH($B1577,고객사!$A$5:$A$104,0)),""))</f>
        <v/>
      </c>
      <c r="K1577" s="16"/>
      <c r="L1577" s="22" t="str">
        <f aca="false">IF($B1577="","",K1577*IFERROR(INDEX(고객사!$L$5:$L$104,MATCH($B1577,고객사!$A$5:$A$104,0)),0))</f>
        <v/>
      </c>
      <c r="M1577" s="23" t="str">
        <f aca="false">IF($B1577="","",IF(AND(J1577="N",G1577&gt;0,K1577=0,IFERROR(INDEX(고객사!$H$5:$H$104,MATCH($B1577,고객사!$A$5:$A$104,0)),"")="자사 차량 운행"),"차량 미배정",""))</f>
        <v/>
      </c>
      <c r="N1577" s="22" t="str">
        <f aca="false">IF($B1577="","",IFERROR(INDEX(고객사!$J$5:$J$104,MATCH($B1577,고객사!$A$5:$A$104,0)),0))</f>
        <v/>
      </c>
      <c r="O1577" s="22" t="str">
        <f aca="false">IF($B1577="","",G1577*N1577)</f>
        <v/>
      </c>
      <c r="P1577" s="22" t="str">
        <f aca="false">IF($B1577="","",IFERROR(INDEX(고객사!$K$5:$K$104,MATCH($B1577,고객사!$A$5:$A$104,0)),0))</f>
        <v/>
      </c>
      <c r="Q1577" s="22" t="str">
        <f aca="false">IF($B1577="","",G1577*P1577)</f>
        <v/>
      </c>
      <c r="R1577" s="22" t="str">
        <f aca="false">IF($B1577="","",O1577-Q1577-L1577)</f>
        <v/>
      </c>
      <c r="S1577" s="21" t="str">
        <f aca="false">IF(OR($B1577="",N(O1577)=0),"",R1577/O1577)</f>
        <v/>
      </c>
      <c r="T1577" s="14"/>
      <c r="U1577" s="19" t="n">
        <f aca="false">IF(OR($B1577="",$A1577=""),0,IF(COUNTIFS($A$5:$A1577,$A1577,$B$5:$B1577,$B1577)=1,1,0))</f>
        <v>0</v>
      </c>
    </row>
    <row r="1578" customFormat="false" ht="15" hidden="false" customHeight="false" outlineLevel="0" collapsed="false">
      <c r="A1578" s="17"/>
      <c r="B1578" s="13"/>
      <c r="C1578" s="20" t="str">
        <f aca="false">IF($B1578="","",IFERROR(INDEX(고객사!$B$5:$B$104,MATCH($B1578,고객사!$A$5:$A$104,0)),"코드 확인"))</f>
        <v/>
      </c>
      <c r="D1578" s="15"/>
      <c r="E1578" s="15"/>
      <c r="F1578" s="16"/>
      <c r="G1578" s="16"/>
      <c r="H1578" s="21" t="str">
        <f aca="false">IF(OR($B1578="",F1578=0),"",G1578/F1578)</f>
        <v/>
      </c>
      <c r="I1578" s="22" t="str">
        <f aca="false">IF($B1578="","",MAX(F1578-G1578,0))</f>
        <v/>
      </c>
      <c r="J1578" s="23" t="str">
        <f aca="false">IF($B1578="","",IFERROR(INDEX(고객사!$G$5:$G$104,MATCH($B1578,고객사!$A$5:$A$104,0)),""))</f>
        <v/>
      </c>
      <c r="K1578" s="16"/>
      <c r="L1578" s="22" t="str">
        <f aca="false">IF($B1578="","",K1578*IFERROR(INDEX(고객사!$L$5:$L$104,MATCH($B1578,고객사!$A$5:$A$104,0)),0))</f>
        <v/>
      </c>
      <c r="M1578" s="23" t="str">
        <f aca="false">IF($B1578="","",IF(AND(J1578="N",G1578&gt;0,K1578=0,IFERROR(INDEX(고객사!$H$5:$H$104,MATCH($B1578,고객사!$A$5:$A$104,0)),"")="자사 차량 운행"),"차량 미배정",""))</f>
        <v/>
      </c>
      <c r="N1578" s="22" t="str">
        <f aca="false">IF($B1578="","",IFERROR(INDEX(고객사!$J$5:$J$104,MATCH($B1578,고객사!$A$5:$A$104,0)),0))</f>
        <v/>
      </c>
      <c r="O1578" s="22" t="str">
        <f aca="false">IF($B1578="","",G1578*N1578)</f>
        <v/>
      </c>
      <c r="P1578" s="22" t="str">
        <f aca="false">IF($B1578="","",IFERROR(INDEX(고객사!$K$5:$K$104,MATCH($B1578,고객사!$A$5:$A$104,0)),0))</f>
        <v/>
      </c>
      <c r="Q1578" s="22" t="str">
        <f aca="false">IF($B1578="","",G1578*P1578)</f>
        <v/>
      </c>
      <c r="R1578" s="22" t="str">
        <f aca="false">IF($B1578="","",O1578-Q1578-L1578)</f>
        <v/>
      </c>
      <c r="S1578" s="21" t="str">
        <f aca="false">IF(OR($B1578="",N(O1578)=0),"",R1578/O1578)</f>
        <v/>
      </c>
      <c r="T1578" s="14"/>
      <c r="U1578" s="19" t="n">
        <f aca="false">IF(OR($B1578="",$A1578=""),0,IF(COUNTIFS($A$5:$A1578,$A1578,$B$5:$B1578,$B1578)=1,1,0))</f>
        <v>0</v>
      </c>
    </row>
    <row r="1579" customFormat="false" ht="15" hidden="false" customHeight="false" outlineLevel="0" collapsed="false">
      <c r="A1579" s="17"/>
      <c r="B1579" s="13"/>
      <c r="C1579" s="20" t="str">
        <f aca="false">IF($B1579="","",IFERROR(INDEX(고객사!$B$5:$B$104,MATCH($B1579,고객사!$A$5:$A$104,0)),"코드 확인"))</f>
        <v/>
      </c>
      <c r="D1579" s="15"/>
      <c r="E1579" s="15"/>
      <c r="F1579" s="16"/>
      <c r="G1579" s="16"/>
      <c r="H1579" s="21" t="str">
        <f aca="false">IF(OR($B1579="",F1579=0),"",G1579/F1579)</f>
        <v/>
      </c>
      <c r="I1579" s="22" t="str">
        <f aca="false">IF($B1579="","",MAX(F1579-G1579,0))</f>
        <v/>
      </c>
      <c r="J1579" s="23" t="str">
        <f aca="false">IF($B1579="","",IFERROR(INDEX(고객사!$G$5:$G$104,MATCH($B1579,고객사!$A$5:$A$104,0)),""))</f>
        <v/>
      </c>
      <c r="K1579" s="16"/>
      <c r="L1579" s="22" t="str">
        <f aca="false">IF($B1579="","",K1579*IFERROR(INDEX(고객사!$L$5:$L$104,MATCH($B1579,고객사!$A$5:$A$104,0)),0))</f>
        <v/>
      </c>
      <c r="M1579" s="23" t="str">
        <f aca="false">IF($B1579="","",IF(AND(J1579="N",G1579&gt;0,K1579=0,IFERROR(INDEX(고객사!$H$5:$H$104,MATCH($B1579,고객사!$A$5:$A$104,0)),"")="자사 차량 운행"),"차량 미배정",""))</f>
        <v/>
      </c>
      <c r="N1579" s="22" t="str">
        <f aca="false">IF($B1579="","",IFERROR(INDEX(고객사!$J$5:$J$104,MATCH($B1579,고객사!$A$5:$A$104,0)),0))</f>
        <v/>
      </c>
      <c r="O1579" s="22" t="str">
        <f aca="false">IF($B1579="","",G1579*N1579)</f>
        <v/>
      </c>
      <c r="P1579" s="22" t="str">
        <f aca="false">IF($B1579="","",IFERROR(INDEX(고객사!$K$5:$K$104,MATCH($B1579,고객사!$A$5:$A$104,0)),0))</f>
        <v/>
      </c>
      <c r="Q1579" s="22" t="str">
        <f aca="false">IF($B1579="","",G1579*P1579)</f>
        <v/>
      </c>
      <c r="R1579" s="22" t="str">
        <f aca="false">IF($B1579="","",O1579-Q1579-L1579)</f>
        <v/>
      </c>
      <c r="S1579" s="21" t="str">
        <f aca="false">IF(OR($B1579="",N(O1579)=0),"",R1579/O1579)</f>
        <v/>
      </c>
      <c r="T1579" s="14"/>
      <c r="U1579" s="19" t="n">
        <f aca="false">IF(OR($B1579="",$A1579=""),0,IF(COUNTIFS($A$5:$A1579,$A1579,$B$5:$B1579,$B1579)=1,1,0))</f>
        <v>0</v>
      </c>
    </row>
    <row r="1580" customFormat="false" ht="15" hidden="false" customHeight="false" outlineLevel="0" collapsed="false">
      <c r="A1580" s="17"/>
      <c r="B1580" s="13"/>
      <c r="C1580" s="20" t="str">
        <f aca="false">IF($B1580="","",IFERROR(INDEX(고객사!$B$5:$B$104,MATCH($B1580,고객사!$A$5:$A$104,0)),"코드 확인"))</f>
        <v/>
      </c>
      <c r="D1580" s="15"/>
      <c r="E1580" s="15"/>
      <c r="F1580" s="16"/>
      <c r="G1580" s="16"/>
      <c r="H1580" s="21" t="str">
        <f aca="false">IF(OR($B1580="",F1580=0),"",G1580/F1580)</f>
        <v/>
      </c>
      <c r="I1580" s="22" t="str">
        <f aca="false">IF($B1580="","",MAX(F1580-G1580,0))</f>
        <v/>
      </c>
      <c r="J1580" s="23" t="str">
        <f aca="false">IF($B1580="","",IFERROR(INDEX(고객사!$G$5:$G$104,MATCH($B1580,고객사!$A$5:$A$104,0)),""))</f>
        <v/>
      </c>
      <c r="K1580" s="16"/>
      <c r="L1580" s="22" t="str">
        <f aca="false">IF($B1580="","",K1580*IFERROR(INDEX(고객사!$L$5:$L$104,MATCH($B1580,고객사!$A$5:$A$104,0)),0))</f>
        <v/>
      </c>
      <c r="M1580" s="23" t="str">
        <f aca="false">IF($B1580="","",IF(AND(J1580="N",G1580&gt;0,K1580=0,IFERROR(INDEX(고객사!$H$5:$H$104,MATCH($B1580,고객사!$A$5:$A$104,0)),"")="자사 차량 운행"),"차량 미배정",""))</f>
        <v/>
      </c>
      <c r="N1580" s="22" t="str">
        <f aca="false">IF($B1580="","",IFERROR(INDEX(고객사!$J$5:$J$104,MATCH($B1580,고객사!$A$5:$A$104,0)),0))</f>
        <v/>
      </c>
      <c r="O1580" s="22" t="str">
        <f aca="false">IF($B1580="","",G1580*N1580)</f>
        <v/>
      </c>
      <c r="P1580" s="22" t="str">
        <f aca="false">IF($B1580="","",IFERROR(INDEX(고객사!$K$5:$K$104,MATCH($B1580,고객사!$A$5:$A$104,0)),0))</f>
        <v/>
      </c>
      <c r="Q1580" s="22" t="str">
        <f aca="false">IF($B1580="","",G1580*P1580)</f>
        <v/>
      </c>
      <c r="R1580" s="22" t="str">
        <f aca="false">IF($B1580="","",O1580-Q1580-L1580)</f>
        <v/>
      </c>
      <c r="S1580" s="21" t="str">
        <f aca="false">IF(OR($B1580="",N(O1580)=0),"",R1580/O1580)</f>
        <v/>
      </c>
      <c r="T1580" s="14"/>
      <c r="U1580" s="19" t="n">
        <f aca="false">IF(OR($B1580="",$A1580=""),0,IF(COUNTIFS($A$5:$A1580,$A1580,$B$5:$B1580,$B1580)=1,1,0))</f>
        <v>0</v>
      </c>
    </row>
    <row r="1581" customFormat="false" ht="15" hidden="false" customHeight="false" outlineLevel="0" collapsed="false">
      <c r="A1581" s="17"/>
      <c r="B1581" s="13"/>
      <c r="C1581" s="20" t="str">
        <f aca="false">IF($B1581="","",IFERROR(INDEX(고객사!$B$5:$B$104,MATCH($B1581,고객사!$A$5:$A$104,0)),"코드 확인"))</f>
        <v/>
      </c>
      <c r="D1581" s="15"/>
      <c r="E1581" s="15"/>
      <c r="F1581" s="16"/>
      <c r="G1581" s="16"/>
      <c r="H1581" s="21" t="str">
        <f aca="false">IF(OR($B1581="",F1581=0),"",G1581/F1581)</f>
        <v/>
      </c>
      <c r="I1581" s="22" t="str">
        <f aca="false">IF($B1581="","",MAX(F1581-G1581,0))</f>
        <v/>
      </c>
      <c r="J1581" s="23" t="str">
        <f aca="false">IF($B1581="","",IFERROR(INDEX(고객사!$G$5:$G$104,MATCH($B1581,고객사!$A$5:$A$104,0)),""))</f>
        <v/>
      </c>
      <c r="K1581" s="16"/>
      <c r="L1581" s="22" t="str">
        <f aca="false">IF($B1581="","",K1581*IFERROR(INDEX(고객사!$L$5:$L$104,MATCH($B1581,고객사!$A$5:$A$104,0)),0))</f>
        <v/>
      </c>
      <c r="M1581" s="23" t="str">
        <f aca="false">IF($B1581="","",IF(AND(J1581="N",G1581&gt;0,K1581=0,IFERROR(INDEX(고객사!$H$5:$H$104,MATCH($B1581,고객사!$A$5:$A$104,0)),"")="자사 차량 운행"),"차량 미배정",""))</f>
        <v/>
      </c>
      <c r="N1581" s="22" t="str">
        <f aca="false">IF($B1581="","",IFERROR(INDEX(고객사!$J$5:$J$104,MATCH($B1581,고객사!$A$5:$A$104,0)),0))</f>
        <v/>
      </c>
      <c r="O1581" s="22" t="str">
        <f aca="false">IF($B1581="","",G1581*N1581)</f>
        <v/>
      </c>
      <c r="P1581" s="22" t="str">
        <f aca="false">IF($B1581="","",IFERROR(INDEX(고객사!$K$5:$K$104,MATCH($B1581,고객사!$A$5:$A$104,0)),0))</f>
        <v/>
      </c>
      <c r="Q1581" s="22" t="str">
        <f aca="false">IF($B1581="","",G1581*P1581)</f>
        <v/>
      </c>
      <c r="R1581" s="22" t="str">
        <f aca="false">IF($B1581="","",O1581-Q1581-L1581)</f>
        <v/>
      </c>
      <c r="S1581" s="21" t="str">
        <f aca="false">IF(OR($B1581="",N(O1581)=0),"",R1581/O1581)</f>
        <v/>
      </c>
      <c r="T1581" s="14"/>
      <c r="U1581" s="19" t="n">
        <f aca="false">IF(OR($B1581="",$A1581=""),0,IF(COUNTIFS($A$5:$A1581,$A1581,$B$5:$B1581,$B1581)=1,1,0))</f>
        <v>0</v>
      </c>
    </row>
    <row r="1582" customFormat="false" ht="15" hidden="false" customHeight="false" outlineLevel="0" collapsed="false">
      <c r="A1582" s="17"/>
      <c r="B1582" s="13"/>
      <c r="C1582" s="20" t="str">
        <f aca="false">IF($B1582="","",IFERROR(INDEX(고객사!$B$5:$B$104,MATCH($B1582,고객사!$A$5:$A$104,0)),"코드 확인"))</f>
        <v/>
      </c>
      <c r="D1582" s="15"/>
      <c r="E1582" s="15"/>
      <c r="F1582" s="16"/>
      <c r="G1582" s="16"/>
      <c r="H1582" s="21" t="str">
        <f aca="false">IF(OR($B1582="",F1582=0),"",G1582/F1582)</f>
        <v/>
      </c>
      <c r="I1582" s="22" t="str">
        <f aca="false">IF($B1582="","",MAX(F1582-G1582,0))</f>
        <v/>
      </c>
      <c r="J1582" s="23" t="str">
        <f aca="false">IF($B1582="","",IFERROR(INDEX(고객사!$G$5:$G$104,MATCH($B1582,고객사!$A$5:$A$104,0)),""))</f>
        <v/>
      </c>
      <c r="K1582" s="16"/>
      <c r="L1582" s="22" t="str">
        <f aca="false">IF($B1582="","",K1582*IFERROR(INDEX(고객사!$L$5:$L$104,MATCH($B1582,고객사!$A$5:$A$104,0)),0))</f>
        <v/>
      </c>
      <c r="M1582" s="23" t="str">
        <f aca="false">IF($B1582="","",IF(AND(J1582="N",G1582&gt;0,K1582=0,IFERROR(INDEX(고객사!$H$5:$H$104,MATCH($B1582,고객사!$A$5:$A$104,0)),"")="자사 차량 운행"),"차량 미배정",""))</f>
        <v/>
      </c>
      <c r="N1582" s="22" t="str">
        <f aca="false">IF($B1582="","",IFERROR(INDEX(고객사!$J$5:$J$104,MATCH($B1582,고객사!$A$5:$A$104,0)),0))</f>
        <v/>
      </c>
      <c r="O1582" s="22" t="str">
        <f aca="false">IF($B1582="","",G1582*N1582)</f>
        <v/>
      </c>
      <c r="P1582" s="22" t="str">
        <f aca="false">IF($B1582="","",IFERROR(INDEX(고객사!$K$5:$K$104,MATCH($B1582,고객사!$A$5:$A$104,0)),0))</f>
        <v/>
      </c>
      <c r="Q1582" s="22" t="str">
        <f aca="false">IF($B1582="","",G1582*P1582)</f>
        <v/>
      </c>
      <c r="R1582" s="22" t="str">
        <f aca="false">IF($B1582="","",O1582-Q1582-L1582)</f>
        <v/>
      </c>
      <c r="S1582" s="21" t="str">
        <f aca="false">IF(OR($B1582="",N(O1582)=0),"",R1582/O1582)</f>
        <v/>
      </c>
      <c r="T1582" s="14"/>
      <c r="U1582" s="19" t="n">
        <f aca="false">IF(OR($B1582="",$A1582=""),0,IF(COUNTIFS($A$5:$A1582,$A1582,$B$5:$B1582,$B1582)=1,1,0))</f>
        <v>0</v>
      </c>
    </row>
    <row r="1583" customFormat="false" ht="15" hidden="false" customHeight="false" outlineLevel="0" collapsed="false">
      <c r="A1583" s="17"/>
      <c r="B1583" s="13"/>
      <c r="C1583" s="20" t="str">
        <f aca="false">IF($B1583="","",IFERROR(INDEX(고객사!$B$5:$B$104,MATCH($B1583,고객사!$A$5:$A$104,0)),"코드 확인"))</f>
        <v/>
      </c>
      <c r="D1583" s="15"/>
      <c r="E1583" s="15"/>
      <c r="F1583" s="16"/>
      <c r="G1583" s="16"/>
      <c r="H1583" s="21" t="str">
        <f aca="false">IF(OR($B1583="",F1583=0),"",G1583/F1583)</f>
        <v/>
      </c>
      <c r="I1583" s="22" t="str">
        <f aca="false">IF($B1583="","",MAX(F1583-G1583,0))</f>
        <v/>
      </c>
      <c r="J1583" s="23" t="str">
        <f aca="false">IF($B1583="","",IFERROR(INDEX(고객사!$G$5:$G$104,MATCH($B1583,고객사!$A$5:$A$104,0)),""))</f>
        <v/>
      </c>
      <c r="K1583" s="16"/>
      <c r="L1583" s="22" t="str">
        <f aca="false">IF($B1583="","",K1583*IFERROR(INDEX(고객사!$L$5:$L$104,MATCH($B1583,고객사!$A$5:$A$104,0)),0))</f>
        <v/>
      </c>
      <c r="M1583" s="23" t="str">
        <f aca="false">IF($B1583="","",IF(AND(J1583="N",G1583&gt;0,K1583=0,IFERROR(INDEX(고객사!$H$5:$H$104,MATCH($B1583,고객사!$A$5:$A$104,0)),"")="자사 차량 운행"),"차량 미배정",""))</f>
        <v/>
      </c>
      <c r="N1583" s="22" t="str">
        <f aca="false">IF($B1583="","",IFERROR(INDEX(고객사!$J$5:$J$104,MATCH($B1583,고객사!$A$5:$A$104,0)),0))</f>
        <v/>
      </c>
      <c r="O1583" s="22" t="str">
        <f aca="false">IF($B1583="","",G1583*N1583)</f>
        <v/>
      </c>
      <c r="P1583" s="22" t="str">
        <f aca="false">IF($B1583="","",IFERROR(INDEX(고객사!$K$5:$K$104,MATCH($B1583,고객사!$A$5:$A$104,0)),0))</f>
        <v/>
      </c>
      <c r="Q1583" s="22" t="str">
        <f aca="false">IF($B1583="","",G1583*P1583)</f>
        <v/>
      </c>
      <c r="R1583" s="22" t="str">
        <f aca="false">IF($B1583="","",O1583-Q1583-L1583)</f>
        <v/>
      </c>
      <c r="S1583" s="21" t="str">
        <f aca="false">IF(OR($B1583="",N(O1583)=0),"",R1583/O1583)</f>
        <v/>
      </c>
      <c r="T1583" s="14"/>
      <c r="U1583" s="19" t="n">
        <f aca="false">IF(OR($B1583="",$A1583=""),0,IF(COUNTIFS($A$5:$A1583,$A1583,$B$5:$B1583,$B1583)=1,1,0))</f>
        <v>0</v>
      </c>
    </row>
    <row r="1584" customFormat="false" ht="15" hidden="false" customHeight="false" outlineLevel="0" collapsed="false">
      <c r="A1584" s="17"/>
      <c r="B1584" s="13"/>
      <c r="C1584" s="20" t="str">
        <f aca="false">IF($B1584="","",IFERROR(INDEX(고객사!$B$5:$B$104,MATCH($B1584,고객사!$A$5:$A$104,0)),"코드 확인"))</f>
        <v/>
      </c>
      <c r="D1584" s="15"/>
      <c r="E1584" s="15"/>
      <c r="F1584" s="16"/>
      <c r="G1584" s="16"/>
      <c r="H1584" s="21" t="str">
        <f aca="false">IF(OR($B1584="",F1584=0),"",G1584/F1584)</f>
        <v/>
      </c>
      <c r="I1584" s="22" t="str">
        <f aca="false">IF($B1584="","",MAX(F1584-G1584,0))</f>
        <v/>
      </c>
      <c r="J1584" s="23" t="str">
        <f aca="false">IF($B1584="","",IFERROR(INDEX(고객사!$G$5:$G$104,MATCH($B1584,고객사!$A$5:$A$104,0)),""))</f>
        <v/>
      </c>
      <c r="K1584" s="16"/>
      <c r="L1584" s="22" t="str">
        <f aca="false">IF($B1584="","",K1584*IFERROR(INDEX(고객사!$L$5:$L$104,MATCH($B1584,고객사!$A$5:$A$104,0)),0))</f>
        <v/>
      </c>
      <c r="M1584" s="23" t="str">
        <f aca="false">IF($B1584="","",IF(AND(J1584="N",G1584&gt;0,K1584=0,IFERROR(INDEX(고객사!$H$5:$H$104,MATCH($B1584,고객사!$A$5:$A$104,0)),"")="자사 차량 운행"),"차량 미배정",""))</f>
        <v/>
      </c>
      <c r="N1584" s="22" t="str">
        <f aca="false">IF($B1584="","",IFERROR(INDEX(고객사!$J$5:$J$104,MATCH($B1584,고객사!$A$5:$A$104,0)),0))</f>
        <v/>
      </c>
      <c r="O1584" s="22" t="str">
        <f aca="false">IF($B1584="","",G1584*N1584)</f>
        <v/>
      </c>
      <c r="P1584" s="22" t="str">
        <f aca="false">IF($B1584="","",IFERROR(INDEX(고객사!$K$5:$K$104,MATCH($B1584,고객사!$A$5:$A$104,0)),0))</f>
        <v/>
      </c>
      <c r="Q1584" s="22" t="str">
        <f aca="false">IF($B1584="","",G1584*P1584)</f>
        <v/>
      </c>
      <c r="R1584" s="22" t="str">
        <f aca="false">IF($B1584="","",O1584-Q1584-L1584)</f>
        <v/>
      </c>
      <c r="S1584" s="21" t="str">
        <f aca="false">IF(OR($B1584="",N(O1584)=0),"",R1584/O1584)</f>
        <v/>
      </c>
      <c r="T1584" s="14"/>
      <c r="U1584" s="19" t="n">
        <f aca="false">IF(OR($B1584="",$A1584=""),0,IF(COUNTIFS($A$5:$A1584,$A1584,$B$5:$B1584,$B1584)=1,1,0))</f>
        <v>0</v>
      </c>
    </row>
    <row r="1585" customFormat="false" ht="15" hidden="false" customHeight="false" outlineLevel="0" collapsed="false">
      <c r="A1585" s="17"/>
      <c r="B1585" s="13"/>
      <c r="C1585" s="20" t="str">
        <f aca="false">IF($B1585="","",IFERROR(INDEX(고객사!$B$5:$B$104,MATCH($B1585,고객사!$A$5:$A$104,0)),"코드 확인"))</f>
        <v/>
      </c>
      <c r="D1585" s="15"/>
      <c r="E1585" s="15"/>
      <c r="F1585" s="16"/>
      <c r="G1585" s="16"/>
      <c r="H1585" s="21" t="str">
        <f aca="false">IF(OR($B1585="",F1585=0),"",G1585/F1585)</f>
        <v/>
      </c>
      <c r="I1585" s="22" t="str">
        <f aca="false">IF($B1585="","",MAX(F1585-G1585,0))</f>
        <v/>
      </c>
      <c r="J1585" s="23" t="str">
        <f aca="false">IF($B1585="","",IFERROR(INDEX(고객사!$G$5:$G$104,MATCH($B1585,고객사!$A$5:$A$104,0)),""))</f>
        <v/>
      </c>
      <c r="K1585" s="16"/>
      <c r="L1585" s="22" t="str">
        <f aca="false">IF($B1585="","",K1585*IFERROR(INDEX(고객사!$L$5:$L$104,MATCH($B1585,고객사!$A$5:$A$104,0)),0))</f>
        <v/>
      </c>
      <c r="M1585" s="23" t="str">
        <f aca="false">IF($B1585="","",IF(AND(J1585="N",G1585&gt;0,K1585=0,IFERROR(INDEX(고객사!$H$5:$H$104,MATCH($B1585,고객사!$A$5:$A$104,0)),"")="자사 차량 운행"),"차량 미배정",""))</f>
        <v/>
      </c>
      <c r="N1585" s="22" t="str">
        <f aca="false">IF($B1585="","",IFERROR(INDEX(고객사!$J$5:$J$104,MATCH($B1585,고객사!$A$5:$A$104,0)),0))</f>
        <v/>
      </c>
      <c r="O1585" s="22" t="str">
        <f aca="false">IF($B1585="","",G1585*N1585)</f>
        <v/>
      </c>
      <c r="P1585" s="22" t="str">
        <f aca="false">IF($B1585="","",IFERROR(INDEX(고객사!$K$5:$K$104,MATCH($B1585,고객사!$A$5:$A$104,0)),0))</f>
        <v/>
      </c>
      <c r="Q1585" s="22" t="str">
        <f aca="false">IF($B1585="","",G1585*P1585)</f>
        <v/>
      </c>
      <c r="R1585" s="22" t="str">
        <f aca="false">IF($B1585="","",O1585-Q1585-L1585)</f>
        <v/>
      </c>
      <c r="S1585" s="21" t="str">
        <f aca="false">IF(OR($B1585="",N(O1585)=0),"",R1585/O1585)</f>
        <v/>
      </c>
      <c r="T1585" s="14"/>
      <c r="U1585" s="19" t="n">
        <f aca="false">IF(OR($B1585="",$A1585=""),0,IF(COUNTIFS($A$5:$A1585,$A1585,$B$5:$B1585,$B1585)=1,1,0))</f>
        <v>0</v>
      </c>
    </row>
    <row r="1586" customFormat="false" ht="15" hidden="false" customHeight="false" outlineLevel="0" collapsed="false">
      <c r="A1586" s="17"/>
      <c r="B1586" s="13"/>
      <c r="C1586" s="20" t="str">
        <f aca="false">IF($B1586="","",IFERROR(INDEX(고객사!$B$5:$B$104,MATCH($B1586,고객사!$A$5:$A$104,0)),"코드 확인"))</f>
        <v/>
      </c>
      <c r="D1586" s="15"/>
      <c r="E1586" s="15"/>
      <c r="F1586" s="16"/>
      <c r="G1586" s="16"/>
      <c r="H1586" s="21" t="str">
        <f aca="false">IF(OR($B1586="",F1586=0),"",G1586/F1586)</f>
        <v/>
      </c>
      <c r="I1586" s="22" t="str">
        <f aca="false">IF($B1586="","",MAX(F1586-G1586,0))</f>
        <v/>
      </c>
      <c r="J1586" s="23" t="str">
        <f aca="false">IF($B1586="","",IFERROR(INDEX(고객사!$G$5:$G$104,MATCH($B1586,고객사!$A$5:$A$104,0)),""))</f>
        <v/>
      </c>
      <c r="K1586" s="16"/>
      <c r="L1586" s="22" t="str">
        <f aca="false">IF($B1586="","",K1586*IFERROR(INDEX(고객사!$L$5:$L$104,MATCH($B1586,고객사!$A$5:$A$104,0)),0))</f>
        <v/>
      </c>
      <c r="M1586" s="23" t="str">
        <f aca="false">IF($B1586="","",IF(AND(J1586="N",G1586&gt;0,K1586=0,IFERROR(INDEX(고객사!$H$5:$H$104,MATCH($B1586,고객사!$A$5:$A$104,0)),"")="자사 차량 운행"),"차량 미배정",""))</f>
        <v/>
      </c>
      <c r="N1586" s="22" t="str">
        <f aca="false">IF($B1586="","",IFERROR(INDEX(고객사!$J$5:$J$104,MATCH($B1586,고객사!$A$5:$A$104,0)),0))</f>
        <v/>
      </c>
      <c r="O1586" s="22" t="str">
        <f aca="false">IF($B1586="","",G1586*N1586)</f>
        <v/>
      </c>
      <c r="P1586" s="22" t="str">
        <f aca="false">IF($B1586="","",IFERROR(INDEX(고객사!$K$5:$K$104,MATCH($B1586,고객사!$A$5:$A$104,0)),0))</f>
        <v/>
      </c>
      <c r="Q1586" s="22" t="str">
        <f aca="false">IF($B1586="","",G1586*P1586)</f>
        <v/>
      </c>
      <c r="R1586" s="22" t="str">
        <f aca="false">IF($B1586="","",O1586-Q1586-L1586)</f>
        <v/>
      </c>
      <c r="S1586" s="21" t="str">
        <f aca="false">IF(OR($B1586="",N(O1586)=0),"",R1586/O1586)</f>
        <v/>
      </c>
      <c r="T1586" s="14"/>
      <c r="U1586" s="19" t="n">
        <f aca="false">IF(OR($B1586="",$A1586=""),0,IF(COUNTIFS($A$5:$A1586,$A1586,$B$5:$B1586,$B1586)=1,1,0))</f>
        <v>0</v>
      </c>
    </row>
    <row r="1587" customFormat="false" ht="15" hidden="false" customHeight="false" outlineLevel="0" collapsed="false">
      <c r="A1587" s="17"/>
      <c r="B1587" s="13"/>
      <c r="C1587" s="20" t="str">
        <f aca="false">IF($B1587="","",IFERROR(INDEX(고객사!$B$5:$B$104,MATCH($B1587,고객사!$A$5:$A$104,0)),"코드 확인"))</f>
        <v/>
      </c>
      <c r="D1587" s="15"/>
      <c r="E1587" s="15"/>
      <c r="F1587" s="16"/>
      <c r="G1587" s="16"/>
      <c r="H1587" s="21" t="str">
        <f aca="false">IF(OR($B1587="",F1587=0),"",G1587/F1587)</f>
        <v/>
      </c>
      <c r="I1587" s="22" t="str">
        <f aca="false">IF($B1587="","",MAX(F1587-G1587,0))</f>
        <v/>
      </c>
      <c r="J1587" s="23" t="str">
        <f aca="false">IF($B1587="","",IFERROR(INDEX(고객사!$G$5:$G$104,MATCH($B1587,고객사!$A$5:$A$104,0)),""))</f>
        <v/>
      </c>
      <c r="K1587" s="16"/>
      <c r="L1587" s="22" t="str">
        <f aca="false">IF($B1587="","",K1587*IFERROR(INDEX(고객사!$L$5:$L$104,MATCH($B1587,고객사!$A$5:$A$104,0)),0))</f>
        <v/>
      </c>
      <c r="M1587" s="23" t="str">
        <f aca="false">IF($B1587="","",IF(AND(J1587="N",G1587&gt;0,K1587=0,IFERROR(INDEX(고객사!$H$5:$H$104,MATCH($B1587,고객사!$A$5:$A$104,0)),"")="자사 차량 운행"),"차량 미배정",""))</f>
        <v/>
      </c>
      <c r="N1587" s="22" t="str">
        <f aca="false">IF($B1587="","",IFERROR(INDEX(고객사!$J$5:$J$104,MATCH($B1587,고객사!$A$5:$A$104,0)),0))</f>
        <v/>
      </c>
      <c r="O1587" s="22" t="str">
        <f aca="false">IF($B1587="","",G1587*N1587)</f>
        <v/>
      </c>
      <c r="P1587" s="22" t="str">
        <f aca="false">IF($B1587="","",IFERROR(INDEX(고객사!$K$5:$K$104,MATCH($B1587,고객사!$A$5:$A$104,0)),0))</f>
        <v/>
      </c>
      <c r="Q1587" s="22" t="str">
        <f aca="false">IF($B1587="","",G1587*P1587)</f>
        <v/>
      </c>
      <c r="R1587" s="22" t="str">
        <f aca="false">IF($B1587="","",O1587-Q1587-L1587)</f>
        <v/>
      </c>
      <c r="S1587" s="21" t="str">
        <f aca="false">IF(OR($B1587="",N(O1587)=0),"",R1587/O1587)</f>
        <v/>
      </c>
      <c r="T1587" s="14"/>
      <c r="U1587" s="19" t="n">
        <f aca="false">IF(OR($B1587="",$A1587=""),0,IF(COUNTIFS($A$5:$A1587,$A1587,$B$5:$B1587,$B1587)=1,1,0))</f>
        <v>0</v>
      </c>
    </row>
    <row r="1588" customFormat="false" ht="15" hidden="false" customHeight="false" outlineLevel="0" collapsed="false">
      <c r="A1588" s="17"/>
      <c r="B1588" s="13"/>
      <c r="C1588" s="20" t="str">
        <f aca="false">IF($B1588="","",IFERROR(INDEX(고객사!$B$5:$B$104,MATCH($B1588,고객사!$A$5:$A$104,0)),"코드 확인"))</f>
        <v/>
      </c>
      <c r="D1588" s="15"/>
      <c r="E1588" s="15"/>
      <c r="F1588" s="16"/>
      <c r="G1588" s="16"/>
      <c r="H1588" s="21" t="str">
        <f aca="false">IF(OR($B1588="",F1588=0),"",G1588/F1588)</f>
        <v/>
      </c>
      <c r="I1588" s="22" t="str">
        <f aca="false">IF($B1588="","",MAX(F1588-G1588,0))</f>
        <v/>
      </c>
      <c r="J1588" s="23" t="str">
        <f aca="false">IF($B1588="","",IFERROR(INDEX(고객사!$G$5:$G$104,MATCH($B1588,고객사!$A$5:$A$104,0)),""))</f>
        <v/>
      </c>
      <c r="K1588" s="16"/>
      <c r="L1588" s="22" t="str">
        <f aca="false">IF($B1588="","",K1588*IFERROR(INDEX(고객사!$L$5:$L$104,MATCH($B1588,고객사!$A$5:$A$104,0)),0))</f>
        <v/>
      </c>
      <c r="M1588" s="23" t="str">
        <f aca="false">IF($B1588="","",IF(AND(J1588="N",G1588&gt;0,K1588=0,IFERROR(INDEX(고객사!$H$5:$H$104,MATCH($B1588,고객사!$A$5:$A$104,0)),"")="자사 차량 운행"),"차량 미배정",""))</f>
        <v/>
      </c>
      <c r="N1588" s="22" t="str">
        <f aca="false">IF($B1588="","",IFERROR(INDEX(고객사!$J$5:$J$104,MATCH($B1588,고객사!$A$5:$A$104,0)),0))</f>
        <v/>
      </c>
      <c r="O1588" s="22" t="str">
        <f aca="false">IF($B1588="","",G1588*N1588)</f>
        <v/>
      </c>
      <c r="P1588" s="22" t="str">
        <f aca="false">IF($B1588="","",IFERROR(INDEX(고객사!$K$5:$K$104,MATCH($B1588,고객사!$A$5:$A$104,0)),0))</f>
        <v/>
      </c>
      <c r="Q1588" s="22" t="str">
        <f aca="false">IF($B1588="","",G1588*P1588)</f>
        <v/>
      </c>
      <c r="R1588" s="22" t="str">
        <f aca="false">IF($B1588="","",O1588-Q1588-L1588)</f>
        <v/>
      </c>
      <c r="S1588" s="21" t="str">
        <f aca="false">IF(OR($B1588="",N(O1588)=0),"",R1588/O1588)</f>
        <v/>
      </c>
      <c r="T1588" s="14"/>
      <c r="U1588" s="19" t="n">
        <f aca="false">IF(OR($B1588="",$A1588=""),0,IF(COUNTIFS($A$5:$A1588,$A1588,$B$5:$B1588,$B1588)=1,1,0))</f>
        <v>0</v>
      </c>
    </row>
    <row r="1589" customFormat="false" ht="15" hidden="false" customHeight="false" outlineLevel="0" collapsed="false">
      <c r="A1589" s="17"/>
      <c r="B1589" s="13"/>
      <c r="C1589" s="20" t="str">
        <f aca="false">IF($B1589="","",IFERROR(INDEX(고객사!$B$5:$B$104,MATCH($B1589,고객사!$A$5:$A$104,0)),"코드 확인"))</f>
        <v/>
      </c>
      <c r="D1589" s="15"/>
      <c r="E1589" s="15"/>
      <c r="F1589" s="16"/>
      <c r="G1589" s="16"/>
      <c r="H1589" s="21" t="str">
        <f aca="false">IF(OR($B1589="",F1589=0),"",G1589/F1589)</f>
        <v/>
      </c>
      <c r="I1589" s="22" t="str">
        <f aca="false">IF($B1589="","",MAX(F1589-G1589,0))</f>
        <v/>
      </c>
      <c r="J1589" s="23" t="str">
        <f aca="false">IF($B1589="","",IFERROR(INDEX(고객사!$G$5:$G$104,MATCH($B1589,고객사!$A$5:$A$104,0)),""))</f>
        <v/>
      </c>
      <c r="K1589" s="16"/>
      <c r="L1589" s="22" t="str">
        <f aca="false">IF($B1589="","",K1589*IFERROR(INDEX(고객사!$L$5:$L$104,MATCH($B1589,고객사!$A$5:$A$104,0)),0))</f>
        <v/>
      </c>
      <c r="M1589" s="23" t="str">
        <f aca="false">IF($B1589="","",IF(AND(J1589="N",G1589&gt;0,K1589=0,IFERROR(INDEX(고객사!$H$5:$H$104,MATCH($B1589,고객사!$A$5:$A$104,0)),"")="자사 차량 운행"),"차량 미배정",""))</f>
        <v/>
      </c>
      <c r="N1589" s="22" t="str">
        <f aca="false">IF($B1589="","",IFERROR(INDEX(고객사!$J$5:$J$104,MATCH($B1589,고객사!$A$5:$A$104,0)),0))</f>
        <v/>
      </c>
      <c r="O1589" s="22" t="str">
        <f aca="false">IF($B1589="","",G1589*N1589)</f>
        <v/>
      </c>
      <c r="P1589" s="22" t="str">
        <f aca="false">IF($B1589="","",IFERROR(INDEX(고객사!$K$5:$K$104,MATCH($B1589,고객사!$A$5:$A$104,0)),0))</f>
        <v/>
      </c>
      <c r="Q1589" s="22" t="str">
        <f aca="false">IF($B1589="","",G1589*P1589)</f>
        <v/>
      </c>
      <c r="R1589" s="22" t="str">
        <f aca="false">IF($B1589="","",O1589-Q1589-L1589)</f>
        <v/>
      </c>
      <c r="S1589" s="21" t="str">
        <f aca="false">IF(OR($B1589="",N(O1589)=0),"",R1589/O1589)</f>
        <v/>
      </c>
      <c r="T1589" s="14"/>
      <c r="U1589" s="19" t="n">
        <f aca="false">IF(OR($B1589="",$A1589=""),0,IF(COUNTIFS($A$5:$A1589,$A1589,$B$5:$B1589,$B1589)=1,1,0))</f>
        <v>0</v>
      </c>
    </row>
    <row r="1590" customFormat="false" ht="15" hidden="false" customHeight="false" outlineLevel="0" collapsed="false">
      <c r="A1590" s="17"/>
      <c r="B1590" s="13"/>
      <c r="C1590" s="20" t="str">
        <f aca="false">IF($B1590="","",IFERROR(INDEX(고객사!$B$5:$B$104,MATCH($B1590,고객사!$A$5:$A$104,0)),"코드 확인"))</f>
        <v/>
      </c>
      <c r="D1590" s="15"/>
      <c r="E1590" s="15"/>
      <c r="F1590" s="16"/>
      <c r="G1590" s="16"/>
      <c r="H1590" s="21" t="str">
        <f aca="false">IF(OR($B1590="",F1590=0),"",G1590/F1590)</f>
        <v/>
      </c>
      <c r="I1590" s="22" t="str">
        <f aca="false">IF($B1590="","",MAX(F1590-G1590,0))</f>
        <v/>
      </c>
      <c r="J1590" s="23" t="str">
        <f aca="false">IF($B1590="","",IFERROR(INDEX(고객사!$G$5:$G$104,MATCH($B1590,고객사!$A$5:$A$104,0)),""))</f>
        <v/>
      </c>
      <c r="K1590" s="16"/>
      <c r="L1590" s="22" t="str">
        <f aca="false">IF($B1590="","",K1590*IFERROR(INDEX(고객사!$L$5:$L$104,MATCH($B1590,고객사!$A$5:$A$104,0)),0))</f>
        <v/>
      </c>
      <c r="M1590" s="23" t="str">
        <f aca="false">IF($B1590="","",IF(AND(J1590="N",G1590&gt;0,K1590=0,IFERROR(INDEX(고객사!$H$5:$H$104,MATCH($B1590,고객사!$A$5:$A$104,0)),"")="자사 차량 운행"),"차량 미배정",""))</f>
        <v/>
      </c>
      <c r="N1590" s="22" t="str">
        <f aca="false">IF($B1590="","",IFERROR(INDEX(고객사!$J$5:$J$104,MATCH($B1590,고객사!$A$5:$A$104,0)),0))</f>
        <v/>
      </c>
      <c r="O1590" s="22" t="str">
        <f aca="false">IF($B1590="","",G1590*N1590)</f>
        <v/>
      </c>
      <c r="P1590" s="22" t="str">
        <f aca="false">IF($B1590="","",IFERROR(INDEX(고객사!$K$5:$K$104,MATCH($B1590,고객사!$A$5:$A$104,0)),0))</f>
        <v/>
      </c>
      <c r="Q1590" s="22" t="str">
        <f aca="false">IF($B1590="","",G1590*P1590)</f>
        <v/>
      </c>
      <c r="R1590" s="22" t="str">
        <f aca="false">IF($B1590="","",O1590-Q1590-L1590)</f>
        <v/>
      </c>
      <c r="S1590" s="21" t="str">
        <f aca="false">IF(OR($B1590="",N(O1590)=0),"",R1590/O1590)</f>
        <v/>
      </c>
      <c r="T1590" s="14"/>
      <c r="U1590" s="19" t="n">
        <f aca="false">IF(OR($B1590="",$A1590=""),0,IF(COUNTIFS($A$5:$A1590,$A1590,$B$5:$B1590,$B1590)=1,1,0))</f>
        <v>0</v>
      </c>
    </row>
    <row r="1591" customFormat="false" ht="15" hidden="false" customHeight="false" outlineLevel="0" collapsed="false">
      <c r="A1591" s="17"/>
      <c r="B1591" s="13"/>
      <c r="C1591" s="20" t="str">
        <f aca="false">IF($B1591="","",IFERROR(INDEX(고객사!$B$5:$B$104,MATCH($B1591,고객사!$A$5:$A$104,0)),"코드 확인"))</f>
        <v/>
      </c>
      <c r="D1591" s="15"/>
      <c r="E1591" s="15"/>
      <c r="F1591" s="16"/>
      <c r="G1591" s="16"/>
      <c r="H1591" s="21" t="str">
        <f aca="false">IF(OR($B1591="",F1591=0),"",G1591/F1591)</f>
        <v/>
      </c>
      <c r="I1591" s="22" t="str">
        <f aca="false">IF($B1591="","",MAX(F1591-G1591,0))</f>
        <v/>
      </c>
      <c r="J1591" s="23" t="str">
        <f aca="false">IF($B1591="","",IFERROR(INDEX(고객사!$G$5:$G$104,MATCH($B1591,고객사!$A$5:$A$104,0)),""))</f>
        <v/>
      </c>
      <c r="K1591" s="16"/>
      <c r="L1591" s="22" t="str">
        <f aca="false">IF($B1591="","",K1591*IFERROR(INDEX(고객사!$L$5:$L$104,MATCH($B1591,고객사!$A$5:$A$104,0)),0))</f>
        <v/>
      </c>
      <c r="M1591" s="23" t="str">
        <f aca="false">IF($B1591="","",IF(AND(J1591="N",G1591&gt;0,K1591=0,IFERROR(INDEX(고객사!$H$5:$H$104,MATCH($B1591,고객사!$A$5:$A$104,0)),"")="자사 차량 운행"),"차량 미배정",""))</f>
        <v/>
      </c>
      <c r="N1591" s="22" t="str">
        <f aca="false">IF($B1591="","",IFERROR(INDEX(고객사!$J$5:$J$104,MATCH($B1591,고객사!$A$5:$A$104,0)),0))</f>
        <v/>
      </c>
      <c r="O1591" s="22" t="str">
        <f aca="false">IF($B1591="","",G1591*N1591)</f>
        <v/>
      </c>
      <c r="P1591" s="22" t="str">
        <f aca="false">IF($B1591="","",IFERROR(INDEX(고객사!$K$5:$K$104,MATCH($B1591,고객사!$A$5:$A$104,0)),0))</f>
        <v/>
      </c>
      <c r="Q1591" s="22" t="str">
        <f aca="false">IF($B1591="","",G1591*P1591)</f>
        <v/>
      </c>
      <c r="R1591" s="22" t="str">
        <f aca="false">IF($B1591="","",O1591-Q1591-L1591)</f>
        <v/>
      </c>
      <c r="S1591" s="21" t="str">
        <f aca="false">IF(OR($B1591="",N(O1591)=0),"",R1591/O1591)</f>
        <v/>
      </c>
      <c r="T1591" s="14"/>
      <c r="U1591" s="19" t="n">
        <f aca="false">IF(OR($B1591="",$A1591=""),0,IF(COUNTIFS($A$5:$A1591,$A1591,$B$5:$B1591,$B1591)=1,1,0))</f>
        <v>0</v>
      </c>
    </row>
    <row r="1592" customFormat="false" ht="15" hidden="false" customHeight="false" outlineLevel="0" collapsed="false">
      <c r="A1592" s="17"/>
      <c r="B1592" s="13"/>
      <c r="C1592" s="20" t="str">
        <f aca="false">IF($B1592="","",IFERROR(INDEX(고객사!$B$5:$B$104,MATCH($B1592,고객사!$A$5:$A$104,0)),"코드 확인"))</f>
        <v/>
      </c>
      <c r="D1592" s="15"/>
      <c r="E1592" s="15"/>
      <c r="F1592" s="16"/>
      <c r="G1592" s="16"/>
      <c r="H1592" s="21" t="str">
        <f aca="false">IF(OR($B1592="",F1592=0),"",G1592/F1592)</f>
        <v/>
      </c>
      <c r="I1592" s="22" t="str">
        <f aca="false">IF($B1592="","",MAX(F1592-G1592,0))</f>
        <v/>
      </c>
      <c r="J1592" s="23" t="str">
        <f aca="false">IF($B1592="","",IFERROR(INDEX(고객사!$G$5:$G$104,MATCH($B1592,고객사!$A$5:$A$104,0)),""))</f>
        <v/>
      </c>
      <c r="K1592" s="16"/>
      <c r="L1592" s="22" t="str">
        <f aca="false">IF($B1592="","",K1592*IFERROR(INDEX(고객사!$L$5:$L$104,MATCH($B1592,고객사!$A$5:$A$104,0)),0))</f>
        <v/>
      </c>
      <c r="M1592" s="23" t="str">
        <f aca="false">IF($B1592="","",IF(AND(J1592="N",G1592&gt;0,K1592=0,IFERROR(INDEX(고객사!$H$5:$H$104,MATCH($B1592,고객사!$A$5:$A$104,0)),"")="자사 차량 운행"),"차량 미배정",""))</f>
        <v/>
      </c>
      <c r="N1592" s="22" t="str">
        <f aca="false">IF($B1592="","",IFERROR(INDEX(고객사!$J$5:$J$104,MATCH($B1592,고객사!$A$5:$A$104,0)),0))</f>
        <v/>
      </c>
      <c r="O1592" s="22" t="str">
        <f aca="false">IF($B1592="","",G1592*N1592)</f>
        <v/>
      </c>
      <c r="P1592" s="22" t="str">
        <f aca="false">IF($B1592="","",IFERROR(INDEX(고객사!$K$5:$K$104,MATCH($B1592,고객사!$A$5:$A$104,0)),0))</f>
        <v/>
      </c>
      <c r="Q1592" s="22" t="str">
        <f aca="false">IF($B1592="","",G1592*P1592)</f>
        <v/>
      </c>
      <c r="R1592" s="22" t="str">
        <f aca="false">IF($B1592="","",O1592-Q1592-L1592)</f>
        <v/>
      </c>
      <c r="S1592" s="21" t="str">
        <f aca="false">IF(OR($B1592="",N(O1592)=0),"",R1592/O1592)</f>
        <v/>
      </c>
      <c r="T1592" s="14"/>
      <c r="U1592" s="19" t="n">
        <f aca="false">IF(OR($B1592="",$A1592=""),0,IF(COUNTIFS($A$5:$A1592,$A1592,$B$5:$B1592,$B1592)=1,1,0))</f>
        <v>0</v>
      </c>
    </row>
    <row r="1593" customFormat="false" ht="15" hidden="false" customHeight="false" outlineLevel="0" collapsed="false">
      <c r="A1593" s="17"/>
      <c r="B1593" s="13"/>
      <c r="C1593" s="20" t="str">
        <f aca="false">IF($B1593="","",IFERROR(INDEX(고객사!$B$5:$B$104,MATCH($B1593,고객사!$A$5:$A$104,0)),"코드 확인"))</f>
        <v/>
      </c>
      <c r="D1593" s="15"/>
      <c r="E1593" s="15"/>
      <c r="F1593" s="16"/>
      <c r="G1593" s="16"/>
      <c r="H1593" s="21" t="str">
        <f aca="false">IF(OR($B1593="",F1593=0),"",G1593/F1593)</f>
        <v/>
      </c>
      <c r="I1593" s="22" t="str">
        <f aca="false">IF($B1593="","",MAX(F1593-G1593,0))</f>
        <v/>
      </c>
      <c r="J1593" s="23" t="str">
        <f aca="false">IF($B1593="","",IFERROR(INDEX(고객사!$G$5:$G$104,MATCH($B1593,고객사!$A$5:$A$104,0)),""))</f>
        <v/>
      </c>
      <c r="K1593" s="16"/>
      <c r="L1593" s="22" t="str">
        <f aca="false">IF($B1593="","",K1593*IFERROR(INDEX(고객사!$L$5:$L$104,MATCH($B1593,고객사!$A$5:$A$104,0)),0))</f>
        <v/>
      </c>
      <c r="M1593" s="23" t="str">
        <f aca="false">IF($B1593="","",IF(AND(J1593="N",G1593&gt;0,K1593=0,IFERROR(INDEX(고객사!$H$5:$H$104,MATCH($B1593,고객사!$A$5:$A$104,0)),"")="자사 차량 운행"),"차량 미배정",""))</f>
        <v/>
      </c>
      <c r="N1593" s="22" t="str">
        <f aca="false">IF($B1593="","",IFERROR(INDEX(고객사!$J$5:$J$104,MATCH($B1593,고객사!$A$5:$A$104,0)),0))</f>
        <v/>
      </c>
      <c r="O1593" s="22" t="str">
        <f aca="false">IF($B1593="","",G1593*N1593)</f>
        <v/>
      </c>
      <c r="P1593" s="22" t="str">
        <f aca="false">IF($B1593="","",IFERROR(INDEX(고객사!$K$5:$K$104,MATCH($B1593,고객사!$A$5:$A$104,0)),0))</f>
        <v/>
      </c>
      <c r="Q1593" s="22" t="str">
        <f aca="false">IF($B1593="","",G1593*P1593)</f>
        <v/>
      </c>
      <c r="R1593" s="22" t="str">
        <f aca="false">IF($B1593="","",O1593-Q1593-L1593)</f>
        <v/>
      </c>
      <c r="S1593" s="21" t="str">
        <f aca="false">IF(OR($B1593="",N(O1593)=0),"",R1593/O1593)</f>
        <v/>
      </c>
      <c r="T1593" s="14"/>
      <c r="U1593" s="19" t="n">
        <f aca="false">IF(OR($B1593="",$A1593=""),0,IF(COUNTIFS($A$5:$A1593,$A1593,$B$5:$B1593,$B1593)=1,1,0))</f>
        <v>0</v>
      </c>
    </row>
    <row r="1594" customFormat="false" ht="15" hidden="false" customHeight="false" outlineLevel="0" collapsed="false">
      <c r="A1594" s="17"/>
      <c r="B1594" s="13"/>
      <c r="C1594" s="20" t="str">
        <f aca="false">IF($B1594="","",IFERROR(INDEX(고객사!$B$5:$B$104,MATCH($B1594,고객사!$A$5:$A$104,0)),"코드 확인"))</f>
        <v/>
      </c>
      <c r="D1594" s="15"/>
      <c r="E1594" s="15"/>
      <c r="F1594" s="16"/>
      <c r="G1594" s="16"/>
      <c r="H1594" s="21" t="str">
        <f aca="false">IF(OR($B1594="",F1594=0),"",G1594/F1594)</f>
        <v/>
      </c>
      <c r="I1594" s="22" t="str">
        <f aca="false">IF($B1594="","",MAX(F1594-G1594,0))</f>
        <v/>
      </c>
      <c r="J1594" s="23" t="str">
        <f aca="false">IF($B1594="","",IFERROR(INDEX(고객사!$G$5:$G$104,MATCH($B1594,고객사!$A$5:$A$104,0)),""))</f>
        <v/>
      </c>
      <c r="K1594" s="16"/>
      <c r="L1594" s="22" t="str">
        <f aca="false">IF($B1594="","",K1594*IFERROR(INDEX(고객사!$L$5:$L$104,MATCH($B1594,고객사!$A$5:$A$104,0)),0))</f>
        <v/>
      </c>
      <c r="M1594" s="23" t="str">
        <f aca="false">IF($B1594="","",IF(AND(J1594="N",G1594&gt;0,K1594=0,IFERROR(INDEX(고객사!$H$5:$H$104,MATCH($B1594,고객사!$A$5:$A$104,0)),"")="자사 차량 운행"),"차량 미배정",""))</f>
        <v/>
      </c>
      <c r="N1594" s="22" t="str">
        <f aca="false">IF($B1594="","",IFERROR(INDEX(고객사!$J$5:$J$104,MATCH($B1594,고객사!$A$5:$A$104,0)),0))</f>
        <v/>
      </c>
      <c r="O1594" s="22" t="str">
        <f aca="false">IF($B1594="","",G1594*N1594)</f>
        <v/>
      </c>
      <c r="P1594" s="22" t="str">
        <f aca="false">IF($B1594="","",IFERROR(INDEX(고객사!$K$5:$K$104,MATCH($B1594,고객사!$A$5:$A$104,0)),0))</f>
        <v/>
      </c>
      <c r="Q1594" s="22" t="str">
        <f aca="false">IF($B1594="","",G1594*P1594)</f>
        <v/>
      </c>
      <c r="R1594" s="22" t="str">
        <f aca="false">IF($B1594="","",O1594-Q1594-L1594)</f>
        <v/>
      </c>
      <c r="S1594" s="21" t="str">
        <f aca="false">IF(OR($B1594="",N(O1594)=0),"",R1594/O1594)</f>
        <v/>
      </c>
      <c r="T1594" s="14"/>
      <c r="U1594" s="19" t="n">
        <f aca="false">IF(OR($B1594="",$A1594=""),0,IF(COUNTIFS($A$5:$A1594,$A1594,$B$5:$B1594,$B1594)=1,1,0))</f>
        <v>0</v>
      </c>
    </row>
    <row r="1595" customFormat="false" ht="15" hidden="false" customHeight="false" outlineLevel="0" collapsed="false">
      <c r="A1595" s="17"/>
      <c r="B1595" s="13"/>
      <c r="C1595" s="20" t="str">
        <f aca="false">IF($B1595="","",IFERROR(INDEX(고객사!$B$5:$B$104,MATCH($B1595,고객사!$A$5:$A$104,0)),"코드 확인"))</f>
        <v/>
      </c>
      <c r="D1595" s="15"/>
      <c r="E1595" s="15"/>
      <c r="F1595" s="16"/>
      <c r="G1595" s="16"/>
      <c r="H1595" s="21" t="str">
        <f aca="false">IF(OR($B1595="",F1595=0),"",G1595/F1595)</f>
        <v/>
      </c>
      <c r="I1595" s="22" t="str">
        <f aca="false">IF($B1595="","",MAX(F1595-G1595,0))</f>
        <v/>
      </c>
      <c r="J1595" s="23" t="str">
        <f aca="false">IF($B1595="","",IFERROR(INDEX(고객사!$G$5:$G$104,MATCH($B1595,고객사!$A$5:$A$104,0)),""))</f>
        <v/>
      </c>
      <c r="K1595" s="16"/>
      <c r="L1595" s="22" t="str">
        <f aca="false">IF($B1595="","",K1595*IFERROR(INDEX(고객사!$L$5:$L$104,MATCH($B1595,고객사!$A$5:$A$104,0)),0))</f>
        <v/>
      </c>
      <c r="M1595" s="23" t="str">
        <f aca="false">IF($B1595="","",IF(AND(J1595="N",G1595&gt;0,K1595=0,IFERROR(INDEX(고객사!$H$5:$H$104,MATCH($B1595,고객사!$A$5:$A$104,0)),"")="자사 차량 운행"),"차량 미배정",""))</f>
        <v/>
      </c>
      <c r="N1595" s="22" t="str">
        <f aca="false">IF($B1595="","",IFERROR(INDEX(고객사!$J$5:$J$104,MATCH($B1595,고객사!$A$5:$A$104,0)),0))</f>
        <v/>
      </c>
      <c r="O1595" s="22" t="str">
        <f aca="false">IF($B1595="","",G1595*N1595)</f>
        <v/>
      </c>
      <c r="P1595" s="22" t="str">
        <f aca="false">IF($B1595="","",IFERROR(INDEX(고객사!$K$5:$K$104,MATCH($B1595,고객사!$A$5:$A$104,0)),0))</f>
        <v/>
      </c>
      <c r="Q1595" s="22" t="str">
        <f aca="false">IF($B1595="","",G1595*P1595)</f>
        <v/>
      </c>
      <c r="R1595" s="22" t="str">
        <f aca="false">IF($B1595="","",O1595-Q1595-L1595)</f>
        <v/>
      </c>
      <c r="S1595" s="21" t="str">
        <f aca="false">IF(OR($B1595="",N(O1595)=0),"",R1595/O1595)</f>
        <v/>
      </c>
      <c r="T1595" s="14"/>
      <c r="U1595" s="19" t="n">
        <f aca="false">IF(OR($B1595="",$A1595=""),0,IF(COUNTIFS($A$5:$A1595,$A1595,$B$5:$B1595,$B1595)=1,1,0))</f>
        <v>0</v>
      </c>
    </row>
    <row r="1596" customFormat="false" ht="15" hidden="false" customHeight="false" outlineLevel="0" collapsed="false">
      <c r="A1596" s="17"/>
      <c r="B1596" s="13"/>
      <c r="C1596" s="20" t="str">
        <f aca="false">IF($B1596="","",IFERROR(INDEX(고객사!$B$5:$B$104,MATCH($B1596,고객사!$A$5:$A$104,0)),"코드 확인"))</f>
        <v/>
      </c>
      <c r="D1596" s="15"/>
      <c r="E1596" s="15"/>
      <c r="F1596" s="16"/>
      <c r="G1596" s="16"/>
      <c r="H1596" s="21" t="str">
        <f aca="false">IF(OR($B1596="",F1596=0),"",G1596/F1596)</f>
        <v/>
      </c>
      <c r="I1596" s="22" t="str">
        <f aca="false">IF($B1596="","",MAX(F1596-G1596,0))</f>
        <v/>
      </c>
      <c r="J1596" s="23" t="str">
        <f aca="false">IF($B1596="","",IFERROR(INDEX(고객사!$G$5:$G$104,MATCH($B1596,고객사!$A$5:$A$104,0)),""))</f>
        <v/>
      </c>
      <c r="K1596" s="16"/>
      <c r="L1596" s="22" t="str">
        <f aca="false">IF($B1596="","",K1596*IFERROR(INDEX(고객사!$L$5:$L$104,MATCH($B1596,고객사!$A$5:$A$104,0)),0))</f>
        <v/>
      </c>
      <c r="M1596" s="23" t="str">
        <f aca="false">IF($B1596="","",IF(AND(J1596="N",G1596&gt;0,K1596=0,IFERROR(INDEX(고객사!$H$5:$H$104,MATCH($B1596,고객사!$A$5:$A$104,0)),"")="자사 차량 운행"),"차량 미배정",""))</f>
        <v/>
      </c>
      <c r="N1596" s="22" t="str">
        <f aca="false">IF($B1596="","",IFERROR(INDEX(고객사!$J$5:$J$104,MATCH($B1596,고객사!$A$5:$A$104,0)),0))</f>
        <v/>
      </c>
      <c r="O1596" s="22" t="str">
        <f aca="false">IF($B1596="","",G1596*N1596)</f>
        <v/>
      </c>
      <c r="P1596" s="22" t="str">
        <f aca="false">IF($B1596="","",IFERROR(INDEX(고객사!$K$5:$K$104,MATCH($B1596,고객사!$A$5:$A$104,0)),0))</f>
        <v/>
      </c>
      <c r="Q1596" s="22" t="str">
        <f aca="false">IF($B1596="","",G1596*P1596)</f>
        <v/>
      </c>
      <c r="R1596" s="22" t="str">
        <f aca="false">IF($B1596="","",O1596-Q1596-L1596)</f>
        <v/>
      </c>
      <c r="S1596" s="21" t="str">
        <f aca="false">IF(OR($B1596="",N(O1596)=0),"",R1596/O1596)</f>
        <v/>
      </c>
      <c r="T1596" s="14"/>
      <c r="U1596" s="19" t="n">
        <f aca="false">IF(OR($B1596="",$A1596=""),0,IF(COUNTIFS($A$5:$A1596,$A1596,$B$5:$B1596,$B1596)=1,1,0))</f>
        <v>0</v>
      </c>
    </row>
    <row r="1597" customFormat="false" ht="15" hidden="false" customHeight="false" outlineLevel="0" collapsed="false">
      <c r="A1597" s="17"/>
      <c r="B1597" s="13"/>
      <c r="C1597" s="20" t="str">
        <f aca="false">IF($B1597="","",IFERROR(INDEX(고객사!$B$5:$B$104,MATCH($B1597,고객사!$A$5:$A$104,0)),"코드 확인"))</f>
        <v/>
      </c>
      <c r="D1597" s="15"/>
      <c r="E1597" s="15"/>
      <c r="F1597" s="16"/>
      <c r="G1597" s="16"/>
      <c r="H1597" s="21" t="str">
        <f aca="false">IF(OR($B1597="",F1597=0),"",G1597/F1597)</f>
        <v/>
      </c>
      <c r="I1597" s="22" t="str">
        <f aca="false">IF($B1597="","",MAX(F1597-G1597,0))</f>
        <v/>
      </c>
      <c r="J1597" s="23" t="str">
        <f aca="false">IF($B1597="","",IFERROR(INDEX(고객사!$G$5:$G$104,MATCH($B1597,고객사!$A$5:$A$104,0)),""))</f>
        <v/>
      </c>
      <c r="K1597" s="16"/>
      <c r="L1597" s="22" t="str">
        <f aca="false">IF($B1597="","",K1597*IFERROR(INDEX(고객사!$L$5:$L$104,MATCH($B1597,고객사!$A$5:$A$104,0)),0))</f>
        <v/>
      </c>
      <c r="M1597" s="23" t="str">
        <f aca="false">IF($B1597="","",IF(AND(J1597="N",G1597&gt;0,K1597=0,IFERROR(INDEX(고객사!$H$5:$H$104,MATCH($B1597,고객사!$A$5:$A$104,0)),"")="자사 차량 운행"),"차량 미배정",""))</f>
        <v/>
      </c>
      <c r="N1597" s="22" t="str">
        <f aca="false">IF($B1597="","",IFERROR(INDEX(고객사!$J$5:$J$104,MATCH($B1597,고객사!$A$5:$A$104,0)),0))</f>
        <v/>
      </c>
      <c r="O1597" s="22" t="str">
        <f aca="false">IF($B1597="","",G1597*N1597)</f>
        <v/>
      </c>
      <c r="P1597" s="22" t="str">
        <f aca="false">IF($B1597="","",IFERROR(INDEX(고객사!$K$5:$K$104,MATCH($B1597,고객사!$A$5:$A$104,0)),0))</f>
        <v/>
      </c>
      <c r="Q1597" s="22" t="str">
        <f aca="false">IF($B1597="","",G1597*P1597)</f>
        <v/>
      </c>
      <c r="R1597" s="22" t="str">
        <f aca="false">IF($B1597="","",O1597-Q1597-L1597)</f>
        <v/>
      </c>
      <c r="S1597" s="21" t="str">
        <f aca="false">IF(OR($B1597="",N(O1597)=0),"",R1597/O1597)</f>
        <v/>
      </c>
      <c r="T1597" s="14"/>
      <c r="U1597" s="19" t="n">
        <f aca="false">IF(OR($B1597="",$A1597=""),0,IF(COUNTIFS($A$5:$A1597,$A1597,$B$5:$B1597,$B1597)=1,1,0))</f>
        <v>0</v>
      </c>
    </row>
    <row r="1598" customFormat="false" ht="15" hidden="false" customHeight="false" outlineLevel="0" collapsed="false">
      <c r="A1598" s="17"/>
      <c r="B1598" s="13"/>
      <c r="C1598" s="20" t="str">
        <f aca="false">IF($B1598="","",IFERROR(INDEX(고객사!$B$5:$B$104,MATCH($B1598,고객사!$A$5:$A$104,0)),"코드 확인"))</f>
        <v/>
      </c>
      <c r="D1598" s="15"/>
      <c r="E1598" s="15"/>
      <c r="F1598" s="16"/>
      <c r="G1598" s="16"/>
      <c r="H1598" s="21" t="str">
        <f aca="false">IF(OR($B1598="",F1598=0),"",G1598/F1598)</f>
        <v/>
      </c>
      <c r="I1598" s="22" t="str">
        <f aca="false">IF($B1598="","",MAX(F1598-G1598,0))</f>
        <v/>
      </c>
      <c r="J1598" s="23" t="str">
        <f aca="false">IF($B1598="","",IFERROR(INDEX(고객사!$G$5:$G$104,MATCH($B1598,고객사!$A$5:$A$104,0)),""))</f>
        <v/>
      </c>
      <c r="K1598" s="16"/>
      <c r="L1598" s="22" t="str">
        <f aca="false">IF($B1598="","",K1598*IFERROR(INDEX(고객사!$L$5:$L$104,MATCH($B1598,고객사!$A$5:$A$104,0)),0))</f>
        <v/>
      </c>
      <c r="M1598" s="23" t="str">
        <f aca="false">IF($B1598="","",IF(AND(J1598="N",G1598&gt;0,K1598=0,IFERROR(INDEX(고객사!$H$5:$H$104,MATCH($B1598,고객사!$A$5:$A$104,0)),"")="자사 차량 운행"),"차량 미배정",""))</f>
        <v/>
      </c>
      <c r="N1598" s="22" t="str">
        <f aca="false">IF($B1598="","",IFERROR(INDEX(고객사!$J$5:$J$104,MATCH($B1598,고객사!$A$5:$A$104,0)),0))</f>
        <v/>
      </c>
      <c r="O1598" s="22" t="str">
        <f aca="false">IF($B1598="","",G1598*N1598)</f>
        <v/>
      </c>
      <c r="P1598" s="22" t="str">
        <f aca="false">IF($B1598="","",IFERROR(INDEX(고객사!$K$5:$K$104,MATCH($B1598,고객사!$A$5:$A$104,0)),0))</f>
        <v/>
      </c>
      <c r="Q1598" s="22" t="str">
        <f aca="false">IF($B1598="","",G1598*P1598)</f>
        <v/>
      </c>
      <c r="R1598" s="22" t="str">
        <f aca="false">IF($B1598="","",O1598-Q1598-L1598)</f>
        <v/>
      </c>
      <c r="S1598" s="21" t="str">
        <f aca="false">IF(OR($B1598="",N(O1598)=0),"",R1598/O1598)</f>
        <v/>
      </c>
      <c r="T1598" s="14"/>
      <c r="U1598" s="19" t="n">
        <f aca="false">IF(OR($B1598="",$A1598=""),0,IF(COUNTIFS($A$5:$A1598,$A1598,$B$5:$B1598,$B1598)=1,1,0))</f>
        <v>0</v>
      </c>
    </row>
    <row r="1599" customFormat="false" ht="15" hidden="false" customHeight="false" outlineLevel="0" collapsed="false">
      <c r="A1599" s="17"/>
      <c r="B1599" s="13"/>
      <c r="C1599" s="20" t="str">
        <f aca="false">IF($B1599="","",IFERROR(INDEX(고객사!$B$5:$B$104,MATCH($B1599,고객사!$A$5:$A$104,0)),"코드 확인"))</f>
        <v/>
      </c>
      <c r="D1599" s="15"/>
      <c r="E1599" s="15"/>
      <c r="F1599" s="16"/>
      <c r="G1599" s="16"/>
      <c r="H1599" s="21" t="str">
        <f aca="false">IF(OR($B1599="",F1599=0),"",G1599/F1599)</f>
        <v/>
      </c>
      <c r="I1599" s="22" t="str">
        <f aca="false">IF($B1599="","",MAX(F1599-G1599,0))</f>
        <v/>
      </c>
      <c r="J1599" s="23" t="str">
        <f aca="false">IF($B1599="","",IFERROR(INDEX(고객사!$G$5:$G$104,MATCH($B1599,고객사!$A$5:$A$104,0)),""))</f>
        <v/>
      </c>
      <c r="K1599" s="16"/>
      <c r="L1599" s="22" t="str">
        <f aca="false">IF($B1599="","",K1599*IFERROR(INDEX(고객사!$L$5:$L$104,MATCH($B1599,고객사!$A$5:$A$104,0)),0))</f>
        <v/>
      </c>
      <c r="M1599" s="23" t="str">
        <f aca="false">IF($B1599="","",IF(AND(J1599="N",G1599&gt;0,K1599=0,IFERROR(INDEX(고객사!$H$5:$H$104,MATCH($B1599,고객사!$A$5:$A$104,0)),"")="자사 차량 운행"),"차량 미배정",""))</f>
        <v/>
      </c>
      <c r="N1599" s="22" t="str">
        <f aca="false">IF($B1599="","",IFERROR(INDEX(고객사!$J$5:$J$104,MATCH($B1599,고객사!$A$5:$A$104,0)),0))</f>
        <v/>
      </c>
      <c r="O1599" s="22" t="str">
        <f aca="false">IF($B1599="","",G1599*N1599)</f>
        <v/>
      </c>
      <c r="P1599" s="22" t="str">
        <f aca="false">IF($B1599="","",IFERROR(INDEX(고객사!$K$5:$K$104,MATCH($B1599,고객사!$A$5:$A$104,0)),0))</f>
        <v/>
      </c>
      <c r="Q1599" s="22" t="str">
        <f aca="false">IF($B1599="","",G1599*P1599)</f>
        <v/>
      </c>
      <c r="R1599" s="22" t="str">
        <f aca="false">IF($B1599="","",O1599-Q1599-L1599)</f>
        <v/>
      </c>
      <c r="S1599" s="21" t="str">
        <f aca="false">IF(OR($B1599="",N(O1599)=0),"",R1599/O1599)</f>
        <v/>
      </c>
      <c r="T1599" s="14"/>
      <c r="U1599" s="19" t="n">
        <f aca="false">IF(OR($B1599="",$A1599=""),0,IF(COUNTIFS($A$5:$A1599,$A1599,$B$5:$B1599,$B1599)=1,1,0))</f>
        <v>0</v>
      </c>
    </row>
    <row r="1600" customFormat="false" ht="15" hidden="false" customHeight="false" outlineLevel="0" collapsed="false">
      <c r="A1600" s="17"/>
      <c r="B1600" s="13"/>
      <c r="C1600" s="20" t="str">
        <f aca="false">IF($B1600="","",IFERROR(INDEX(고객사!$B$5:$B$104,MATCH($B1600,고객사!$A$5:$A$104,0)),"코드 확인"))</f>
        <v/>
      </c>
      <c r="D1600" s="15"/>
      <c r="E1600" s="15"/>
      <c r="F1600" s="16"/>
      <c r="G1600" s="16"/>
      <c r="H1600" s="21" t="str">
        <f aca="false">IF(OR($B1600="",F1600=0),"",G1600/F1600)</f>
        <v/>
      </c>
      <c r="I1600" s="22" t="str">
        <f aca="false">IF($B1600="","",MAX(F1600-G1600,0))</f>
        <v/>
      </c>
      <c r="J1600" s="23" t="str">
        <f aca="false">IF($B1600="","",IFERROR(INDEX(고객사!$G$5:$G$104,MATCH($B1600,고객사!$A$5:$A$104,0)),""))</f>
        <v/>
      </c>
      <c r="K1600" s="16"/>
      <c r="L1600" s="22" t="str">
        <f aca="false">IF($B1600="","",K1600*IFERROR(INDEX(고객사!$L$5:$L$104,MATCH($B1600,고객사!$A$5:$A$104,0)),0))</f>
        <v/>
      </c>
      <c r="M1600" s="23" t="str">
        <f aca="false">IF($B1600="","",IF(AND(J1600="N",G1600&gt;0,K1600=0,IFERROR(INDEX(고객사!$H$5:$H$104,MATCH($B1600,고객사!$A$5:$A$104,0)),"")="자사 차량 운행"),"차량 미배정",""))</f>
        <v/>
      </c>
      <c r="N1600" s="22" t="str">
        <f aca="false">IF($B1600="","",IFERROR(INDEX(고객사!$J$5:$J$104,MATCH($B1600,고객사!$A$5:$A$104,0)),0))</f>
        <v/>
      </c>
      <c r="O1600" s="22" t="str">
        <f aca="false">IF($B1600="","",G1600*N1600)</f>
        <v/>
      </c>
      <c r="P1600" s="22" t="str">
        <f aca="false">IF($B1600="","",IFERROR(INDEX(고객사!$K$5:$K$104,MATCH($B1600,고객사!$A$5:$A$104,0)),0))</f>
        <v/>
      </c>
      <c r="Q1600" s="22" t="str">
        <f aca="false">IF($B1600="","",G1600*P1600)</f>
        <v/>
      </c>
      <c r="R1600" s="22" t="str">
        <f aca="false">IF($B1600="","",O1600-Q1600-L1600)</f>
        <v/>
      </c>
      <c r="S1600" s="21" t="str">
        <f aca="false">IF(OR($B1600="",N(O1600)=0),"",R1600/O1600)</f>
        <v/>
      </c>
      <c r="T1600" s="14"/>
      <c r="U1600" s="19" t="n">
        <f aca="false">IF(OR($B1600="",$A1600=""),0,IF(COUNTIFS($A$5:$A1600,$A1600,$B$5:$B1600,$B1600)=1,1,0))</f>
        <v>0</v>
      </c>
    </row>
    <row r="1601" customFormat="false" ht="15" hidden="false" customHeight="false" outlineLevel="0" collapsed="false">
      <c r="A1601" s="17"/>
      <c r="B1601" s="13"/>
      <c r="C1601" s="20" t="str">
        <f aca="false">IF($B1601="","",IFERROR(INDEX(고객사!$B$5:$B$104,MATCH($B1601,고객사!$A$5:$A$104,0)),"코드 확인"))</f>
        <v/>
      </c>
      <c r="D1601" s="15"/>
      <c r="E1601" s="15"/>
      <c r="F1601" s="16"/>
      <c r="G1601" s="16"/>
      <c r="H1601" s="21" t="str">
        <f aca="false">IF(OR($B1601="",F1601=0),"",G1601/F1601)</f>
        <v/>
      </c>
      <c r="I1601" s="22" t="str">
        <f aca="false">IF($B1601="","",MAX(F1601-G1601,0))</f>
        <v/>
      </c>
      <c r="J1601" s="23" t="str">
        <f aca="false">IF($B1601="","",IFERROR(INDEX(고객사!$G$5:$G$104,MATCH($B1601,고객사!$A$5:$A$104,0)),""))</f>
        <v/>
      </c>
      <c r="K1601" s="16"/>
      <c r="L1601" s="22" t="str">
        <f aca="false">IF($B1601="","",K1601*IFERROR(INDEX(고객사!$L$5:$L$104,MATCH($B1601,고객사!$A$5:$A$104,0)),0))</f>
        <v/>
      </c>
      <c r="M1601" s="23" t="str">
        <f aca="false">IF($B1601="","",IF(AND(J1601="N",G1601&gt;0,K1601=0,IFERROR(INDEX(고객사!$H$5:$H$104,MATCH($B1601,고객사!$A$5:$A$104,0)),"")="자사 차량 운행"),"차량 미배정",""))</f>
        <v/>
      </c>
      <c r="N1601" s="22" t="str">
        <f aca="false">IF($B1601="","",IFERROR(INDEX(고객사!$J$5:$J$104,MATCH($B1601,고객사!$A$5:$A$104,0)),0))</f>
        <v/>
      </c>
      <c r="O1601" s="22" t="str">
        <f aca="false">IF($B1601="","",G1601*N1601)</f>
        <v/>
      </c>
      <c r="P1601" s="22" t="str">
        <f aca="false">IF($B1601="","",IFERROR(INDEX(고객사!$K$5:$K$104,MATCH($B1601,고객사!$A$5:$A$104,0)),0))</f>
        <v/>
      </c>
      <c r="Q1601" s="22" t="str">
        <f aca="false">IF($B1601="","",G1601*P1601)</f>
        <v/>
      </c>
      <c r="R1601" s="22" t="str">
        <f aca="false">IF($B1601="","",O1601-Q1601-L1601)</f>
        <v/>
      </c>
      <c r="S1601" s="21" t="str">
        <f aca="false">IF(OR($B1601="",N(O1601)=0),"",R1601/O1601)</f>
        <v/>
      </c>
      <c r="T1601" s="14"/>
      <c r="U1601" s="19" t="n">
        <f aca="false">IF(OR($B1601="",$A1601=""),0,IF(COUNTIFS($A$5:$A1601,$A1601,$B$5:$B1601,$B1601)=1,1,0))</f>
        <v>0</v>
      </c>
    </row>
    <row r="1602" customFormat="false" ht="15" hidden="false" customHeight="false" outlineLevel="0" collapsed="false">
      <c r="A1602" s="17"/>
      <c r="B1602" s="13"/>
      <c r="C1602" s="20" t="str">
        <f aca="false">IF($B1602="","",IFERROR(INDEX(고객사!$B$5:$B$104,MATCH($B1602,고객사!$A$5:$A$104,0)),"코드 확인"))</f>
        <v/>
      </c>
      <c r="D1602" s="15"/>
      <c r="E1602" s="15"/>
      <c r="F1602" s="16"/>
      <c r="G1602" s="16"/>
      <c r="H1602" s="21" t="str">
        <f aca="false">IF(OR($B1602="",F1602=0),"",G1602/F1602)</f>
        <v/>
      </c>
      <c r="I1602" s="22" t="str">
        <f aca="false">IF($B1602="","",MAX(F1602-G1602,0))</f>
        <v/>
      </c>
      <c r="J1602" s="23" t="str">
        <f aca="false">IF($B1602="","",IFERROR(INDEX(고객사!$G$5:$G$104,MATCH($B1602,고객사!$A$5:$A$104,0)),""))</f>
        <v/>
      </c>
      <c r="K1602" s="16"/>
      <c r="L1602" s="22" t="str">
        <f aca="false">IF($B1602="","",K1602*IFERROR(INDEX(고객사!$L$5:$L$104,MATCH($B1602,고객사!$A$5:$A$104,0)),0))</f>
        <v/>
      </c>
      <c r="M1602" s="23" t="str">
        <f aca="false">IF($B1602="","",IF(AND(J1602="N",G1602&gt;0,K1602=0,IFERROR(INDEX(고객사!$H$5:$H$104,MATCH($B1602,고객사!$A$5:$A$104,0)),"")="자사 차량 운행"),"차량 미배정",""))</f>
        <v/>
      </c>
      <c r="N1602" s="22" t="str">
        <f aca="false">IF($B1602="","",IFERROR(INDEX(고객사!$J$5:$J$104,MATCH($B1602,고객사!$A$5:$A$104,0)),0))</f>
        <v/>
      </c>
      <c r="O1602" s="22" t="str">
        <f aca="false">IF($B1602="","",G1602*N1602)</f>
        <v/>
      </c>
      <c r="P1602" s="22" t="str">
        <f aca="false">IF($B1602="","",IFERROR(INDEX(고객사!$K$5:$K$104,MATCH($B1602,고객사!$A$5:$A$104,0)),0))</f>
        <v/>
      </c>
      <c r="Q1602" s="22" t="str">
        <f aca="false">IF($B1602="","",G1602*P1602)</f>
        <v/>
      </c>
      <c r="R1602" s="22" t="str">
        <f aca="false">IF($B1602="","",O1602-Q1602-L1602)</f>
        <v/>
      </c>
      <c r="S1602" s="21" t="str">
        <f aca="false">IF(OR($B1602="",N(O1602)=0),"",R1602/O1602)</f>
        <v/>
      </c>
      <c r="T1602" s="14"/>
      <c r="U1602" s="19" t="n">
        <f aca="false">IF(OR($B1602="",$A1602=""),0,IF(COUNTIFS($A$5:$A1602,$A1602,$B$5:$B1602,$B1602)=1,1,0))</f>
        <v>0</v>
      </c>
    </row>
    <row r="1603" customFormat="false" ht="15" hidden="false" customHeight="false" outlineLevel="0" collapsed="false">
      <c r="A1603" s="17"/>
      <c r="B1603" s="13"/>
      <c r="C1603" s="20" t="str">
        <f aca="false">IF($B1603="","",IFERROR(INDEX(고객사!$B$5:$B$104,MATCH($B1603,고객사!$A$5:$A$104,0)),"코드 확인"))</f>
        <v/>
      </c>
      <c r="D1603" s="15"/>
      <c r="E1603" s="15"/>
      <c r="F1603" s="16"/>
      <c r="G1603" s="16"/>
      <c r="H1603" s="21" t="str">
        <f aca="false">IF(OR($B1603="",F1603=0),"",G1603/F1603)</f>
        <v/>
      </c>
      <c r="I1603" s="22" t="str">
        <f aca="false">IF($B1603="","",MAX(F1603-G1603,0))</f>
        <v/>
      </c>
      <c r="J1603" s="23" t="str">
        <f aca="false">IF($B1603="","",IFERROR(INDEX(고객사!$G$5:$G$104,MATCH($B1603,고객사!$A$5:$A$104,0)),""))</f>
        <v/>
      </c>
      <c r="K1603" s="16"/>
      <c r="L1603" s="22" t="str">
        <f aca="false">IF($B1603="","",K1603*IFERROR(INDEX(고객사!$L$5:$L$104,MATCH($B1603,고객사!$A$5:$A$104,0)),0))</f>
        <v/>
      </c>
      <c r="M1603" s="23" t="str">
        <f aca="false">IF($B1603="","",IF(AND(J1603="N",G1603&gt;0,K1603=0,IFERROR(INDEX(고객사!$H$5:$H$104,MATCH($B1603,고객사!$A$5:$A$104,0)),"")="자사 차량 운행"),"차량 미배정",""))</f>
        <v/>
      </c>
      <c r="N1603" s="22" t="str">
        <f aca="false">IF($B1603="","",IFERROR(INDEX(고객사!$J$5:$J$104,MATCH($B1603,고객사!$A$5:$A$104,0)),0))</f>
        <v/>
      </c>
      <c r="O1603" s="22" t="str">
        <f aca="false">IF($B1603="","",G1603*N1603)</f>
        <v/>
      </c>
      <c r="P1603" s="22" t="str">
        <f aca="false">IF($B1603="","",IFERROR(INDEX(고객사!$K$5:$K$104,MATCH($B1603,고객사!$A$5:$A$104,0)),0))</f>
        <v/>
      </c>
      <c r="Q1603" s="22" t="str">
        <f aca="false">IF($B1603="","",G1603*P1603)</f>
        <v/>
      </c>
      <c r="R1603" s="22" t="str">
        <f aca="false">IF($B1603="","",O1603-Q1603-L1603)</f>
        <v/>
      </c>
      <c r="S1603" s="21" t="str">
        <f aca="false">IF(OR($B1603="",N(O1603)=0),"",R1603/O1603)</f>
        <v/>
      </c>
      <c r="T1603" s="14"/>
      <c r="U1603" s="19" t="n">
        <f aca="false">IF(OR($B1603="",$A1603=""),0,IF(COUNTIFS($A$5:$A1603,$A1603,$B$5:$B1603,$B1603)=1,1,0))</f>
        <v>0</v>
      </c>
    </row>
    <row r="1604" customFormat="false" ht="15" hidden="false" customHeight="false" outlineLevel="0" collapsed="false">
      <c r="A1604" s="17"/>
      <c r="B1604" s="13"/>
      <c r="C1604" s="20" t="str">
        <f aca="false">IF($B1604="","",IFERROR(INDEX(고객사!$B$5:$B$104,MATCH($B1604,고객사!$A$5:$A$104,0)),"코드 확인"))</f>
        <v/>
      </c>
      <c r="D1604" s="15"/>
      <c r="E1604" s="15"/>
      <c r="F1604" s="16"/>
      <c r="G1604" s="16"/>
      <c r="H1604" s="21" t="str">
        <f aca="false">IF(OR($B1604="",F1604=0),"",G1604/F1604)</f>
        <v/>
      </c>
      <c r="I1604" s="22" t="str">
        <f aca="false">IF($B1604="","",MAX(F1604-G1604,0))</f>
        <v/>
      </c>
      <c r="J1604" s="23" t="str">
        <f aca="false">IF($B1604="","",IFERROR(INDEX(고객사!$G$5:$G$104,MATCH($B1604,고객사!$A$5:$A$104,0)),""))</f>
        <v/>
      </c>
      <c r="K1604" s="16"/>
      <c r="L1604" s="22" t="str">
        <f aca="false">IF($B1604="","",K1604*IFERROR(INDEX(고객사!$L$5:$L$104,MATCH($B1604,고객사!$A$5:$A$104,0)),0))</f>
        <v/>
      </c>
      <c r="M1604" s="23" t="str">
        <f aca="false">IF($B1604="","",IF(AND(J1604="N",G1604&gt;0,K1604=0,IFERROR(INDEX(고객사!$H$5:$H$104,MATCH($B1604,고객사!$A$5:$A$104,0)),"")="자사 차량 운행"),"차량 미배정",""))</f>
        <v/>
      </c>
      <c r="N1604" s="22" t="str">
        <f aca="false">IF($B1604="","",IFERROR(INDEX(고객사!$J$5:$J$104,MATCH($B1604,고객사!$A$5:$A$104,0)),0))</f>
        <v/>
      </c>
      <c r="O1604" s="22" t="str">
        <f aca="false">IF($B1604="","",G1604*N1604)</f>
        <v/>
      </c>
      <c r="P1604" s="22" t="str">
        <f aca="false">IF($B1604="","",IFERROR(INDEX(고객사!$K$5:$K$104,MATCH($B1604,고객사!$A$5:$A$104,0)),0))</f>
        <v/>
      </c>
      <c r="Q1604" s="22" t="str">
        <f aca="false">IF($B1604="","",G1604*P1604)</f>
        <v/>
      </c>
      <c r="R1604" s="22" t="str">
        <f aca="false">IF($B1604="","",O1604-Q1604-L1604)</f>
        <v/>
      </c>
      <c r="S1604" s="21" t="str">
        <f aca="false">IF(OR($B1604="",N(O1604)=0),"",R1604/O1604)</f>
        <v/>
      </c>
      <c r="T1604" s="14"/>
      <c r="U1604" s="19" t="n">
        <f aca="false">IF(OR($B1604="",$A1604=""),0,IF(COUNTIFS($A$5:$A1604,$A1604,$B$5:$B1604,$B1604)=1,1,0))</f>
        <v>0</v>
      </c>
    </row>
    <row r="1605" customFormat="false" ht="15" hidden="false" customHeight="false" outlineLevel="0" collapsed="false">
      <c r="A1605" s="17"/>
      <c r="B1605" s="13"/>
      <c r="C1605" s="20" t="str">
        <f aca="false">IF($B1605="","",IFERROR(INDEX(고객사!$B$5:$B$104,MATCH($B1605,고객사!$A$5:$A$104,0)),"코드 확인"))</f>
        <v/>
      </c>
      <c r="D1605" s="15"/>
      <c r="E1605" s="15"/>
      <c r="F1605" s="16"/>
      <c r="G1605" s="16"/>
      <c r="H1605" s="21" t="str">
        <f aca="false">IF(OR($B1605="",F1605=0),"",G1605/F1605)</f>
        <v/>
      </c>
      <c r="I1605" s="22" t="str">
        <f aca="false">IF($B1605="","",MAX(F1605-G1605,0))</f>
        <v/>
      </c>
      <c r="J1605" s="23" t="str">
        <f aca="false">IF($B1605="","",IFERROR(INDEX(고객사!$G$5:$G$104,MATCH($B1605,고객사!$A$5:$A$104,0)),""))</f>
        <v/>
      </c>
      <c r="K1605" s="16"/>
      <c r="L1605" s="22" t="str">
        <f aca="false">IF($B1605="","",K1605*IFERROR(INDEX(고객사!$L$5:$L$104,MATCH($B1605,고객사!$A$5:$A$104,0)),0))</f>
        <v/>
      </c>
      <c r="M1605" s="23" t="str">
        <f aca="false">IF($B1605="","",IF(AND(J1605="N",G1605&gt;0,K1605=0,IFERROR(INDEX(고객사!$H$5:$H$104,MATCH($B1605,고객사!$A$5:$A$104,0)),"")="자사 차량 운행"),"차량 미배정",""))</f>
        <v/>
      </c>
      <c r="N1605" s="22" t="str">
        <f aca="false">IF($B1605="","",IFERROR(INDEX(고객사!$J$5:$J$104,MATCH($B1605,고객사!$A$5:$A$104,0)),0))</f>
        <v/>
      </c>
      <c r="O1605" s="22" t="str">
        <f aca="false">IF($B1605="","",G1605*N1605)</f>
        <v/>
      </c>
      <c r="P1605" s="22" t="str">
        <f aca="false">IF($B1605="","",IFERROR(INDEX(고객사!$K$5:$K$104,MATCH($B1605,고객사!$A$5:$A$104,0)),0))</f>
        <v/>
      </c>
      <c r="Q1605" s="22" t="str">
        <f aca="false">IF($B1605="","",G1605*P1605)</f>
        <v/>
      </c>
      <c r="R1605" s="22" t="str">
        <f aca="false">IF($B1605="","",O1605-Q1605-L1605)</f>
        <v/>
      </c>
      <c r="S1605" s="21" t="str">
        <f aca="false">IF(OR($B1605="",N(O1605)=0),"",R1605/O1605)</f>
        <v/>
      </c>
      <c r="T1605" s="14"/>
      <c r="U1605" s="19" t="n">
        <f aca="false">IF(OR($B1605="",$A1605=""),0,IF(COUNTIFS($A$5:$A1605,$A1605,$B$5:$B1605,$B1605)=1,1,0))</f>
        <v>0</v>
      </c>
    </row>
    <row r="1606" customFormat="false" ht="15" hidden="false" customHeight="false" outlineLevel="0" collapsed="false">
      <c r="A1606" s="17"/>
      <c r="B1606" s="13"/>
      <c r="C1606" s="20" t="str">
        <f aca="false">IF($B1606="","",IFERROR(INDEX(고객사!$B$5:$B$104,MATCH($B1606,고객사!$A$5:$A$104,0)),"코드 확인"))</f>
        <v/>
      </c>
      <c r="D1606" s="15"/>
      <c r="E1606" s="15"/>
      <c r="F1606" s="16"/>
      <c r="G1606" s="16"/>
      <c r="H1606" s="21" t="str">
        <f aca="false">IF(OR($B1606="",F1606=0),"",G1606/F1606)</f>
        <v/>
      </c>
      <c r="I1606" s="22" t="str">
        <f aca="false">IF($B1606="","",MAX(F1606-G1606,0))</f>
        <v/>
      </c>
      <c r="J1606" s="23" t="str">
        <f aca="false">IF($B1606="","",IFERROR(INDEX(고객사!$G$5:$G$104,MATCH($B1606,고객사!$A$5:$A$104,0)),""))</f>
        <v/>
      </c>
      <c r="K1606" s="16"/>
      <c r="L1606" s="22" t="str">
        <f aca="false">IF($B1606="","",K1606*IFERROR(INDEX(고객사!$L$5:$L$104,MATCH($B1606,고객사!$A$5:$A$104,0)),0))</f>
        <v/>
      </c>
      <c r="M1606" s="23" t="str">
        <f aca="false">IF($B1606="","",IF(AND(J1606="N",G1606&gt;0,K1606=0,IFERROR(INDEX(고객사!$H$5:$H$104,MATCH($B1606,고객사!$A$5:$A$104,0)),"")="자사 차량 운행"),"차량 미배정",""))</f>
        <v/>
      </c>
      <c r="N1606" s="22" t="str">
        <f aca="false">IF($B1606="","",IFERROR(INDEX(고객사!$J$5:$J$104,MATCH($B1606,고객사!$A$5:$A$104,0)),0))</f>
        <v/>
      </c>
      <c r="O1606" s="22" t="str">
        <f aca="false">IF($B1606="","",G1606*N1606)</f>
        <v/>
      </c>
      <c r="P1606" s="22" t="str">
        <f aca="false">IF($B1606="","",IFERROR(INDEX(고객사!$K$5:$K$104,MATCH($B1606,고객사!$A$5:$A$104,0)),0))</f>
        <v/>
      </c>
      <c r="Q1606" s="22" t="str">
        <f aca="false">IF($B1606="","",G1606*P1606)</f>
        <v/>
      </c>
      <c r="R1606" s="22" t="str">
        <f aca="false">IF($B1606="","",O1606-Q1606-L1606)</f>
        <v/>
      </c>
      <c r="S1606" s="21" t="str">
        <f aca="false">IF(OR($B1606="",N(O1606)=0),"",R1606/O1606)</f>
        <v/>
      </c>
      <c r="T1606" s="14"/>
      <c r="U1606" s="19" t="n">
        <f aca="false">IF(OR($B1606="",$A1606=""),0,IF(COUNTIFS($A$5:$A1606,$A1606,$B$5:$B1606,$B1606)=1,1,0))</f>
        <v>0</v>
      </c>
    </row>
    <row r="1607" customFormat="false" ht="15" hidden="false" customHeight="false" outlineLevel="0" collapsed="false">
      <c r="A1607" s="17"/>
      <c r="B1607" s="13"/>
      <c r="C1607" s="20" t="str">
        <f aca="false">IF($B1607="","",IFERROR(INDEX(고객사!$B$5:$B$104,MATCH($B1607,고객사!$A$5:$A$104,0)),"코드 확인"))</f>
        <v/>
      </c>
      <c r="D1607" s="15"/>
      <c r="E1607" s="15"/>
      <c r="F1607" s="16"/>
      <c r="G1607" s="16"/>
      <c r="H1607" s="21" t="str">
        <f aca="false">IF(OR($B1607="",F1607=0),"",G1607/F1607)</f>
        <v/>
      </c>
      <c r="I1607" s="22" t="str">
        <f aca="false">IF($B1607="","",MAX(F1607-G1607,0))</f>
        <v/>
      </c>
      <c r="J1607" s="23" t="str">
        <f aca="false">IF($B1607="","",IFERROR(INDEX(고객사!$G$5:$G$104,MATCH($B1607,고객사!$A$5:$A$104,0)),""))</f>
        <v/>
      </c>
      <c r="K1607" s="16"/>
      <c r="L1607" s="22" t="str">
        <f aca="false">IF($B1607="","",K1607*IFERROR(INDEX(고객사!$L$5:$L$104,MATCH($B1607,고객사!$A$5:$A$104,0)),0))</f>
        <v/>
      </c>
      <c r="M1607" s="23" t="str">
        <f aca="false">IF($B1607="","",IF(AND(J1607="N",G1607&gt;0,K1607=0,IFERROR(INDEX(고객사!$H$5:$H$104,MATCH($B1607,고객사!$A$5:$A$104,0)),"")="자사 차량 운행"),"차량 미배정",""))</f>
        <v/>
      </c>
      <c r="N1607" s="22" t="str">
        <f aca="false">IF($B1607="","",IFERROR(INDEX(고객사!$J$5:$J$104,MATCH($B1607,고객사!$A$5:$A$104,0)),0))</f>
        <v/>
      </c>
      <c r="O1607" s="22" t="str">
        <f aca="false">IF($B1607="","",G1607*N1607)</f>
        <v/>
      </c>
      <c r="P1607" s="22" t="str">
        <f aca="false">IF($B1607="","",IFERROR(INDEX(고객사!$K$5:$K$104,MATCH($B1607,고객사!$A$5:$A$104,0)),0))</f>
        <v/>
      </c>
      <c r="Q1607" s="22" t="str">
        <f aca="false">IF($B1607="","",G1607*P1607)</f>
        <v/>
      </c>
      <c r="R1607" s="22" t="str">
        <f aca="false">IF($B1607="","",O1607-Q1607-L1607)</f>
        <v/>
      </c>
      <c r="S1607" s="21" t="str">
        <f aca="false">IF(OR($B1607="",N(O1607)=0),"",R1607/O1607)</f>
        <v/>
      </c>
      <c r="T1607" s="14"/>
      <c r="U1607" s="19" t="n">
        <f aca="false">IF(OR($B1607="",$A1607=""),0,IF(COUNTIFS($A$5:$A1607,$A1607,$B$5:$B1607,$B1607)=1,1,0))</f>
        <v>0</v>
      </c>
    </row>
    <row r="1608" customFormat="false" ht="15" hidden="false" customHeight="false" outlineLevel="0" collapsed="false">
      <c r="A1608" s="17"/>
      <c r="B1608" s="13"/>
      <c r="C1608" s="20" t="str">
        <f aca="false">IF($B1608="","",IFERROR(INDEX(고객사!$B$5:$B$104,MATCH($B1608,고객사!$A$5:$A$104,0)),"코드 확인"))</f>
        <v/>
      </c>
      <c r="D1608" s="15"/>
      <c r="E1608" s="15"/>
      <c r="F1608" s="16"/>
      <c r="G1608" s="16"/>
      <c r="H1608" s="21" t="str">
        <f aca="false">IF(OR($B1608="",F1608=0),"",G1608/F1608)</f>
        <v/>
      </c>
      <c r="I1608" s="22" t="str">
        <f aca="false">IF($B1608="","",MAX(F1608-G1608,0))</f>
        <v/>
      </c>
      <c r="J1608" s="23" t="str">
        <f aca="false">IF($B1608="","",IFERROR(INDEX(고객사!$G$5:$G$104,MATCH($B1608,고객사!$A$5:$A$104,0)),""))</f>
        <v/>
      </c>
      <c r="K1608" s="16"/>
      <c r="L1608" s="22" t="str">
        <f aca="false">IF($B1608="","",K1608*IFERROR(INDEX(고객사!$L$5:$L$104,MATCH($B1608,고객사!$A$5:$A$104,0)),0))</f>
        <v/>
      </c>
      <c r="M1608" s="23" t="str">
        <f aca="false">IF($B1608="","",IF(AND(J1608="N",G1608&gt;0,K1608=0,IFERROR(INDEX(고객사!$H$5:$H$104,MATCH($B1608,고객사!$A$5:$A$104,0)),"")="자사 차량 운행"),"차량 미배정",""))</f>
        <v/>
      </c>
      <c r="N1608" s="22" t="str">
        <f aca="false">IF($B1608="","",IFERROR(INDEX(고객사!$J$5:$J$104,MATCH($B1608,고객사!$A$5:$A$104,0)),0))</f>
        <v/>
      </c>
      <c r="O1608" s="22" t="str">
        <f aca="false">IF($B1608="","",G1608*N1608)</f>
        <v/>
      </c>
      <c r="P1608" s="22" t="str">
        <f aca="false">IF($B1608="","",IFERROR(INDEX(고객사!$K$5:$K$104,MATCH($B1608,고객사!$A$5:$A$104,0)),0))</f>
        <v/>
      </c>
      <c r="Q1608" s="22" t="str">
        <f aca="false">IF($B1608="","",G1608*P1608)</f>
        <v/>
      </c>
      <c r="R1608" s="22" t="str">
        <f aca="false">IF($B1608="","",O1608-Q1608-L1608)</f>
        <v/>
      </c>
      <c r="S1608" s="21" t="str">
        <f aca="false">IF(OR($B1608="",N(O1608)=0),"",R1608/O1608)</f>
        <v/>
      </c>
      <c r="T1608" s="14"/>
      <c r="U1608" s="19" t="n">
        <f aca="false">IF(OR($B1608="",$A1608=""),0,IF(COUNTIFS($A$5:$A1608,$A1608,$B$5:$B1608,$B1608)=1,1,0))</f>
        <v>0</v>
      </c>
    </row>
    <row r="1609" customFormat="false" ht="15" hidden="false" customHeight="false" outlineLevel="0" collapsed="false">
      <c r="A1609" s="17"/>
      <c r="B1609" s="13"/>
      <c r="C1609" s="20" t="str">
        <f aca="false">IF($B1609="","",IFERROR(INDEX(고객사!$B$5:$B$104,MATCH($B1609,고객사!$A$5:$A$104,0)),"코드 확인"))</f>
        <v/>
      </c>
      <c r="D1609" s="15"/>
      <c r="E1609" s="15"/>
      <c r="F1609" s="16"/>
      <c r="G1609" s="16"/>
      <c r="H1609" s="21" t="str">
        <f aca="false">IF(OR($B1609="",F1609=0),"",G1609/F1609)</f>
        <v/>
      </c>
      <c r="I1609" s="22" t="str">
        <f aca="false">IF($B1609="","",MAX(F1609-G1609,0))</f>
        <v/>
      </c>
      <c r="J1609" s="23" t="str">
        <f aca="false">IF($B1609="","",IFERROR(INDEX(고객사!$G$5:$G$104,MATCH($B1609,고객사!$A$5:$A$104,0)),""))</f>
        <v/>
      </c>
      <c r="K1609" s="16"/>
      <c r="L1609" s="22" t="str">
        <f aca="false">IF($B1609="","",K1609*IFERROR(INDEX(고객사!$L$5:$L$104,MATCH($B1609,고객사!$A$5:$A$104,0)),0))</f>
        <v/>
      </c>
      <c r="M1609" s="23" t="str">
        <f aca="false">IF($B1609="","",IF(AND(J1609="N",G1609&gt;0,K1609=0,IFERROR(INDEX(고객사!$H$5:$H$104,MATCH($B1609,고객사!$A$5:$A$104,0)),"")="자사 차량 운행"),"차량 미배정",""))</f>
        <v/>
      </c>
      <c r="N1609" s="22" t="str">
        <f aca="false">IF($B1609="","",IFERROR(INDEX(고객사!$J$5:$J$104,MATCH($B1609,고객사!$A$5:$A$104,0)),0))</f>
        <v/>
      </c>
      <c r="O1609" s="22" t="str">
        <f aca="false">IF($B1609="","",G1609*N1609)</f>
        <v/>
      </c>
      <c r="P1609" s="22" t="str">
        <f aca="false">IF($B1609="","",IFERROR(INDEX(고객사!$K$5:$K$104,MATCH($B1609,고객사!$A$5:$A$104,0)),0))</f>
        <v/>
      </c>
      <c r="Q1609" s="22" t="str">
        <f aca="false">IF($B1609="","",G1609*P1609)</f>
        <v/>
      </c>
      <c r="R1609" s="22" t="str">
        <f aca="false">IF($B1609="","",O1609-Q1609-L1609)</f>
        <v/>
      </c>
      <c r="S1609" s="21" t="str">
        <f aca="false">IF(OR($B1609="",N(O1609)=0),"",R1609/O1609)</f>
        <v/>
      </c>
      <c r="T1609" s="14"/>
      <c r="U1609" s="19" t="n">
        <f aca="false">IF(OR($B1609="",$A1609=""),0,IF(COUNTIFS($A$5:$A1609,$A1609,$B$5:$B1609,$B1609)=1,1,0))</f>
        <v>0</v>
      </c>
    </row>
    <row r="1610" customFormat="false" ht="15" hidden="false" customHeight="false" outlineLevel="0" collapsed="false">
      <c r="A1610" s="17"/>
      <c r="B1610" s="13"/>
      <c r="C1610" s="20" t="str">
        <f aca="false">IF($B1610="","",IFERROR(INDEX(고객사!$B$5:$B$104,MATCH($B1610,고객사!$A$5:$A$104,0)),"코드 확인"))</f>
        <v/>
      </c>
      <c r="D1610" s="15"/>
      <c r="E1610" s="15"/>
      <c r="F1610" s="16"/>
      <c r="G1610" s="16"/>
      <c r="H1610" s="21" t="str">
        <f aca="false">IF(OR($B1610="",F1610=0),"",G1610/F1610)</f>
        <v/>
      </c>
      <c r="I1610" s="22" t="str">
        <f aca="false">IF($B1610="","",MAX(F1610-G1610,0))</f>
        <v/>
      </c>
      <c r="J1610" s="23" t="str">
        <f aca="false">IF($B1610="","",IFERROR(INDEX(고객사!$G$5:$G$104,MATCH($B1610,고객사!$A$5:$A$104,0)),""))</f>
        <v/>
      </c>
      <c r="K1610" s="16"/>
      <c r="L1610" s="22" t="str">
        <f aca="false">IF($B1610="","",K1610*IFERROR(INDEX(고객사!$L$5:$L$104,MATCH($B1610,고객사!$A$5:$A$104,0)),0))</f>
        <v/>
      </c>
      <c r="M1610" s="23" t="str">
        <f aca="false">IF($B1610="","",IF(AND(J1610="N",G1610&gt;0,K1610=0,IFERROR(INDEX(고객사!$H$5:$H$104,MATCH($B1610,고객사!$A$5:$A$104,0)),"")="자사 차량 운행"),"차량 미배정",""))</f>
        <v/>
      </c>
      <c r="N1610" s="22" t="str">
        <f aca="false">IF($B1610="","",IFERROR(INDEX(고객사!$J$5:$J$104,MATCH($B1610,고객사!$A$5:$A$104,0)),0))</f>
        <v/>
      </c>
      <c r="O1610" s="22" t="str">
        <f aca="false">IF($B1610="","",G1610*N1610)</f>
        <v/>
      </c>
      <c r="P1610" s="22" t="str">
        <f aca="false">IF($B1610="","",IFERROR(INDEX(고객사!$K$5:$K$104,MATCH($B1610,고객사!$A$5:$A$104,0)),0))</f>
        <v/>
      </c>
      <c r="Q1610" s="22" t="str">
        <f aca="false">IF($B1610="","",G1610*P1610)</f>
        <v/>
      </c>
      <c r="R1610" s="22" t="str">
        <f aca="false">IF($B1610="","",O1610-Q1610-L1610)</f>
        <v/>
      </c>
      <c r="S1610" s="21" t="str">
        <f aca="false">IF(OR($B1610="",N(O1610)=0),"",R1610/O1610)</f>
        <v/>
      </c>
      <c r="T1610" s="14"/>
      <c r="U1610" s="19" t="n">
        <f aca="false">IF(OR($B1610="",$A1610=""),0,IF(COUNTIFS($A$5:$A1610,$A1610,$B$5:$B1610,$B1610)=1,1,0))</f>
        <v>0</v>
      </c>
    </row>
    <row r="1611" customFormat="false" ht="15" hidden="false" customHeight="false" outlineLevel="0" collapsed="false">
      <c r="A1611" s="17"/>
      <c r="B1611" s="13"/>
      <c r="C1611" s="20" t="str">
        <f aca="false">IF($B1611="","",IFERROR(INDEX(고객사!$B$5:$B$104,MATCH($B1611,고객사!$A$5:$A$104,0)),"코드 확인"))</f>
        <v/>
      </c>
      <c r="D1611" s="15"/>
      <c r="E1611" s="15"/>
      <c r="F1611" s="16"/>
      <c r="G1611" s="16"/>
      <c r="H1611" s="21" t="str">
        <f aca="false">IF(OR($B1611="",F1611=0),"",G1611/F1611)</f>
        <v/>
      </c>
      <c r="I1611" s="22" t="str">
        <f aca="false">IF($B1611="","",MAX(F1611-G1611,0))</f>
        <v/>
      </c>
      <c r="J1611" s="23" t="str">
        <f aca="false">IF($B1611="","",IFERROR(INDEX(고객사!$G$5:$G$104,MATCH($B1611,고객사!$A$5:$A$104,0)),""))</f>
        <v/>
      </c>
      <c r="K1611" s="16"/>
      <c r="L1611" s="22" t="str">
        <f aca="false">IF($B1611="","",K1611*IFERROR(INDEX(고객사!$L$5:$L$104,MATCH($B1611,고객사!$A$5:$A$104,0)),0))</f>
        <v/>
      </c>
      <c r="M1611" s="23" t="str">
        <f aca="false">IF($B1611="","",IF(AND(J1611="N",G1611&gt;0,K1611=0,IFERROR(INDEX(고객사!$H$5:$H$104,MATCH($B1611,고객사!$A$5:$A$104,0)),"")="자사 차량 운행"),"차량 미배정",""))</f>
        <v/>
      </c>
      <c r="N1611" s="22" t="str">
        <f aca="false">IF($B1611="","",IFERROR(INDEX(고객사!$J$5:$J$104,MATCH($B1611,고객사!$A$5:$A$104,0)),0))</f>
        <v/>
      </c>
      <c r="O1611" s="22" t="str">
        <f aca="false">IF($B1611="","",G1611*N1611)</f>
        <v/>
      </c>
      <c r="P1611" s="22" t="str">
        <f aca="false">IF($B1611="","",IFERROR(INDEX(고객사!$K$5:$K$104,MATCH($B1611,고객사!$A$5:$A$104,0)),0))</f>
        <v/>
      </c>
      <c r="Q1611" s="22" t="str">
        <f aca="false">IF($B1611="","",G1611*P1611)</f>
        <v/>
      </c>
      <c r="R1611" s="22" t="str">
        <f aca="false">IF($B1611="","",O1611-Q1611-L1611)</f>
        <v/>
      </c>
      <c r="S1611" s="21" t="str">
        <f aca="false">IF(OR($B1611="",N(O1611)=0),"",R1611/O1611)</f>
        <v/>
      </c>
      <c r="T1611" s="14"/>
      <c r="U1611" s="19" t="n">
        <f aca="false">IF(OR($B1611="",$A1611=""),0,IF(COUNTIFS($A$5:$A1611,$A1611,$B$5:$B1611,$B1611)=1,1,0))</f>
        <v>0</v>
      </c>
    </row>
    <row r="1612" customFormat="false" ht="15" hidden="false" customHeight="false" outlineLevel="0" collapsed="false">
      <c r="A1612" s="17"/>
      <c r="B1612" s="13"/>
      <c r="C1612" s="20" t="str">
        <f aca="false">IF($B1612="","",IFERROR(INDEX(고객사!$B$5:$B$104,MATCH($B1612,고객사!$A$5:$A$104,0)),"코드 확인"))</f>
        <v/>
      </c>
      <c r="D1612" s="15"/>
      <c r="E1612" s="15"/>
      <c r="F1612" s="16"/>
      <c r="G1612" s="16"/>
      <c r="H1612" s="21" t="str">
        <f aca="false">IF(OR($B1612="",F1612=0),"",G1612/F1612)</f>
        <v/>
      </c>
      <c r="I1612" s="22" t="str">
        <f aca="false">IF($B1612="","",MAX(F1612-G1612,0))</f>
        <v/>
      </c>
      <c r="J1612" s="23" t="str">
        <f aca="false">IF($B1612="","",IFERROR(INDEX(고객사!$G$5:$G$104,MATCH($B1612,고객사!$A$5:$A$104,0)),""))</f>
        <v/>
      </c>
      <c r="K1612" s="16"/>
      <c r="L1612" s="22" t="str">
        <f aca="false">IF($B1612="","",K1612*IFERROR(INDEX(고객사!$L$5:$L$104,MATCH($B1612,고객사!$A$5:$A$104,0)),0))</f>
        <v/>
      </c>
      <c r="M1612" s="23" t="str">
        <f aca="false">IF($B1612="","",IF(AND(J1612="N",G1612&gt;0,K1612=0,IFERROR(INDEX(고객사!$H$5:$H$104,MATCH($B1612,고객사!$A$5:$A$104,0)),"")="자사 차량 운행"),"차량 미배정",""))</f>
        <v/>
      </c>
      <c r="N1612" s="22" t="str">
        <f aca="false">IF($B1612="","",IFERROR(INDEX(고객사!$J$5:$J$104,MATCH($B1612,고객사!$A$5:$A$104,0)),0))</f>
        <v/>
      </c>
      <c r="O1612" s="22" t="str">
        <f aca="false">IF($B1612="","",G1612*N1612)</f>
        <v/>
      </c>
      <c r="P1612" s="22" t="str">
        <f aca="false">IF($B1612="","",IFERROR(INDEX(고객사!$K$5:$K$104,MATCH($B1612,고객사!$A$5:$A$104,0)),0))</f>
        <v/>
      </c>
      <c r="Q1612" s="22" t="str">
        <f aca="false">IF($B1612="","",G1612*P1612)</f>
        <v/>
      </c>
      <c r="R1612" s="22" t="str">
        <f aca="false">IF($B1612="","",O1612-Q1612-L1612)</f>
        <v/>
      </c>
      <c r="S1612" s="21" t="str">
        <f aca="false">IF(OR($B1612="",N(O1612)=0),"",R1612/O1612)</f>
        <v/>
      </c>
      <c r="T1612" s="14"/>
      <c r="U1612" s="19" t="n">
        <f aca="false">IF(OR($B1612="",$A1612=""),0,IF(COUNTIFS($A$5:$A1612,$A1612,$B$5:$B1612,$B1612)=1,1,0))</f>
        <v>0</v>
      </c>
    </row>
    <row r="1613" customFormat="false" ht="15" hidden="false" customHeight="false" outlineLevel="0" collapsed="false">
      <c r="A1613" s="17"/>
      <c r="B1613" s="13"/>
      <c r="C1613" s="20" t="str">
        <f aca="false">IF($B1613="","",IFERROR(INDEX(고객사!$B$5:$B$104,MATCH($B1613,고객사!$A$5:$A$104,0)),"코드 확인"))</f>
        <v/>
      </c>
      <c r="D1613" s="15"/>
      <c r="E1613" s="15"/>
      <c r="F1613" s="16"/>
      <c r="G1613" s="16"/>
      <c r="H1613" s="21" t="str">
        <f aca="false">IF(OR($B1613="",F1613=0),"",G1613/F1613)</f>
        <v/>
      </c>
      <c r="I1613" s="22" t="str">
        <f aca="false">IF($B1613="","",MAX(F1613-G1613,0))</f>
        <v/>
      </c>
      <c r="J1613" s="23" t="str">
        <f aca="false">IF($B1613="","",IFERROR(INDEX(고객사!$G$5:$G$104,MATCH($B1613,고객사!$A$5:$A$104,0)),""))</f>
        <v/>
      </c>
      <c r="K1613" s="16"/>
      <c r="L1613" s="22" t="str">
        <f aca="false">IF($B1613="","",K1613*IFERROR(INDEX(고객사!$L$5:$L$104,MATCH($B1613,고객사!$A$5:$A$104,0)),0))</f>
        <v/>
      </c>
      <c r="M1613" s="23" t="str">
        <f aca="false">IF($B1613="","",IF(AND(J1613="N",G1613&gt;0,K1613=0,IFERROR(INDEX(고객사!$H$5:$H$104,MATCH($B1613,고객사!$A$5:$A$104,0)),"")="자사 차량 운행"),"차량 미배정",""))</f>
        <v/>
      </c>
      <c r="N1613" s="22" t="str">
        <f aca="false">IF($B1613="","",IFERROR(INDEX(고객사!$J$5:$J$104,MATCH($B1613,고객사!$A$5:$A$104,0)),0))</f>
        <v/>
      </c>
      <c r="O1613" s="22" t="str">
        <f aca="false">IF($B1613="","",G1613*N1613)</f>
        <v/>
      </c>
      <c r="P1613" s="22" t="str">
        <f aca="false">IF($B1613="","",IFERROR(INDEX(고객사!$K$5:$K$104,MATCH($B1613,고객사!$A$5:$A$104,0)),0))</f>
        <v/>
      </c>
      <c r="Q1613" s="22" t="str">
        <f aca="false">IF($B1613="","",G1613*P1613)</f>
        <v/>
      </c>
      <c r="R1613" s="22" t="str">
        <f aca="false">IF($B1613="","",O1613-Q1613-L1613)</f>
        <v/>
      </c>
      <c r="S1613" s="21" t="str">
        <f aca="false">IF(OR($B1613="",N(O1613)=0),"",R1613/O1613)</f>
        <v/>
      </c>
      <c r="T1613" s="14"/>
      <c r="U1613" s="19" t="n">
        <f aca="false">IF(OR($B1613="",$A1613=""),0,IF(COUNTIFS($A$5:$A1613,$A1613,$B$5:$B1613,$B1613)=1,1,0))</f>
        <v>0</v>
      </c>
    </row>
    <row r="1614" customFormat="false" ht="15" hidden="false" customHeight="false" outlineLevel="0" collapsed="false">
      <c r="A1614" s="17"/>
      <c r="B1614" s="13"/>
      <c r="C1614" s="20" t="str">
        <f aca="false">IF($B1614="","",IFERROR(INDEX(고객사!$B$5:$B$104,MATCH($B1614,고객사!$A$5:$A$104,0)),"코드 확인"))</f>
        <v/>
      </c>
      <c r="D1614" s="15"/>
      <c r="E1614" s="15"/>
      <c r="F1614" s="16"/>
      <c r="G1614" s="16"/>
      <c r="H1614" s="21" t="str">
        <f aca="false">IF(OR($B1614="",F1614=0),"",G1614/F1614)</f>
        <v/>
      </c>
      <c r="I1614" s="22" t="str">
        <f aca="false">IF($B1614="","",MAX(F1614-G1614,0))</f>
        <v/>
      </c>
      <c r="J1614" s="23" t="str">
        <f aca="false">IF($B1614="","",IFERROR(INDEX(고객사!$G$5:$G$104,MATCH($B1614,고객사!$A$5:$A$104,0)),""))</f>
        <v/>
      </c>
      <c r="K1614" s="16"/>
      <c r="L1614" s="22" t="str">
        <f aca="false">IF($B1614="","",K1614*IFERROR(INDEX(고객사!$L$5:$L$104,MATCH($B1614,고객사!$A$5:$A$104,0)),0))</f>
        <v/>
      </c>
      <c r="M1614" s="23" t="str">
        <f aca="false">IF($B1614="","",IF(AND(J1614="N",G1614&gt;0,K1614=0,IFERROR(INDEX(고객사!$H$5:$H$104,MATCH($B1614,고객사!$A$5:$A$104,0)),"")="자사 차량 운행"),"차량 미배정",""))</f>
        <v/>
      </c>
      <c r="N1614" s="22" t="str">
        <f aca="false">IF($B1614="","",IFERROR(INDEX(고객사!$J$5:$J$104,MATCH($B1614,고객사!$A$5:$A$104,0)),0))</f>
        <v/>
      </c>
      <c r="O1614" s="22" t="str">
        <f aca="false">IF($B1614="","",G1614*N1614)</f>
        <v/>
      </c>
      <c r="P1614" s="22" t="str">
        <f aca="false">IF($B1614="","",IFERROR(INDEX(고객사!$K$5:$K$104,MATCH($B1614,고객사!$A$5:$A$104,0)),0))</f>
        <v/>
      </c>
      <c r="Q1614" s="22" t="str">
        <f aca="false">IF($B1614="","",G1614*P1614)</f>
        <v/>
      </c>
      <c r="R1614" s="22" t="str">
        <f aca="false">IF($B1614="","",O1614-Q1614-L1614)</f>
        <v/>
      </c>
      <c r="S1614" s="21" t="str">
        <f aca="false">IF(OR($B1614="",N(O1614)=0),"",R1614/O1614)</f>
        <v/>
      </c>
      <c r="T1614" s="14"/>
      <c r="U1614" s="19" t="n">
        <f aca="false">IF(OR($B1614="",$A1614=""),0,IF(COUNTIFS($A$5:$A1614,$A1614,$B$5:$B1614,$B1614)=1,1,0))</f>
        <v>0</v>
      </c>
    </row>
    <row r="1615" customFormat="false" ht="15" hidden="false" customHeight="false" outlineLevel="0" collapsed="false">
      <c r="A1615" s="17"/>
      <c r="B1615" s="13"/>
      <c r="C1615" s="20" t="str">
        <f aca="false">IF($B1615="","",IFERROR(INDEX(고객사!$B$5:$B$104,MATCH($B1615,고객사!$A$5:$A$104,0)),"코드 확인"))</f>
        <v/>
      </c>
      <c r="D1615" s="15"/>
      <c r="E1615" s="15"/>
      <c r="F1615" s="16"/>
      <c r="G1615" s="16"/>
      <c r="H1615" s="21" t="str">
        <f aca="false">IF(OR($B1615="",F1615=0),"",G1615/F1615)</f>
        <v/>
      </c>
      <c r="I1615" s="22" t="str">
        <f aca="false">IF($B1615="","",MAX(F1615-G1615,0))</f>
        <v/>
      </c>
      <c r="J1615" s="23" t="str">
        <f aca="false">IF($B1615="","",IFERROR(INDEX(고객사!$G$5:$G$104,MATCH($B1615,고객사!$A$5:$A$104,0)),""))</f>
        <v/>
      </c>
      <c r="K1615" s="16"/>
      <c r="L1615" s="22" t="str">
        <f aca="false">IF($B1615="","",K1615*IFERROR(INDEX(고객사!$L$5:$L$104,MATCH($B1615,고객사!$A$5:$A$104,0)),0))</f>
        <v/>
      </c>
      <c r="M1615" s="23" t="str">
        <f aca="false">IF($B1615="","",IF(AND(J1615="N",G1615&gt;0,K1615=0,IFERROR(INDEX(고객사!$H$5:$H$104,MATCH($B1615,고객사!$A$5:$A$104,0)),"")="자사 차량 운행"),"차량 미배정",""))</f>
        <v/>
      </c>
      <c r="N1615" s="22" t="str">
        <f aca="false">IF($B1615="","",IFERROR(INDEX(고객사!$J$5:$J$104,MATCH($B1615,고객사!$A$5:$A$104,0)),0))</f>
        <v/>
      </c>
      <c r="O1615" s="22" t="str">
        <f aca="false">IF($B1615="","",G1615*N1615)</f>
        <v/>
      </c>
      <c r="P1615" s="22" t="str">
        <f aca="false">IF($B1615="","",IFERROR(INDEX(고객사!$K$5:$K$104,MATCH($B1615,고객사!$A$5:$A$104,0)),0))</f>
        <v/>
      </c>
      <c r="Q1615" s="22" t="str">
        <f aca="false">IF($B1615="","",G1615*P1615)</f>
        <v/>
      </c>
      <c r="R1615" s="22" t="str">
        <f aca="false">IF($B1615="","",O1615-Q1615-L1615)</f>
        <v/>
      </c>
      <c r="S1615" s="21" t="str">
        <f aca="false">IF(OR($B1615="",N(O1615)=0),"",R1615/O1615)</f>
        <v/>
      </c>
      <c r="T1615" s="14"/>
      <c r="U1615" s="19" t="n">
        <f aca="false">IF(OR($B1615="",$A1615=""),0,IF(COUNTIFS($A$5:$A1615,$A1615,$B$5:$B1615,$B1615)=1,1,0))</f>
        <v>0</v>
      </c>
    </row>
    <row r="1616" customFormat="false" ht="15" hidden="false" customHeight="false" outlineLevel="0" collapsed="false">
      <c r="A1616" s="17"/>
      <c r="B1616" s="13"/>
      <c r="C1616" s="20" t="str">
        <f aca="false">IF($B1616="","",IFERROR(INDEX(고객사!$B$5:$B$104,MATCH($B1616,고객사!$A$5:$A$104,0)),"코드 확인"))</f>
        <v/>
      </c>
      <c r="D1616" s="15"/>
      <c r="E1616" s="15"/>
      <c r="F1616" s="16"/>
      <c r="G1616" s="16"/>
      <c r="H1616" s="21" t="str">
        <f aca="false">IF(OR($B1616="",F1616=0),"",G1616/F1616)</f>
        <v/>
      </c>
      <c r="I1616" s="22" t="str">
        <f aca="false">IF($B1616="","",MAX(F1616-G1616,0))</f>
        <v/>
      </c>
      <c r="J1616" s="23" t="str">
        <f aca="false">IF($B1616="","",IFERROR(INDEX(고객사!$G$5:$G$104,MATCH($B1616,고객사!$A$5:$A$104,0)),""))</f>
        <v/>
      </c>
      <c r="K1616" s="16"/>
      <c r="L1616" s="22" t="str">
        <f aca="false">IF($B1616="","",K1616*IFERROR(INDEX(고객사!$L$5:$L$104,MATCH($B1616,고객사!$A$5:$A$104,0)),0))</f>
        <v/>
      </c>
      <c r="M1616" s="23" t="str">
        <f aca="false">IF($B1616="","",IF(AND(J1616="N",G1616&gt;0,K1616=0,IFERROR(INDEX(고객사!$H$5:$H$104,MATCH($B1616,고객사!$A$5:$A$104,0)),"")="자사 차량 운행"),"차량 미배정",""))</f>
        <v/>
      </c>
      <c r="N1616" s="22" t="str">
        <f aca="false">IF($B1616="","",IFERROR(INDEX(고객사!$J$5:$J$104,MATCH($B1616,고객사!$A$5:$A$104,0)),0))</f>
        <v/>
      </c>
      <c r="O1616" s="22" t="str">
        <f aca="false">IF($B1616="","",G1616*N1616)</f>
        <v/>
      </c>
      <c r="P1616" s="22" t="str">
        <f aca="false">IF($B1616="","",IFERROR(INDEX(고객사!$K$5:$K$104,MATCH($B1616,고객사!$A$5:$A$104,0)),0))</f>
        <v/>
      </c>
      <c r="Q1616" s="22" t="str">
        <f aca="false">IF($B1616="","",G1616*P1616)</f>
        <v/>
      </c>
      <c r="R1616" s="22" t="str">
        <f aca="false">IF($B1616="","",O1616-Q1616-L1616)</f>
        <v/>
      </c>
      <c r="S1616" s="21" t="str">
        <f aca="false">IF(OR($B1616="",N(O1616)=0),"",R1616/O1616)</f>
        <v/>
      </c>
      <c r="T1616" s="14"/>
      <c r="U1616" s="19" t="n">
        <f aca="false">IF(OR($B1616="",$A1616=""),0,IF(COUNTIFS($A$5:$A1616,$A1616,$B$5:$B1616,$B1616)=1,1,0))</f>
        <v>0</v>
      </c>
    </row>
    <row r="1617" customFormat="false" ht="15" hidden="false" customHeight="false" outlineLevel="0" collapsed="false">
      <c r="A1617" s="17"/>
      <c r="B1617" s="13"/>
      <c r="C1617" s="20" t="str">
        <f aca="false">IF($B1617="","",IFERROR(INDEX(고객사!$B$5:$B$104,MATCH($B1617,고객사!$A$5:$A$104,0)),"코드 확인"))</f>
        <v/>
      </c>
      <c r="D1617" s="15"/>
      <c r="E1617" s="15"/>
      <c r="F1617" s="16"/>
      <c r="G1617" s="16"/>
      <c r="H1617" s="21" t="str">
        <f aca="false">IF(OR($B1617="",F1617=0),"",G1617/F1617)</f>
        <v/>
      </c>
      <c r="I1617" s="22" t="str">
        <f aca="false">IF($B1617="","",MAX(F1617-G1617,0))</f>
        <v/>
      </c>
      <c r="J1617" s="23" t="str">
        <f aca="false">IF($B1617="","",IFERROR(INDEX(고객사!$G$5:$G$104,MATCH($B1617,고객사!$A$5:$A$104,0)),""))</f>
        <v/>
      </c>
      <c r="K1617" s="16"/>
      <c r="L1617" s="22" t="str">
        <f aca="false">IF($B1617="","",K1617*IFERROR(INDEX(고객사!$L$5:$L$104,MATCH($B1617,고객사!$A$5:$A$104,0)),0))</f>
        <v/>
      </c>
      <c r="M1617" s="23" t="str">
        <f aca="false">IF($B1617="","",IF(AND(J1617="N",G1617&gt;0,K1617=0,IFERROR(INDEX(고객사!$H$5:$H$104,MATCH($B1617,고객사!$A$5:$A$104,0)),"")="자사 차량 운행"),"차량 미배정",""))</f>
        <v/>
      </c>
      <c r="N1617" s="22" t="str">
        <f aca="false">IF($B1617="","",IFERROR(INDEX(고객사!$J$5:$J$104,MATCH($B1617,고객사!$A$5:$A$104,0)),0))</f>
        <v/>
      </c>
      <c r="O1617" s="22" t="str">
        <f aca="false">IF($B1617="","",G1617*N1617)</f>
        <v/>
      </c>
      <c r="P1617" s="22" t="str">
        <f aca="false">IF($B1617="","",IFERROR(INDEX(고객사!$K$5:$K$104,MATCH($B1617,고객사!$A$5:$A$104,0)),0))</f>
        <v/>
      </c>
      <c r="Q1617" s="22" t="str">
        <f aca="false">IF($B1617="","",G1617*P1617)</f>
        <v/>
      </c>
      <c r="R1617" s="22" t="str">
        <f aca="false">IF($B1617="","",O1617-Q1617-L1617)</f>
        <v/>
      </c>
      <c r="S1617" s="21" t="str">
        <f aca="false">IF(OR($B1617="",N(O1617)=0),"",R1617/O1617)</f>
        <v/>
      </c>
      <c r="T1617" s="14"/>
      <c r="U1617" s="19" t="n">
        <f aca="false">IF(OR($B1617="",$A1617=""),0,IF(COUNTIFS($A$5:$A1617,$A1617,$B$5:$B1617,$B1617)=1,1,0))</f>
        <v>0</v>
      </c>
    </row>
    <row r="1618" customFormat="false" ht="15" hidden="false" customHeight="false" outlineLevel="0" collapsed="false">
      <c r="A1618" s="17"/>
      <c r="B1618" s="13"/>
      <c r="C1618" s="20" t="str">
        <f aca="false">IF($B1618="","",IFERROR(INDEX(고객사!$B$5:$B$104,MATCH($B1618,고객사!$A$5:$A$104,0)),"코드 확인"))</f>
        <v/>
      </c>
      <c r="D1618" s="15"/>
      <c r="E1618" s="15"/>
      <c r="F1618" s="16"/>
      <c r="G1618" s="16"/>
      <c r="H1618" s="21" t="str">
        <f aca="false">IF(OR($B1618="",F1618=0),"",G1618/F1618)</f>
        <v/>
      </c>
      <c r="I1618" s="22" t="str">
        <f aca="false">IF($B1618="","",MAX(F1618-G1618,0))</f>
        <v/>
      </c>
      <c r="J1618" s="23" t="str">
        <f aca="false">IF($B1618="","",IFERROR(INDEX(고객사!$G$5:$G$104,MATCH($B1618,고객사!$A$5:$A$104,0)),""))</f>
        <v/>
      </c>
      <c r="K1618" s="16"/>
      <c r="L1618" s="22" t="str">
        <f aca="false">IF($B1618="","",K1618*IFERROR(INDEX(고객사!$L$5:$L$104,MATCH($B1618,고객사!$A$5:$A$104,0)),0))</f>
        <v/>
      </c>
      <c r="M1618" s="23" t="str">
        <f aca="false">IF($B1618="","",IF(AND(J1618="N",G1618&gt;0,K1618=0,IFERROR(INDEX(고객사!$H$5:$H$104,MATCH($B1618,고객사!$A$5:$A$104,0)),"")="자사 차량 운행"),"차량 미배정",""))</f>
        <v/>
      </c>
      <c r="N1618" s="22" t="str">
        <f aca="false">IF($B1618="","",IFERROR(INDEX(고객사!$J$5:$J$104,MATCH($B1618,고객사!$A$5:$A$104,0)),0))</f>
        <v/>
      </c>
      <c r="O1618" s="22" t="str">
        <f aca="false">IF($B1618="","",G1618*N1618)</f>
        <v/>
      </c>
      <c r="P1618" s="22" t="str">
        <f aca="false">IF($B1618="","",IFERROR(INDEX(고객사!$K$5:$K$104,MATCH($B1618,고객사!$A$5:$A$104,0)),0))</f>
        <v/>
      </c>
      <c r="Q1618" s="22" t="str">
        <f aca="false">IF($B1618="","",G1618*P1618)</f>
        <v/>
      </c>
      <c r="R1618" s="22" t="str">
        <f aca="false">IF($B1618="","",O1618-Q1618-L1618)</f>
        <v/>
      </c>
      <c r="S1618" s="21" t="str">
        <f aca="false">IF(OR($B1618="",N(O1618)=0),"",R1618/O1618)</f>
        <v/>
      </c>
      <c r="T1618" s="14"/>
      <c r="U1618" s="19" t="n">
        <f aca="false">IF(OR($B1618="",$A1618=""),0,IF(COUNTIFS($A$5:$A1618,$A1618,$B$5:$B1618,$B1618)=1,1,0))</f>
        <v>0</v>
      </c>
    </row>
    <row r="1619" customFormat="false" ht="15" hidden="false" customHeight="false" outlineLevel="0" collapsed="false">
      <c r="A1619" s="17"/>
      <c r="B1619" s="13"/>
      <c r="C1619" s="20" t="str">
        <f aca="false">IF($B1619="","",IFERROR(INDEX(고객사!$B$5:$B$104,MATCH($B1619,고객사!$A$5:$A$104,0)),"코드 확인"))</f>
        <v/>
      </c>
      <c r="D1619" s="15"/>
      <c r="E1619" s="15"/>
      <c r="F1619" s="16"/>
      <c r="G1619" s="16"/>
      <c r="H1619" s="21" t="str">
        <f aca="false">IF(OR($B1619="",F1619=0),"",G1619/F1619)</f>
        <v/>
      </c>
      <c r="I1619" s="22" t="str">
        <f aca="false">IF($B1619="","",MAX(F1619-G1619,0))</f>
        <v/>
      </c>
      <c r="J1619" s="23" t="str">
        <f aca="false">IF($B1619="","",IFERROR(INDEX(고객사!$G$5:$G$104,MATCH($B1619,고객사!$A$5:$A$104,0)),""))</f>
        <v/>
      </c>
      <c r="K1619" s="16"/>
      <c r="L1619" s="22" t="str">
        <f aca="false">IF($B1619="","",K1619*IFERROR(INDEX(고객사!$L$5:$L$104,MATCH($B1619,고객사!$A$5:$A$104,0)),0))</f>
        <v/>
      </c>
      <c r="M1619" s="23" t="str">
        <f aca="false">IF($B1619="","",IF(AND(J1619="N",G1619&gt;0,K1619=0,IFERROR(INDEX(고객사!$H$5:$H$104,MATCH($B1619,고객사!$A$5:$A$104,0)),"")="자사 차량 운행"),"차량 미배정",""))</f>
        <v/>
      </c>
      <c r="N1619" s="22" t="str">
        <f aca="false">IF($B1619="","",IFERROR(INDEX(고객사!$J$5:$J$104,MATCH($B1619,고객사!$A$5:$A$104,0)),0))</f>
        <v/>
      </c>
      <c r="O1619" s="22" t="str">
        <f aca="false">IF($B1619="","",G1619*N1619)</f>
        <v/>
      </c>
      <c r="P1619" s="22" t="str">
        <f aca="false">IF($B1619="","",IFERROR(INDEX(고객사!$K$5:$K$104,MATCH($B1619,고객사!$A$5:$A$104,0)),0))</f>
        <v/>
      </c>
      <c r="Q1619" s="22" t="str">
        <f aca="false">IF($B1619="","",G1619*P1619)</f>
        <v/>
      </c>
      <c r="R1619" s="22" t="str">
        <f aca="false">IF($B1619="","",O1619-Q1619-L1619)</f>
        <v/>
      </c>
      <c r="S1619" s="21" t="str">
        <f aca="false">IF(OR($B1619="",N(O1619)=0),"",R1619/O1619)</f>
        <v/>
      </c>
      <c r="T1619" s="14"/>
      <c r="U1619" s="19" t="n">
        <f aca="false">IF(OR($B1619="",$A1619=""),0,IF(COUNTIFS($A$5:$A1619,$A1619,$B$5:$B1619,$B1619)=1,1,0))</f>
        <v>0</v>
      </c>
    </row>
    <row r="1620" customFormat="false" ht="15" hidden="false" customHeight="false" outlineLevel="0" collapsed="false">
      <c r="A1620" s="17"/>
      <c r="B1620" s="13"/>
      <c r="C1620" s="20" t="str">
        <f aca="false">IF($B1620="","",IFERROR(INDEX(고객사!$B$5:$B$104,MATCH($B1620,고객사!$A$5:$A$104,0)),"코드 확인"))</f>
        <v/>
      </c>
      <c r="D1620" s="15"/>
      <c r="E1620" s="15"/>
      <c r="F1620" s="16"/>
      <c r="G1620" s="16"/>
      <c r="H1620" s="21" t="str">
        <f aca="false">IF(OR($B1620="",F1620=0),"",G1620/F1620)</f>
        <v/>
      </c>
      <c r="I1620" s="22" t="str">
        <f aca="false">IF($B1620="","",MAX(F1620-G1620,0))</f>
        <v/>
      </c>
      <c r="J1620" s="23" t="str">
        <f aca="false">IF($B1620="","",IFERROR(INDEX(고객사!$G$5:$G$104,MATCH($B1620,고객사!$A$5:$A$104,0)),""))</f>
        <v/>
      </c>
      <c r="K1620" s="16"/>
      <c r="L1620" s="22" t="str">
        <f aca="false">IF($B1620="","",K1620*IFERROR(INDEX(고객사!$L$5:$L$104,MATCH($B1620,고객사!$A$5:$A$104,0)),0))</f>
        <v/>
      </c>
      <c r="M1620" s="23" t="str">
        <f aca="false">IF($B1620="","",IF(AND(J1620="N",G1620&gt;0,K1620=0,IFERROR(INDEX(고객사!$H$5:$H$104,MATCH($B1620,고객사!$A$5:$A$104,0)),"")="자사 차량 운행"),"차량 미배정",""))</f>
        <v/>
      </c>
      <c r="N1620" s="22" t="str">
        <f aca="false">IF($B1620="","",IFERROR(INDEX(고객사!$J$5:$J$104,MATCH($B1620,고객사!$A$5:$A$104,0)),0))</f>
        <v/>
      </c>
      <c r="O1620" s="22" t="str">
        <f aca="false">IF($B1620="","",G1620*N1620)</f>
        <v/>
      </c>
      <c r="P1620" s="22" t="str">
        <f aca="false">IF($B1620="","",IFERROR(INDEX(고객사!$K$5:$K$104,MATCH($B1620,고객사!$A$5:$A$104,0)),0))</f>
        <v/>
      </c>
      <c r="Q1620" s="22" t="str">
        <f aca="false">IF($B1620="","",G1620*P1620)</f>
        <v/>
      </c>
      <c r="R1620" s="22" t="str">
        <f aca="false">IF($B1620="","",O1620-Q1620-L1620)</f>
        <v/>
      </c>
      <c r="S1620" s="21" t="str">
        <f aca="false">IF(OR($B1620="",N(O1620)=0),"",R1620/O1620)</f>
        <v/>
      </c>
      <c r="T1620" s="14"/>
      <c r="U1620" s="19" t="n">
        <f aca="false">IF(OR($B1620="",$A1620=""),0,IF(COUNTIFS($A$5:$A1620,$A1620,$B$5:$B1620,$B1620)=1,1,0))</f>
        <v>0</v>
      </c>
    </row>
    <row r="1621" customFormat="false" ht="15" hidden="false" customHeight="false" outlineLevel="0" collapsed="false">
      <c r="A1621" s="17"/>
      <c r="B1621" s="13"/>
      <c r="C1621" s="20" t="str">
        <f aca="false">IF($B1621="","",IFERROR(INDEX(고객사!$B$5:$B$104,MATCH($B1621,고객사!$A$5:$A$104,0)),"코드 확인"))</f>
        <v/>
      </c>
      <c r="D1621" s="15"/>
      <c r="E1621" s="15"/>
      <c r="F1621" s="16"/>
      <c r="G1621" s="16"/>
      <c r="H1621" s="21" t="str">
        <f aca="false">IF(OR($B1621="",F1621=0),"",G1621/F1621)</f>
        <v/>
      </c>
      <c r="I1621" s="22" t="str">
        <f aca="false">IF($B1621="","",MAX(F1621-G1621,0))</f>
        <v/>
      </c>
      <c r="J1621" s="23" t="str">
        <f aca="false">IF($B1621="","",IFERROR(INDEX(고객사!$G$5:$G$104,MATCH($B1621,고객사!$A$5:$A$104,0)),""))</f>
        <v/>
      </c>
      <c r="K1621" s="16"/>
      <c r="L1621" s="22" t="str">
        <f aca="false">IF($B1621="","",K1621*IFERROR(INDEX(고객사!$L$5:$L$104,MATCH($B1621,고객사!$A$5:$A$104,0)),0))</f>
        <v/>
      </c>
      <c r="M1621" s="23" t="str">
        <f aca="false">IF($B1621="","",IF(AND(J1621="N",G1621&gt;0,K1621=0,IFERROR(INDEX(고객사!$H$5:$H$104,MATCH($B1621,고객사!$A$5:$A$104,0)),"")="자사 차량 운행"),"차량 미배정",""))</f>
        <v/>
      </c>
      <c r="N1621" s="22" t="str">
        <f aca="false">IF($B1621="","",IFERROR(INDEX(고객사!$J$5:$J$104,MATCH($B1621,고객사!$A$5:$A$104,0)),0))</f>
        <v/>
      </c>
      <c r="O1621" s="22" t="str">
        <f aca="false">IF($B1621="","",G1621*N1621)</f>
        <v/>
      </c>
      <c r="P1621" s="22" t="str">
        <f aca="false">IF($B1621="","",IFERROR(INDEX(고객사!$K$5:$K$104,MATCH($B1621,고객사!$A$5:$A$104,0)),0))</f>
        <v/>
      </c>
      <c r="Q1621" s="22" t="str">
        <f aca="false">IF($B1621="","",G1621*P1621)</f>
        <v/>
      </c>
      <c r="R1621" s="22" t="str">
        <f aca="false">IF($B1621="","",O1621-Q1621-L1621)</f>
        <v/>
      </c>
      <c r="S1621" s="21" t="str">
        <f aca="false">IF(OR($B1621="",N(O1621)=0),"",R1621/O1621)</f>
        <v/>
      </c>
      <c r="T1621" s="14"/>
      <c r="U1621" s="19" t="n">
        <f aca="false">IF(OR($B1621="",$A1621=""),0,IF(COUNTIFS($A$5:$A1621,$A1621,$B$5:$B1621,$B1621)=1,1,0))</f>
        <v>0</v>
      </c>
    </row>
    <row r="1622" customFormat="false" ht="15" hidden="false" customHeight="false" outlineLevel="0" collapsed="false">
      <c r="A1622" s="17"/>
      <c r="B1622" s="13"/>
      <c r="C1622" s="20" t="str">
        <f aca="false">IF($B1622="","",IFERROR(INDEX(고객사!$B$5:$B$104,MATCH($B1622,고객사!$A$5:$A$104,0)),"코드 확인"))</f>
        <v/>
      </c>
      <c r="D1622" s="15"/>
      <c r="E1622" s="15"/>
      <c r="F1622" s="16"/>
      <c r="G1622" s="16"/>
      <c r="H1622" s="21" t="str">
        <f aca="false">IF(OR($B1622="",F1622=0),"",G1622/F1622)</f>
        <v/>
      </c>
      <c r="I1622" s="22" t="str">
        <f aca="false">IF($B1622="","",MAX(F1622-G1622,0))</f>
        <v/>
      </c>
      <c r="J1622" s="23" t="str">
        <f aca="false">IF($B1622="","",IFERROR(INDEX(고객사!$G$5:$G$104,MATCH($B1622,고객사!$A$5:$A$104,0)),""))</f>
        <v/>
      </c>
      <c r="K1622" s="16"/>
      <c r="L1622" s="22" t="str">
        <f aca="false">IF($B1622="","",K1622*IFERROR(INDEX(고객사!$L$5:$L$104,MATCH($B1622,고객사!$A$5:$A$104,0)),0))</f>
        <v/>
      </c>
      <c r="M1622" s="23" t="str">
        <f aca="false">IF($B1622="","",IF(AND(J1622="N",G1622&gt;0,K1622=0,IFERROR(INDEX(고객사!$H$5:$H$104,MATCH($B1622,고객사!$A$5:$A$104,0)),"")="자사 차량 운행"),"차량 미배정",""))</f>
        <v/>
      </c>
      <c r="N1622" s="22" t="str">
        <f aca="false">IF($B1622="","",IFERROR(INDEX(고객사!$J$5:$J$104,MATCH($B1622,고객사!$A$5:$A$104,0)),0))</f>
        <v/>
      </c>
      <c r="O1622" s="22" t="str">
        <f aca="false">IF($B1622="","",G1622*N1622)</f>
        <v/>
      </c>
      <c r="P1622" s="22" t="str">
        <f aca="false">IF($B1622="","",IFERROR(INDEX(고객사!$K$5:$K$104,MATCH($B1622,고객사!$A$5:$A$104,0)),0))</f>
        <v/>
      </c>
      <c r="Q1622" s="22" t="str">
        <f aca="false">IF($B1622="","",G1622*P1622)</f>
        <v/>
      </c>
      <c r="R1622" s="22" t="str">
        <f aca="false">IF($B1622="","",O1622-Q1622-L1622)</f>
        <v/>
      </c>
      <c r="S1622" s="21" t="str">
        <f aca="false">IF(OR($B1622="",N(O1622)=0),"",R1622/O1622)</f>
        <v/>
      </c>
      <c r="T1622" s="14"/>
      <c r="U1622" s="19" t="n">
        <f aca="false">IF(OR($B1622="",$A1622=""),0,IF(COUNTIFS($A$5:$A1622,$A1622,$B$5:$B1622,$B1622)=1,1,0))</f>
        <v>0</v>
      </c>
    </row>
    <row r="1623" customFormat="false" ht="15" hidden="false" customHeight="false" outlineLevel="0" collapsed="false">
      <c r="A1623" s="17"/>
      <c r="B1623" s="13"/>
      <c r="C1623" s="20" t="str">
        <f aca="false">IF($B1623="","",IFERROR(INDEX(고객사!$B$5:$B$104,MATCH($B1623,고객사!$A$5:$A$104,0)),"코드 확인"))</f>
        <v/>
      </c>
      <c r="D1623" s="15"/>
      <c r="E1623" s="15"/>
      <c r="F1623" s="16"/>
      <c r="G1623" s="16"/>
      <c r="H1623" s="21" t="str">
        <f aca="false">IF(OR($B1623="",F1623=0),"",G1623/F1623)</f>
        <v/>
      </c>
      <c r="I1623" s="22" t="str">
        <f aca="false">IF($B1623="","",MAX(F1623-G1623,0))</f>
        <v/>
      </c>
      <c r="J1623" s="23" t="str">
        <f aca="false">IF($B1623="","",IFERROR(INDEX(고객사!$G$5:$G$104,MATCH($B1623,고객사!$A$5:$A$104,0)),""))</f>
        <v/>
      </c>
      <c r="K1623" s="16"/>
      <c r="L1623" s="22" t="str">
        <f aca="false">IF($B1623="","",K1623*IFERROR(INDEX(고객사!$L$5:$L$104,MATCH($B1623,고객사!$A$5:$A$104,0)),0))</f>
        <v/>
      </c>
      <c r="M1623" s="23" t="str">
        <f aca="false">IF($B1623="","",IF(AND(J1623="N",G1623&gt;0,K1623=0,IFERROR(INDEX(고객사!$H$5:$H$104,MATCH($B1623,고객사!$A$5:$A$104,0)),"")="자사 차량 운행"),"차량 미배정",""))</f>
        <v/>
      </c>
      <c r="N1623" s="22" t="str">
        <f aca="false">IF($B1623="","",IFERROR(INDEX(고객사!$J$5:$J$104,MATCH($B1623,고객사!$A$5:$A$104,0)),0))</f>
        <v/>
      </c>
      <c r="O1623" s="22" t="str">
        <f aca="false">IF($B1623="","",G1623*N1623)</f>
        <v/>
      </c>
      <c r="P1623" s="22" t="str">
        <f aca="false">IF($B1623="","",IFERROR(INDEX(고객사!$K$5:$K$104,MATCH($B1623,고객사!$A$5:$A$104,0)),0))</f>
        <v/>
      </c>
      <c r="Q1623" s="22" t="str">
        <f aca="false">IF($B1623="","",G1623*P1623)</f>
        <v/>
      </c>
      <c r="R1623" s="22" t="str">
        <f aca="false">IF($B1623="","",O1623-Q1623-L1623)</f>
        <v/>
      </c>
      <c r="S1623" s="21" t="str">
        <f aca="false">IF(OR($B1623="",N(O1623)=0),"",R1623/O1623)</f>
        <v/>
      </c>
      <c r="T1623" s="14"/>
      <c r="U1623" s="19" t="n">
        <f aca="false">IF(OR($B1623="",$A1623=""),0,IF(COUNTIFS($A$5:$A1623,$A1623,$B$5:$B1623,$B1623)=1,1,0))</f>
        <v>0</v>
      </c>
    </row>
    <row r="1624" customFormat="false" ht="15" hidden="false" customHeight="false" outlineLevel="0" collapsed="false">
      <c r="A1624" s="17"/>
      <c r="B1624" s="13"/>
      <c r="C1624" s="20" t="str">
        <f aca="false">IF($B1624="","",IFERROR(INDEX(고객사!$B$5:$B$104,MATCH($B1624,고객사!$A$5:$A$104,0)),"코드 확인"))</f>
        <v/>
      </c>
      <c r="D1624" s="15"/>
      <c r="E1624" s="15"/>
      <c r="F1624" s="16"/>
      <c r="G1624" s="16"/>
      <c r="H1624" s="21" t="str">
        <f aca="false">IF(OR($B1624="",F1624=0),"",G1624/F1624)</f>
        <v/>
      </c>
      <c r="I1624" s="22" t="str">
        <f aca="false">IF($B1624="","",MAX(F1624-G1624,0))</f>
        <v/>
      </c>
      <c r="J1624" s="23" t="str">
        <f aca="false">IF($B1624="","",IFERROR(INDEX(고객사!$G$5:$G$104,MATCH($B1624,고객사!$A$5:$A$104,0)),""))</f>
        <v/>
      </c>
      <c r="K1624" s="16"/>
      <c r="L1624" s="22" t="str">
        <f aca="false">IF($B1624="","",K1624*IFERROR(INDEX(고객사!$L$5:$L$104,MATCH($B1624,고객사!$A$5:$A$104,0)),0))</f>
        <v/>
      </c>
      <c r="M1624" s="23" t="str">
        <f aca="false">IF($B1624="","",IF(AND(J1624="N",G1624&gt;0,K1624=0,IFERROR(INDEX(고객사!$H$5:$H$104,MATCH($B1624,고객사!$A$5:$A$104,0)),"")="자사 차량 운행"),"차량 미배정",""))</f>
        <v/>
      </c>
      <c r="N1624" s="22" t="str">
        <f aca="false">IF($B1624="","",IFERROR(INDEX(고객사!$J$5:$J$104,MATCH($B1624,고객사!$A$5:$A$104,0)),0))</f>
        <v/>
      </c>
      <c r="O1624" s="22" t="str">
        <f aca="false">IF($B1624="","",G1624*N1624)</f>
        <v/>
      </c>
      <c r="P1624" s="22" t="str">
        <f aca="false">IF($B1624="","",IFERROR(INDEX(고객사!$K$5:$K$104,MATCH($B1624,고객사!$A$5:$A$104,0)),0))</f>
        <v/>
      </c>
      <c r="Q1624" s="22" t="str">
        <f aca="false">IF($B1624="","",G1624*P1624)</f>
        <v/>
      </c>
      <c r="R1624" s="22" t="str">
        <f aca="false">IF($B1624="","",O1624-Q1624-L1624)</f>
        <v/>
      </c>
      <c r="S1624" s="21" t="str">
        <f aca="false">IF(OR($B1624="",N(O1624)=0),"",R1624/O1624)</f>
        <v/>
      </c>
      <c r="T1624" s="14"/>
      <c r="U1624" s="19" t="n">
        <f aca="false">IF(OR($B1624="",$A1624=""),0,IF(COUNTIFS($A$5:$A1624,$A1624,$B$5:$B1624,$B1624)=1,1,0))</f>
        <v>0</v>
      </c>
    </row>
    <row r="1625" customFormat="false" ht="15" hidden="false" customHeight="false" outlineLevel="0" collapsed="false">
      <c r="A1625" s="17"/>
      <c r="B1625" s="13"/>
      <c r="C1625" s="20" t="str">
        <f aca="false">IF($B1625="","",IFERROR(INDEX(고객사!$B$5:$B$104,MATCH($B1625,고객사!$A$5:$A$104,0)),"코드 확인"))</f>
        <v/>
      </c>
      <c r="D1625" s="15"/>
      <c r="E1625" s="15"/>
      <c r="F1625" s="16"/>
      <c r="G1625" s="16"/>
      <c r="H1625" s="21" t="str">
        <f aca="false">IF(OR($B1625="",F1625=0),"",G1625/F1625)</f>
        <v/>
      </c>
      <c r="I1625" s="22" t="str">
        <f aca="false">IF($B1625="","",MAX(F1625-G1625,0))</f>
        <v/>
      </c>
      <c r="J1625" s="23" t="str">
        <f aca="false">IF($B1625="","",IFERROR(INDEX(고객사!$G$5:$G$104,MATCH($B1625,고객사!$A$5:$A$104,0)),""))</f>
        <v/>
      </c>
      <c r="K1625" s="16"/>
      <c r="L1625" s="22" t="str">
        <f aca="false">IF($B1625="","",K1625*IFERROR(INDEX(고객사!$L$5:$L$104,MATCH($B1625,고객사!$A$5:$A$104,0)),0))</f>
        <v/>
      </c>
      <c r="M1625" s="23" t="str">
        <f aca="false">IF($B1625="","",IF(AND(J1625="N",G1625&gt;0,K1625=0,IFERROR(INDEX(고객사!$H$5:$H$104,MATCH($B1625,고객사!$A$5:$A$104,0)),"")="자사 차량 운행"),"차량 미배정",""))</f>
        <v/>
      </c>
      <c r="N1625" s="22" t="str">
        <f aca="false">IF($B1625="","",IFERROR(INDEX(고객사!$J$5:$J$104,MATCH($B1625,고객사!$A$5:$A$104,0)),0))</f>
        <v/>
      </c>
      <c r="O1625" s="22" t="str">
        <f aca="false">IF($B1625="","",G1625*N1625)</f>
        <v/>
      </c>
      <c r="P1625" s="22" t="str">
        <f aca="false">IF($B1625="","",IFERROR(INDEX(고객사!$K$5:$K$104,MATCH($B1625,고객사!$A$5:$A$104,0)),0))</f>
        <v/>
      </c>
      <c r="Q1625" s="22" t="str">
        <f aca="false">IF($B1625="","",G1625*P1625)</f>
        <v/>
      </c>
      <c r="R1625" s="22" t="str">
        <f aca="false">IF($B1625="","",O1625-Q1625-L1625)</f>
        <v/>
      </c>
      <c r="S1625" s="21" t="str">
        <f aca="false">IF(OR($B1625="",N(O1625)=0),"",R1625/O1625)</f>
        <v/>
      </c>
      <c r="T1625" s="14"/>
      <c r="U1625" s="19" t="n">
        <f aca="false">IF(OR($B1625="",$A1625=""),0,IF(COUNTIFS($A$5:$A1625,$A1625,$B$5:$B1625,$B1625)=1,1,0))</f>
        <v>0</v>
      </c>
    </row>
    <row r="1626" customFormat="false" ht="15" hidden="false" customHeight="false" outlineLevel="0" collapsed="false">
      <c r="A1626" s="17"/>
      <c r="B1626" s="13"/>
      <c r="C1626" s="20" t="str">
        <f aca="false">IF($B1626="","",IFERROR(INDEX(고객사!$B$5:$B$104,MATCH($B1626,고객사!$A$5:$A$104,0)),"코드 확인"))</f>
        <v/>
      </c>
      <c r="D1626" s="15"/>
      <c r="E1626" s="15"/>
      <c r="F1626" s="16"/>
      <c r="G1626" s="16"/>
      <c r="H1626" s="21" t="str">
        <f aca="false">IF(OR($B1626="",F1626=0),"",G1626/F1626)</f>
        <v/>
      </c>
      <c r="I1626" s="22" t="str">
        <f aca="false">IF($B1626="","",MAX(F1626-G1626,0))</f>
        <v/>
      </c>
      <c r="J1626" s="23" t="str">
        <f aca="false">IF($B1626="","",IFERROR(INDEX(고객사!$G$5:$G$104,MATCH($B1626,고객사!$A$5:$A$104,0)),""))</f>
        <v/>
      </c>
      <c r="K1626" s="16"/>
      <c r="L1626" s="22" t="str">
        <f aca="false">IF($B1626="","",K1626*IFERROR(INDEX(고객사!$L$5:$L$104,MATCH($B1626,고객사!$A$5:$A$104,0)),0))</f>
        <v/>
      </c>
      <c r="M1626" s="23" t="str">
        <f aca="false">IF($B1626="","",IF(AND(J1626="N",G1626&gt;0,K1626=0,IFERROR(INDEX(고객사!$H$5:$H$104,MATCH($B1626,고객사!$A$5:$A$104,0)),"")="자사 차량 운행"),"차량 미배정",""))</f>
        <v/>
      </c>
      <c r="N1626" s="22" t="str">
        <f aca="false">IF($B1626="","",IFERROR(INDEX(고객사!$J$5:$J$104,MATCH($B1626,고객사!$A$5:$A$104,0)),0))</f>
        <v/>
      </c>
      <c r="O1626" s="22" t="str">
        <f aca="false">IF($B1626="","",G1626*N1626)</f>
        <v/>
      </c>
      <c r="P1626" s="22" t="str">
        <f aca="false">IF($B1626="","",IFERROR(INDEX(고객사!$K$5:$K$104,MATCH($B1626,고객사!$A$5:$A$104,0)),0))</f>
        <v/>
      </c>
      <c r="Q1626" s="22" t="str">
        <f aca="false">IF($B1626="","",G1626*P1626)</f>
        <v/>
      </c>
      <c r="R1626" s="22" t="str">
        <f aca="false">IF($B1626="","",O1626-Q1626-L1626)</f>
        <v/>
      </c>
      <c r="S1626" s="21" t="str">
        <f aca="false">IF(OR($B1626="",N(O1626)=0),"",R1626/O1626)</f>
        <v/>
      </c>
      <c r="T1626" s="14"/>
      <c r="U1626" s="19" t="n">
        <f aca="false">IF(OR($B1626="",$A1626=""),0,IF(COUNTIFS($A$5:$A1626,$A1626,$B$5:$B1626,$B1626)=1,1,0))</f>
        <v>0</v>
      </c>
    </row>
    <row r="1627" customFormat="false" ht="15" hidden="false" customHeight="false" outlineLevel="0" collapsed="false">
      <c r="A1627" s="17"/>
      <c r="B1627" s="13"/>
      <c r="C1627" s="20" t="str">
        <f aca="false">IF($B1627="","",IFERROR(INDEX(고객사!$B$5:$B$104,MATCH($B1627,고객사!$A$5:$A$104,0)),"코드 확인"))</f>
        <v/>
      </c>
      <c r="D1627" s="15"/>
      <c r="E1627" s="15"/>
      <c r="F1627" s="16"/>
      <c r="G1627" s="16"/>
      <c r="H1627" s="21" t="str">
        <f aca="false">IF(OR($B1627="",F1627=0),"",G1627/F1627)</f>
        <v/>
      </c>
      <c r="I1627" s="22" t="str">
        <f aca="false">IF($B1627="","",MAX(F1627-G1627,0))</f>
        <v/>
      </c>
      <c r="J1627" s="23" t="str">
        <f aca="false">IF($B1627="","",IFERROR(INDEX(고객사!$G$5:$G$104,MATCH($B1627,고객사!$A$5:$A$104,0)),""))</f>
        <v/>
      </c>
      <c r="K1627" s="16"/>
      <c r="L1627" s="22" t="str">
        <f aca="false">IF($B1627="","",K1627*IFERROR(INDEX(고객사!$L$5:$L$104,MATCH($B1627,고객사!$A$5:$A$104,0)),0))</f>
        <v/>
      </c>
      <c r="M1627" s="23" t="str">
        <f aca="false">IF($B1627="","",IF(AND(J1627="N",G1627&gt;0,K1627=0,IFERROR(INDEX(고객사!$H$5:$H$104,MATCH($B1627,고객사!$A$5:$A$104,0)),"")="자사 차량 운행"),"차량 미배정",""))</f>
        <v/>
      </c>
      <c r="N1627" s="22" t="str">
        <f aca="false">IF($B1627="","",IFERROR(INDEX(고객사!$J$5:$J$104,MATCH($B1627,고객사!$A$5:$A$104,0)),0))</f>
        <v/>
      </c>
      <c r="O1627" s="22" t="str">
        <f aca="false">IF($B1627="","",G1627*N1627)</f>
        <v/>
      </c>
      <c r="P1627" s="22" t="str">
        <f aca="false">IF($B1627="","",IFERROR(INDEX(고객사!$K$5:$K$104,MATCH($B1627,고객사!$A$5:$A$104,0)),0))</f>
        <v/>
      </c>
      <c r="Q1627" s="22" t="str">
        <f aca="false">IF($B1627="","",G1627*P1627)</f>
        <v/>
      </c>
      <c r="R1627" s="22" t="str">
        <f aca="false">IF($B1627="","",O1627-Q1627-L1627)</f>
        <v/>
      </c>
      <c r="S1627" s="21" t="str">
        <f aca="false">IF(OR($B1627="",N(O1627)=0),"",R1627/O1627)</f>
        <v/>
      </c>
      <c r="T1627" s="14"/>
      <c r="U1627" s="19" t="n">
        <f aca="false">IF(OR($B1627="",$A1627=""),0,IF(COUNTIFS($A$5:$A1627,$A1627,$B$5:$B1627,$B1627)=1,1,0))</f>
        <v>0</v>
      </c>
    </row>
    <row r="1628" customFormat="false" ht="15" hidden="false" customHeight="false" outlineLevel="0" collapsed="false">
      <c r="A1628" s="17"/>
      <c r="B1628" s="13"/>
      <c r="C1628" s="20" t="str">
        <f aca="false">IF($B1628="","",IFERROR(INDEX(고객사!$B$5:$B$104,MATCH($B1628,고객사!$A$5:$A$104,0)),"코드 확인"))</f>
        <v/>
      </c>
      <c r="D1628" s="15"/>
      <c r="E1628" s="15"/>
      <c r="F1628" s="16"/>
      <c r="G1628" s="16"/>
      <c r="H1628" s="21" t="str">
        <f aca="false">IF(OR($B1628="",F1628=0),"",G1628/F1628)</f>
        <v/>
      </c>
      <c r="I1628" s="22" t="str">
        <f aca="false">IF($B1628="","",MAX(F1628-G1628,0))</f>
        <v/>
      </c>
      <c r="J1628" s="23" t="str">
        <f aca="false">IF($B1628="","",IFERROR(INDEX(고객사!$G$5:$G$104,MATCH($B1628,고객사!$A$5:$A$104,0)),""))</f>
        <v/>
      </c>
      <c r="K1628" s="16"/>
      <c r="L1628" s="22" t="str">
        <f aca="false">IF($B1628="","",K1628*IFERROR(INDEX(고객사!$L$5:$L$104,MATCH($B1628,고객사!$A$5:$A$104,0)),0))</f>
        <v/>
      </c>
      <c r="M1628" s="23" t="str">
        <f aca="false">IF($B1628="","",IF(AND(J1628="N",G1628&gt;0,K1628=0,IFERROR(INDEX(고객사!$H$5:$H$104,MATCH($B1628,고객사!$A$5:$A$104,0)),"")="자사 차량 운행"),"차량 미배정",""))</f>
        <v/>
      </c>
      <c r="N1628" s="22" t="str">
        <f aca="false">IF($B1628="","",IFERROR(INDEX(고객사!$J$5:$J$104,MATCH($B1628,고객사!$A$5:$A$104,0)),0))</f>
        <v/>
      </c>
      <c r="O1628" s="22" t="str">
        <f aca="false">IF($B1628="","",G1628*N1628)</f>
        <v/>
      </c>
      <c r="P1628" s="22" t="str">
        <f aca="false">IF($B1628="","",IFERROR(INDEX(고객사!$K$5:$K$104,MATCH($B1628,고객사!$A$5:$A$104,0)),0))</f>
        <v/>
      </c>
      <c r="Q1628" s="22" t="str">
        <f aca="false">IF($B1628="","",G1628*P1628)</f>
        <v/>
      </c>
      <c r="R1628" s="22" t="str">
        <f aca="false">IF($B1628="","",O1628-Q1628-L1628)</f>
        <v/>
      </c>
      <c r="S1628" s="21" t="str">
        <f aca="false">IF(OR($B1628="",N(O1628)=0),"",R1628/O1628)</f>
        <v/>
      </c>
      <c r="T1628" s="14"/>
      <c r="U1628" s="19" t="n">
        <f aca="false">IF(OR($B1628="",$A1628=""),0,IF(COUNTIFS($A$5:$A1628,$A1628,$B$5:$B1628,$B1628)=1,1,0))</f>
        <v>0</v>
      </c>
    </row>
    <row r="1629" customFormat="false" ht="15" hidden="false" customHeight="false" outlineLevel="0" collapsed="false">
      <c r="A1629" s="17"/>
      <c r="B1629" s="13"/>
      <c r="C1629" s="20" t="str">
        <f aca="false">IF($B1629="","",IFERROR(INDEX(고객사!$B$5:$B$104,MATCH($B1629,고객사!$A$5:$A$104,0)),"코드 확인"))</f>
        <v/>
      </c>
      <c r="D1629" s="15"/>
      <c r="E1629" s="15"/>
      <c r="F1629" s="16"/>
      <c r="G1629" s="16"/>
      <c r="H1629" s="21" t="str">
        <f aca="false">IF(OR($B1629="",F1629=0),"",G1629/F1629)</f>
        <v/>
      </c>
      <c r="I1629" s="22" t="str">
        <f aca="false">IF($B1629="","",MAX(F1629-G1629,0))</f>
        <v/>
      </c>
      <c r="J1629" s="23" t="str">
        <f aca="false">IF($B1629="","",IFERROR(INDEX(고객사!$G$5:$G$104,MATCH($B1629,고객사!$A$5:$A$104,0)),""))</f>
        <v/>
      </c>
      <c r="K1629" s="16"/>
      <c r="L1629" s="22" t="str">
        <f aca="false">IF($B1629="","",K1629*IFERROR(INDEX(고객사!$L$5:$L$104,MATCH($B1629,고객사!$A$5:$A$104,0)),0))</f>
        <v/>
      </c>
      <c r="M1629" s="23" t="str">
        <f aca="false">IF($B1629="","",IF(AND(J1629="N",G1629&gt;0,K1629=0,IFERROR(INDEX(고객사!$H$5:$H$104,MATCH($B1629,고객사!$A$5:$A$104,0)),"")="자사 차량 운행"),"차량 미배정",""))</f>
        <v/>
      </c>
      <c r="N1629" s="22" t="str">
        <f aca="false">IF($B1629="","",IFERROR(INDEX(고객사!$J$5:$J$104,MATCH($B1629,고객사!$A$5:$A$104,0)),0))</f>
        <v/>
      </c>
      <c r="O1629" s="22" t="str">
        <f aca="false">IF($B1629="","",G1629*N1629)</f>
        <v/>
      </c>
      <c r="P1629" s="22" t="str">
        <f aca="false">IF($B1629="","",IFERROR(INDEX(고객사!$K$5:$K$104,MATCH($B1629,고객사!$A$5:$A$104,0)),0))</f>
        <v/>
      </c>
      <c r="Q1629" s="22" t="str">
        <f aca="false">IF($B1629="","",G1629*P1629)</f>
        <v/>
      </c>
      <c r="R1629" s="22" t="str">
        <f aca="false">IF($B1629="","",O1629-Q1629-L1629)</f>
        <v/>
      </c>
      <c r="S1629" s="21" t="str">
        <f aca="false">IF(OR($B1629="",N(O1629)=0),"",R1629/O1629)</f>
        <v/>
      </c>
      <c r="T1629" s="14"/>
      <c r="U1629" s="19" t="n">
        <f aca="false">IF(OR($B1629="",$A1629=""),0,IF(COUNTIFS($A$5:$A1629,$A1629,$B$5:$B1629,$B1629)=1,1,0))</f>
        <v>0</v>
      </c>
    </row>
    <row r="1630" customFormat="false" ht="15" hidden="false" customHeight="false" outlineLevel="0" collapsed="false">
      <c r="A1630" s="17"/>
      <c r="B1630" s="13"/>
      <c r="C1630" s="20" t="str">
        <f aca="false">IF($B1630="","",IFERROR(INDEX(고객사!$B$5:$B$104,MATCH($B1630,고객사!$A$5:$A$104,0)),"코드 확인"))</f>
        <v/>
      </c>
      <c r="D1630" s="15"/>
      <c r="E1630" s="15"/>
      <c r="F1630" s="16"/>
      <c r="G1630" s="16"/>
      <c r="H1630" s="21" t="str">
        <f aca="false">IF(OR($B1630="",F1630=0),"",G1630/F1630)</f>
        <v/>
      </c>
      <c r="I1630" s="22" t="str">
        <f aca="false">IF($B1630="","",MAX(F1630-G1630,0))</f>
        <v/>
      </c>
      <c r="J1630" s="23" t="str">
        <f aca="false">IF($B1630="","",IFERROR(INDEX(고객사!$G$5:$G$104,MATCH($B1630,고객사!$A$5:$A$104,0)),""))</f>
        <v/>
      </c>
      <c r="K1630" s="16"/>
      <c r="L1630" s="22" t="str">
        <f aca="false">IF($B1630="","",K1630*IFERROR(INDEX(고객사!$L$5:$L$104,MATCH($B1630,고객사!$A$5:$A$104,0)),0))</f>
        <v/>
      </c>
      <c r="M1630" s="23" t="str">
        <f aca="false">IF($B1630="","",IF(AND(J1630="N",G1630&gt;0,K1630=0,IFERROR(INDEX(고객사!$H$5:$H$104,MATCH($B1630,고객사!$A$5:$A$104,0)),"")="자사 차량 운행"),"차량 미배정",""))</f>
        <v/>
      </c>
      <c r="N1630" s="22" t="str">
        <f aca="false">IF($B1630="","",IFERROR(INDEX(고객사!$J$5:$J$104,MATCH($B1630,고객사!$A$5:$A$104,0)),0))</f>
        <v/>
      </c>
      <c r="O1630" s="22" t="str">
        <f aca="false">IF($B1630="","",G1630*N1630)</f>
        <v/>
      </c>
      <c r="P1630" s="22" t="str">
        <f aca="false">IF($B1630="","",IFERROR(INDEX(고객사!$K$5:$K$104,MATCH($B1630,고객사!$A$5:$A$104,0)),0))</f>
        <v/>
      </c>
      <c r="Q1630" s="22" t="str">
        <f aca="false">IF($B1630="","",G1630*P1630)</f>
        <v/>
      </c>
      <c r="R1630" s="22" t="str">
        <f aca="false">IF($B1630="","",O1630-Q1630-L1630)</f>
        <v/>
      </c>
      <c r="S1630" s="21" t="str">
        <f aca="false">IF(OR($B1630="",N(O1630)=0),"",R1630/O1630)</f>
        <v/>
      </c>
      <c r="T1630" s="14"/>
      <c r="U1630" s="19" t="n">
        <f aca="false">IF(OR($B1630="",$A1630=""),0,IF(COUNTIFS($A$5:$A1630,$A1630,$B$5:$B1630,$B1630)=1,1,0))</f>
        <v>0</v>
      </c>
    </row>
    <row r="1631" customFormat="false" ht="15" hidden="false" customHeight="false" outlineLevel="0" collapsed="false">
      <c r="A1631" s="17"/>
      <c r="B1631" s="13"/>
      <c r="C1631" s="20" t="str">
        <f aca="false">IF($B1631="","",IFERROR(INDEX(고객사!$B$5:$B$104,MATCH($B1631,고객사!$A$5:$A$104,0)),"코드 확인"))</f>
        <v/>
      </c>
      <c r="D1631" s="15"/>
      <c r="E1631" s="15"/>
      <c r="F1631" s="16"/>
      <c r="G1631" s="16"/>
      <c r="H1631" s="21" t="str">
        <f aca="false">IF(OR($B1631="",F1631=0),"",G1631/F1631)</f>
        <v/>
      </c>
      <c r="I1631" s="22" t="str">
        <f aca="false">IF($B1631="","",MAX(F1631-G1631,0))</f>
        <v/>
      </c>
      <c r="J1631" s="23" t="str">
        <f aca="false">IF($B1631="","",IFERROR(INDEX(고객사!$G$5:$G$104,MATCH($B1631,고객사!$A$5:$A$104,0)),""))</f>
        <v/>
      </c>
      <c r="K1631" s="16"/>
      <c r="L1631" s="22" t="str">
        <f aca="false">IF($B1631="","",K1631*IFERROR(INDEX(고객사!$L$5:$L$104,MATCH($B1631,고객사!$A$5:$A$104,0)),0))</f>
        <v/>
      </c>
      <c r="M1631" s="23" t="str">
        <f aca="false">IF($B1631="","",IF(AND(J1631="N",G1631&gt;0,K1631=0,IFERROR(INDEX(고객사!$H$5:$H$104,MATCH($B1631,고객사!$A$5:$A$104,0)),"")="자사 차량 운행"),"차량 미배정",""))</f>
        <v/>
      </c>
      <c r="N1631" s="22" t="str">
        <f aca="false">IF($B1631="","",IFERROR(INDEX(고객사!$J$5:$J$104,MATCH($B1631,고객사!$A$5:$A$104,0)),0))</f>
        <v/>
      </c>
      <c r="O1631" s="22" t="str">
        <f aca="false">IF($B1631="","",G1631*N1631)</f>
        <v/>
      </c>
      <c r="P1631" s="22" t="str">
        <f aca="false">IF($B1631="","",IFERROR(INDEX(고객사!$K$5:$K$104,MATCH($B1631,고객사!$A$5:$A$104,0)),0))</f>
        <v/>
      </c>
      <c r="Q1631" s="22" t="str">
        <f aca="false">IF($B1631="","",G1631*P1631)</f>
        <v/>
      </c>
      <c r="R1631" s="22" t="str">
        <f aca="false">IF($B1631="","",O1631-Q1631-L1631)</f>
        <v/>
      </c>
      <c r="S1631" s="21" t="str">
        <f aca="false">IF(OR($B1631="",N(O1631)=0),"",R1631/O1631)</f>
        <v/>
      </c>
      <c r="T1631" s="14"/>
      <c r="U1631" s="19" t="n">
        <f aca="false">IF(OR($B1631="",$A1631=""),0,IF(COUNTIFS($A$5:$A1631,$A1631,$B$5:$B1631,$B1631)=1,1,0))</f>
        <v>0</v>
      </c>
    </row>
    <row r="1632" customFormat="false" ht="15" hidden="false" customHeight="false" outlineLevel="0" collapsed="false">
      <c r="A1632" s="17"/>
      <c r="B1632" s="13"/>
      <c r="C1632" s="20" t="str">
        <f aca="false">IF($B1632="","",IFERROR(INDEX(고객사!$B$5:$B$104,MATCH($B1632,고객사!$A$5:$A$104,0)),"코드 확인"))</f>
        <v/>
      </c>
      <c r="D1632" s="15"/>
      <c r="E1632" s="15"/>
      <c r="F1632" s="16"/>
      <c r="G1632" s="16"/>
      <c r="H1632" s="21" t="str">
        <f aca="false">IF(OR($B1632="",F1632=0),"",G1632/F1632)</f>
        <v/>
      </c>
      <c r="I1632" s="22" t="str">
        <f aca="false">IF($B1632="","",MAX(F1632-G1632,0))</f>
        <v/>
      </c>
      <c r="J1632" s="23" t="str">
        <f aca="false">IF($B1632="","",IFERROR(INDEX(고객사!$G$5:$G$104,MATCH($B1632,고객사!$A$5:$A$104,0)),""))</f>
        <v/>
      </c>
      <c r="K1632" s="16"/>
      <c r="L1632" s="22" t="str">
        <f aca="false">IF($B1632="","",K1632*IFERROR(INDEX(고객사!$L$5:$L$104,MATCH($B1632,고객사!$A$5:$A$104,0)),0))</f>
        <v/>
      </c>
      <c r="M1632" s="23" t="str">
        <f aca="false">IF($B1632="","",IF(AND(J1632="N",G1632&gt;0,K1632=0,IFERROR(INDEX(고객사!$H$5:$H$104,MATCH($B1632,고객사!$A$5:$A$104,0)),"")="자사 차량 운행"),"차량 미배정",""))</f>
        <v/>
      </c>
      <c r="N1632" s="22" t="str">
        <f aca="false">IF($B1632="","",IFERROR(INDEX(고객사!$J$5:$J$104,MATCH($B1632,고객사!$A$5:$A$104,0)),0))</f>
        <v/>
      </c>
      <c r="O1632" s="22" t="str">
        <f aca="false">IF($B1632="","",G1632*N1632)</f>
        <v/>
      </c>
      <c r="P1632" s="22" t="str">
        <f aca="false">IF($B1632="","",IFERROR(INDEX(고객사!$K$5:$K$104,MATCH($B1632,고객사!$A$5:$A$104,0)),0))</f>
        <v/>
      </c>
      <c r="Q1632" s="22" t="str">
        <f aca="false">IF($B1632="","",G1632*P1632)</f>
        <v/>
      </c>
      <c r="R1632" s="22" t="str">
        <f aca="false">IF($B1632="","",O1632-Q1632-L1632)</f>
        <v/>
      </c>
      <c r="S1632" s="21" t="str">
        <f aca="false">IF(OR($B1632="",N(O1632)=0),"",R1632/O1632)</f>
        <v/>
      </c>
      <c r="T1632" s="14"/>
      <c r="U1632" s="19" t="n">
        <f aca="false">IF(OR($B1632="",$A1632=""),0,IF(COUNTIFS($A$5:$A1632,$A1632,$B$5:$B1632,$B1632)=1,1,0))</f>
        <v>0</v>
      </c>
    </row>
    <row r="1633" customFormat="false" ht="15" hidden="false" customHeight="false" outlineLevel="0" collapsed="false">
      <c r="A1633" s="17"/>
      <c r="B1633" s="13"/>
      <c r="C1633" s="20" t="str">
        <f aca="false">IF($B1633="","",IFERROR(INDEX(고객사!$B$5:$B$104,MATCH($B1633,고객사!$A$5:$A$104,0)),"코드 확인"))</f>
        <v/>
      </c>
      <c r="D1633" s="15"/>
      <c r="E1633" s="15"/>
      <c r="F1633" s="16"/>
      <c r="G1633" s="16"/>
      <c r="H1633" s="21" t="str">
        <f aca="false">IF(OR($B1633="",F1633=0),"",G1633/F1633)</f>
        <v/>
      </c>
      <c r="I1633" s="22" t="str">
        <f aca="false">IF($B1633="","",MAX(F1633-G1633,0))</f>
        <v/>
      </c>
      <c r="J1633" s="23" t="str">
        <f aca="false">IF($B1633="","",IFERROR(INDEX(고객사!$G$5:$G$104,MATCH($B1633,고객사!$A$5:$A$104,0)),""))</f>
        <v/>
      </c>
      <c r="K1633" s="16"/>
      <c r="L1633" s="22" t="str">
        <f aca="false">IF($B1633="","",K1633*IFERROR(INDEX(고객사!$L$5:$L$104,MATCH($B1633,고객사!$A$5:$A$104,0)),0))</f>
        <v/>
      </c>
      <c r="M1633" s="23" t="str">
        <f aca="false">IF($B1633="","",IF(AND(J1633="N",G1633&gt;0,K1633=0,IFERROR(INDEX(고객사!$H$5:$H$104,MATCH($B1633,고객사!$A$5:$A$104,0)),"")="자사 차량 운행"),"차량 미배정",""))</f>
        <v/>
      </c>
      <c r="N1633" s="22" t="str">
        <f aca="false">IF($B1633="","",IFERROR(INDEX(고객사!$J$5:$J$104,MATCH($B1633,고객사!$A$5:$A$104,0)),0))</f>
        <v/>
      </c>
      <c r="O1633" s="22" t="str">
        <f aca="false">IF($B1633="","",G1633*N1633)</f>
        <v/>
      </c>
      <c r="P1633" s="22" t="str">
        <f aca="false">IF($B1633="","",IFERROR(INDEX(고객사!$K$5:$K$104,MATCH($B1633,고객사!$A$5:$A$104,0)),0))</f>
        <v/>
      </c>
      <c r="Q1633" s="22" t="str">
        <f aca="false">IF($B1633="","",G1633*P1633)</f>
        <v/>
      </c>
      <c r="R1633" s="22" t="str">
        <f aca="false">IF($B1633="","",O1633-Q1633-L1633)</f>
        <v/>
      </c>
      <c r="S1633" s="21" t="str">
        <f aca="false">IF(OR($B1633="",N(O1633)=0),"",R1633/O1633)</f>
        <v/>
      </c>
      <c r="T1633" s="14"/>
      <c r="U1633" s="19" t="n">
        <f aca="false">IF(OR($B1633="",$A1633=""),0,IF(COUNTIFS($A$5:$A1633,$A1633,$B$5:$B1633,$B1633)=1,1,0))</f>
        <v>0</v>
      </c>
    </row>
    <row r="1634" customFormat="false" ht="15" hidden="false" customHeight="false" outlineLevel="0" collapsed="false">
      <c r="A1634" s="17"/>
      <c r="B1634" s="13"/>
      <c r="C1634" s="20" t="str">
        <f aca="false">IF($B1634="","",IFERROR(INDEX(고객사!$B$5:$B$104,MATCH($B1634,고객사!$A$5:$A$104,0)),"코드 확인"))</f>
        <v/>
      </c>
      <c r="D1634" s="15"/>
      <c r="E1634" s="15"/>
      <c r="F1634" s="16"/>
      <c r="G1634" s="16"/>
      <c r="H1634" s="21" t="str">
        <f aca="false">IF(OR($B1634="",F1634=0),"",G1634/F1634)</f>
        <v/>
      </c>
      <c r="I1634" s="22" t="str">
        <f aca="false">IF($B1634="","",MAX(F1634-G1634,0))</f>
        <v/>
      </c>
      <c r="J1634" s="23" t="str">
        <f aca="false">IF($B1634="","",IFERROR(INDEX(고객사!$G$5:$G$104,MATCH($B1634,고객사!$A$5:$A$104,0)),""))</f>
        <v/>
      </c>
      <c r="K1634" s="16"/>
      <c r="L1634" s="22" t="str">
        <f aca="false">IF($B1634="","",K1634*IFERROR(INDEX(고객사!$L$5:$L$104,MATCH($B1634,고객사!$A$5:$A$104,0)),0))</f>
        <v/>
      </c>
      <c r="M1634" s="23" t="str">
        <f aca="false">IF($B1634="","",IF(AND(J1634="N",G1634&gt;0,K1634=0,IFERROR(INDEX(고객사!$H$5:$H$104,MATCH($B1634,고객사!$A$5:$A$104,0)),"")="자사 차량 운행"),"차량 미배정",""))</f>
        <v/>
      </c>
      <c r="N1634" s="22" t="str">
        <f aca="false">IF($B1634="","",IFERROR(INDEX(고객사!$J$5:$J$104,MATCH($B1634,고객사!$A$5:$A$104,0)),0))</f>
        <v/>
      </c>
      <c r="O1634" s="22" t="str">
        <f aca="false">IF($B1634="","",G1634*N1634)</f>
        <v/>
      </c>
      <c r="P1634" s="22" t="str">
        <f aca="false">IF($B1634="","",IFERROR(INDEX(고객사!$K$5:$K$104,MATCH($B1634,고객사!$A$5:$A$104,0)),0))</f>
        <v/>
      </c>
      <c r="Q1634" s="22" t="str">
        <f aca="false">IF($B1634="","",G1634*P1634)</f>
        <v/>
      </c>
      <c r="R1634" s="22" t="str">
        <f aca="false">IF($B1634="","",O1634-Q1634-L1634)</f>
        <v/>
      </c>
      <c r="S1634" s="21" t="str">
        <f aca="false">IF(OR($B1634="",N(O1634)=0),"",R1634/O1634)</f>
        <v/>
      </c>
      <c r="T1634" s="14"/>
      <c r="U1634" s="19" t="n">
        <f aca="false">IF(OR($B1634="",$A1634=""),0,IF(COUNTIFS($A$5:$A1634,$A1634,$B$5:$B1634,$B1634)=1,1,0))</f>
        <v>0</v>
      </c>
    </row>
    <row r="1635" customFormat="false" ht="15" hidden="false" customHeight="false" outlineLevel="0" collapsed="false">
      <c r="A1635" s="17"/>
      <c r="B1635" s="13"/>
      <c r="C1635" s="20" t="str">
        <f aca="false">IF($B1635="","",IFERROR(INDEX(고객사!$B$5:$B$104,MATCH($B1635,고객사!$A$5:$A$104,0)),"코드 확인"))</f>
        <v/>
      </c>
      <c r="D1635" s="15"/>
      <c r="E1635" s="15"/>
      <c r="F1635" s="16"/>
      <c r="G1635" s="16"/>
      <c r="H1635" s="21" t="str">
        <f aca="false">IF(OR($B1635="",F1635=0),"",G1635/F1635)</f>
        <v/>
      </c>
      <c r="I1635" s="22" t="str">
        <f aca="false">IF($B1635="","",MAX(F1635-G1635,0))</f>
        <v/>
      </c>
      <c r="J1635" s="23" t="str">
        <f aca="false">IF($B1635="","",IFERROR(INDEX(고객사!$G$5:$G$104,MATCH($B1635,고객사!$A$5:$A$104,0)),""))</f>
        <v/>
      </c>
      <c r="K1635" s="16"/>
      <c r="L1635" s="22" t="str">
        <f aca="false">IF($B1635="","",K1635*IFERROR(INDEX(고객사!$L$5:$L$104,MATCH($B1635,고객사!$A$5:$A$104,0)),0))</f>
        <v/>
      </c>
      <c r="M1635" s="23" t="str">
        <f aca="false">IF($B1635="","",IF(AND(J1635="N",G1635&gt;0,K1635=0,IFERROR(INDEX(고객사!$H$5:$H$104,MATCH($B1635,고객사!$A$5:$A$104,0)),"")="자사 차량 운행"),"차량 미배정",""))</f>
        <v/>
      </c>
      <c r="N1635" s="22" t="str">
        <f aca="false">IF($B1635="","",IFERROR(INDEX(고객사!$J$5:$J$104,MATCH($B1635,고객사!$A$5:$A$104,0)),0))</f>
        <v/>
      </c>
      <c r="O1635" s="22" t="str">
        <f aca="false">IF($B1635="","",G1635*N1635)</f>
        <v/>
      </c>
      <c r="P1635" s="22" t="str">
        <f aca="false">IF($B1635="","",IFERROR(INDEX(고객사!$K$5:$K$104,MATCH($B1635,고객사!$A$5:$A$104,0)),0))</f>
        <v/>
      </c>
      <c r="Q1635" s="22" t="str">
        <f aca="false">IF($B1635="","",G1635*P1635)</f>
        <v/>
      </c>
      <c r="R1635" s="22" t="str">
        <f aca="false">IF($B1635="","",O1635-Q1635-L1635)</f>
        <v/>
      </c>
      <c r="S1635" s="21" t="str">
        <f aca="false">IF(OR($B1635="",N(O1635)=0),"",R1635/O1635)</f>
        <v/>
      </c>
      <c r="T1635" s="14"/>
      <c r="U1635" s="19" t="n">
        <f aca="false">IF(OR($B1635="",$A1635=""),0,IF(COUNTIFS($A$5:$A1635,$A1635,$B$5:$B1635,$B1635)=1,1,0))</f>
        <v>0</v>
      </c>
    </row>
    <row r="1636" customFormat="false" ht="15" hidden="false" customHeight="false" outlineLevel="0" collapsed="false">
      <c r="A1636" s="17"/>
      <c r="B1636" s="13"/>
      <c r="C1636" s="20" t="str">
        <f aca="false">IF($B1636="","",IFERROR(INDEX(고객사!$B$5:$B$104,MATCH($B1636,고객사!$A$5:$A$104,0)),"코드 확인"))</f>
        <v/>
      </c>
      <c r="D1636" s="15"/>
      <c r="E1636" s="15"/>
      <c r="F1636" s="16"/>
      <c r="G1636" s="16"/>
      <c r="H1636" s="21" t="str">
        <f aca="false">IF(OR($B1636="",F1636=0),"",G1636/F1636)</f>
        <v/>
      </c>
      <c r="I1636" s="22" t="str">
        <f aca="false">IF($B1636="","",MAX(F1636-G1636,0))</f>
        <v/>
      </c>
      <c r="J1636" s="23" t="str">
        <f aca="false">IF($B1636="","",IFERROR(INDEX(고객사!$G$5:$G$104,MATCH($B1636,고객사!$A$5:$A$104,0)),""))</f>
        <v/>
      </c>
      <c r="K1636" s="16"/>
      <c r="L1636" s="22" t="str">
        <f aca="false">IF($B1636="","",K1636*IFERROR(INDEX(고객사!$L$5:$L$104,MATCH($B1636,고객사!$A$5:$A$104,0)),0))</f>
        <v/>
      </c>
      <c r="M1636" s="23" t="str">
        <f aca="false">IF($B1636="","",IF(AND(J1636="N",G1636&gt;0,K1636=0,IFERROR(INDEX(고객사!$H$5:$H$104,MATCH($B1636,고객사!$A$5:$A$104,0)),"")="자사 차량 운행"),"차량 미배정",""))</f>
        <v/>
      </c>
      <c r="N1636" s="22" t="str">
        <f aca="false">IF($B1636="","",IFERROR(INDEX(고객사!$J$5:$J$104,MATCH($B1636,고객사!$A$5:$A$104,0)),0))</f>
        <v/>
      </c>
      <c r="O1636" s="22" t="str">
        <f aca="false">IF($B1636="","",G1636*N1636)</f>
        <v/>
      </c>
      <c r="P1636" s="22" t="str">
        <f aca="false">IF($B1636="","",IFERROR(INDEX(고객사!$K$5:$K$104,MATCH($B1636,고객사!$A$5:$A$104,0)),0))</f>
        <v/>
      </c>
      <c r="Q1636" s="22" t="str">
        <f aca="false">IF($B1636="","",G1636*P1636)</f>
        <v/>
      </c>
      <c r="R1636" s="22" t="str">
        <f aca="false">IF($B1636="","",O1636-Q1636-L1636)</f>
        <v/>
      </c>
      <c r="S1636" s="21" t="str">
        <f aca="false">IF(OR($B1636="",N(O1636)=0),"",R1636/O1636)</f>
        <v/>
      </c>
      <c r="T1636" s="14"/>
      <c r="U1636" s="19" t="n">
        <f aca="false">IF(OR($B1636="",$A1636=""),0,IF(COUNTIFS($A$5:$A1636,$A1636,$B$5:$B1636,$B1636)=1,1,0))</f>
        <v>0</v>
      </c>
    </row>
    <row r="1637" customFormat="false" ht="15" hidden="false" customHeight="false" outlineLevel="0" collapsed="false">
      <c r="A1637" s="17"/>
      <c r="B1637" s="13"/>
      <c r="C1637" s="20" t="str">
        <f aca="false">IF($B1637="","",IFERROR(INDEX(고객사!$B$5:$B$104,MATCH($B1637,고객사!$A$5:$A$104,0)),"코드 확인"))</f>
        <v/>
      </c>
      <c r="D1637" s="15"/>
      <c r="E1637" s="15"/>
      <c r="F1637" s="16"/>
      <c r="G1637" s="16"/>
      <c r="H1637" s="21" t="str">
        <f aca="false">IF(OR($B1637="",F1637=0),"",G1637/F1637)</f>
        <v/>
      </c>
      <c r="I1637" s="22" t="str">
        <f aca="false">IF($B1637="","",MAX(F1637-G1637,0))</f>
        <v/>
      </c>
      <c r="J1637" s="23" t="str">
        <f aca="false">IF($B1637="","",IFERROR(INDEX(고객사!$G$5:$G$104,MATCH($B1637,고객사!$A$5:$A$104,0)),""))</f>
        <v/>
      </c>
      <c r="K1637" s="16"/>
      <c r="L1637" s="22" t="str">
        <f aca="false">IF($B1637="","",K1637*IFERROR(INDEX(고객사!$L$5:$L$104,MATCH($B1637,고객사!$A$5:$A$104,0)),0))</f>
        <v/>
      </c>
      <c r="M1637" s="23" t="str">
        <f aca="false">IF($B1637="","",IF(AND(J1637="N",G1637&gt;0,K1637=0,IFERROR(INDEX(고객사!$H$5:$H$104,MATCH($B1637,고객사!$A$5:$A$104,0)),"")="자사 차량 운행"),"차량 미배정",""))</f>
        <v/>
      </c>
      <c r="N1637" s="22" t="str">
        <f aca="false">IF($B1637="","",IFERROR(INDEX(고객사!$J$5:$J$104,MATCH($B1637,고객사!$A$5:$A$104,0)),0))</f>
        <v/>
      </c>
      <c r="O1637" s="22" t="str">
        <f aca="false">IF($B1637="","",G1637*N1637)</f>
        <v/>
      </c>
      <c r="P1637" s="22" t="str">
        <f aca="false">IF($B1637="","",IFERROR(INDEX(고객사!$K$5:$K$104,MATCH($B1637,고객사!$A$5:$A$104,0)),0))</f>
        <v/>
      </c>
      <c r="Q1637" s="22" t="str">
        <f aca="false">IF($B1637="","",G1637*P1637)</f>
        <v/>
      </c>
      <c r="R1637" s="22" t="str">
        <f aca="false">IF($B1637="","",O1637-Q1637-L1637)</f>
        <v/>
      </c>
      <c r="S1637" s="21" t="str">
        <f aca="false">IF(OR($B1637="",N(O1637)=0),"",R1637/O1637)</f>
        <v/>
      </c>
      <c r="T1637" s="14"/>
      <c r="U1637" s="19" t="n">
        <f aca="false">IF(OR($B1637="",$A1637=""),0,IF(COUNTIFS($A$5:$A1637,$A1637,$B$5:$B1637,$B1637)=1,1,0))</f>
        <v>0</v>
      </c>
    </row>
    <row r="1638" customFormat="false" ht="15" hidden="false" customHeight="false" outlineLevel="0" collapsed="false">
      <c r="A1638" s="17"/>
      <c r="B1638" s="13"/>
      <c r="C1638" s="20" t="str">
        <f aca="false">IF($B1638="","",IFERROR(INDEX(고객사!$B$5:$B$104,MATCH($B1638,고객사!$A$5:$A$104,0)),"코드 확인"))</f>
        <v/>
      </c>
      <c r="D1638" s="15"/>
      <c r="E1638" s="15"/>
      <c r="F1638" s="16"/>
      <c r="G1638" s="16"/>
      <c r="H1638" s="21" t="str">
        <f aca="false">IF(OR($B1638="",F1638=0),"",G1638/F1638)</f>
        <v/>
      </c>
      <c r="I1638" s="22" t="str">
        <f aca="false">IF($B1638="","",MAX(F1638-G1638,0))</f>
        <v/>
      </c>
      <c r="J1638" s="23" t="str">
        <f aca="false">IF($B1638="","",IFERROR(INDEX(고객사!$G$5:$G$104,MATCH($B1638,고객사!$A$5:$A$104,0)),""))</f>
        <v/>
      </c>
      <c r="K1638" s="16"/>
      <c r="L1638" s="22" t="str">
        <f aca="false">IF($B1638="","",K1638*IFERROR(INDEX(고객사!$L$5:$L$104,MATCH($B1638,고객사!$A$5:$A$104,0)),0))</f>
        <v/>
      </c>
      <c r="M1638" s="23" t="str">
        <f aca="false">IF($B1638="","",IF(AND(J1638="N",G1638&gt;0,K1638=0,IFERROR(INDEX(고객사!$H$5:$H$104,MATCH($B1638,고객사!$A$5:$A$104,0)),"")="자사 차량 운행"),"차량 미배정",""))</f>
        <v/>
      </c>
      <c r="N1638" s="22" t="str">
        <f aca="false">IF($B1638="","",IFERROR(INDEX(고객사!$J$5:$J$104,MATCH($B1638,고객사!$A$5:$A$104,0)),0))</f>
        <v/>
      </c>
      <c r="O1638" s="22" t="str">
        <f aca="false">IF($B1638="","",G1638*N1638)</f>
        <v/>
      </c>
      <c r="P1638" s="22" t="str">
        <f aca="false">IF($B1638="","",IFERROR(INDEX(고객사!$K$5:$K$104,MATCH($B1638,고객사!$A$5:$A$104,0)),0))</f>
        <v/>
      </c>
      <c r="Q1638" s="22" t="str">
        <f aca="false">IF($B1638="","",G1638*P1638)</f>
        <v/>
      </c>
      <c r="R1638" s="22" t="str">
        <f aca="false">IF($B1638="","",O1638-Q1638-L1638)</f>
        <v/>
      </c>
      <c r="S1638" s="21" t="str">
        <f aca="false">IF(OR($B1638="",N(O1638)=0),"",R1638/O1638)</f>
        <v/>
      </c>
      <c r="T1638" s="14"/>
      <c r="U1638" s="19" t="n">
        <f aca="false">IF(OR($B1638="",$A1638=""),0,IF(COUNTIFS($A$5:$A1638,$A1638,$B$5:$B1638,$B1638)=1,1,0))</f>
        <v>0</v>
      </c>
    </row>
    <row r="1639" customFormat="false" ht="15" hidden="false" customHeight="false" outlineLevel="0" collapsed="false">
      <c r="A1639" s="17"/>
      <c r="B1639" s="13"/>
      <c r="C1639" s="20" t="str">
        <f aca="false">IF($B1639="","",IFERROR(INDEX(고객사!$B$5:$B$104,MATCH($B1639,고객사!$A$5:$A$104,0)),"코드 확인"))</f>
        <v/>
      </c>
      <c r="D1639" s="15"/>
      <c r="E1639" s="15"/>
      <c r="F1639" s="16"/>
      <c r="G1639" s="16"/>
      <c r="H1639" s="21" t="str">
        <f aca="false">IF(OR($B1639="",F1639=0),"",G1639/F1639)</f>
        <v/>
      </c>
      <c r="I1639" s="22" t="str">
        <f aca="false">IF($B1639="","",MAX(F1639-G1639,0))</f>
        <v/>
      </c>
      <c r="J1639" s="23" t="str">
        <f aca="false">IF($B1639="","",IFERROR(INDEX(고객사!$G$5:$G$104,MATCH($B1639,고객사!$A$5:$A$104,0)),""))</f>
        <v/>
      </c>
      <c r="K1639" s="16"/>
      <c r="L1639" s="22" t="str">
        <f aca="false">IF($B1639="","",K1639*IFERROR(INDEX(고객사!$L$5:$L$104,MATCH($B1639,고객사!$A$5:$A$104,0)),0))</f>
        <v/>
      </c>
      <c r="M1639" s="23" t="str">
        <f aca="false">IF($B1639="","",IF(AND(J1639="N",G1639&gt;0,K1639=0,IFERROR(INDEX(고객사!$H$5:$H$104,MATCH($B1639,고객사!$A$5:$A$104,0)),"")="자사 차량 운행"),"차량 미배정",""))</f>
        <v/>
      </c>
      <c r="N1639" s="22" t="str">
        <f aca="false">IF($B1639="","",IFERROR(INDEX(고객사!$J$5:$J$104,MATCH($B1639,고객사!$A$5:$A$104,0)),0))</f>
        <v/>
      </c>
      <c r="O1639" s="22" t="str">
        <f aca="false">IF($B1639="","",G1639*N1639)</f>
        <v/>
      </c>
      <c r="P1639" s="22" t="str">
        <f aca="false">IF($B1639="","",IFERROR(INDEX(고객사!$K$5:$K$104,MATCH($B1639,고객사!$A$5:$A$104,0)),0))</f>
        <v/>
      </c>
      <c r="Q1639" s="22" t="str">
        <f aca="false">IF($B1639="","",G1639*P1639)</f>
        <v/>
      </c>
      <c r="R1639" s="22" t="str">
        <f aca="false">IF($B1639="","",O1639-Q1639-L1639)</f>
        <v/>
      </c>
      <c r="S1639" s="21" t="str">
        <f aca="false">IF(OR($B1639="",N(O1639)=0),"",R1639/O1639)</f>
        <v/>
      </c>
      <c r="T1639" s="14"/>
      <c r="U1639" s="19" t="n">
        <f aca="false">IF(OR($B1639="",$A1639=""),0,IF(COUNTIFS($A$5:$A1639,$A1639,$B$5:$B1639,$B1639)=1,1,0))</f>
        <v>0</v>
      </c>
    </row>
    <row r="1640" customFormat="false" ht="15" hidden="false" customHeight="false" outlineLevel="0" collapsed="false">
      <c r="A1640" s="17"/>
      <c r="B1640" s="13"/>
      <c r="C1640" s="20" t="str">
        <f aca="false">IF($B1640="","",IFERROR(INDEX(고객사!$B$5:$B$104,MATCH($B1640,고객사!$A$5:$A$104,0)),"코드 확인"))</f>
        <v/>
      </c>
      <c r="D1640" s="15"/>
      <c r="E1640" s="15"/>
      <c r="F1640" s="16"/>
      <c r="G1640" s="16"/>
      <c r="H1640" s="21" t="str">
        <f aca="false">IF(OR($B1640="",F1640=0),"",G1640/F1640)</f>
        <v/>
      </c>
      <c r="I1640" s="22" t="str">
        <f aca="false">IF($B1640="","",MAX(F1640-G1640,0))</f>
        <v/>
      </c>
      <c r="J1640" s="23" t="str">
        <f aca="false">IF($B1640="","",IFERROR(INDEX(고객사!$G$5:$G$104,MATCH($B1640,고객사!$A$5:$A$104,0)),""))</f>
        <v/>
      </c>
      <c r="K1640" s="16"/>
      <c r="L1640" s="22" t="str">
        <f aca="false">IF($B1640="","",K1640*IFERROR(INDEX(고객사!$L$5:$L$104,MATCH($B1640,고객사!$A$5:$A$104,0)),0))</f>
        <v/>
      </c>
      <c r="M1640" s="23" t="str">
        <f aca="false">IF($B1640="","",IF(AND(J1640="N",G1640&gt;0,K1640=0,IFERROR(INDEX(고객사!$H$5:$H$104,MATCH($B1640,고객사!$A$5:$A$104,0)),"")="자사 차량 운행"),"차량 미배정",""))</f>
        <v/>
      </c>
      <c r="N1640" s="22" t="str">
        <f aca="false">IF($B1640="","",IFERROR(INDEX(고객사!$J$5:$J$104,MATCH($B1640,고객사!$A$5:$A$104,0)),0))</f>
        <v/>
      </c>
      <c r="O1640" s="22" t="str">
        <f aca="false">IF($B1640="","",G1640*N1640)</f>
        <v/>
      </c>
      <c r="P1640" s="22" t="str">
        <f aca="false">IF($B1640="","",IFERROR(INDEX(고객사!$K$5:$K$104,MATCH($B1640,고객사!$A$5:$A$104,0)),0))</f>
        <v/>
      </c>
      <c r="Q1640" s="22" t="str">
        <f aca="false">IF($B1640="","",G1640*P1640)</f>
        <v/>
      </c>
      <c r="R1640" s="22" t="str">
        <f aca="false">IF($B1640="","",O1640-Q1640-L1640)</f>
        <v/>
      </c>
      <c r="S1640" s="21" t="str">
        <f aca="false">IF(OR($B1640="",N(O1640)=0),"",R1640/O1640)</f>
        <v/>
      </c>
      <c r="T1640" s="14"/>
      <c r="U1640" s="19" t="n">
        <f aca="false">IF(OR($B1640="",$A1640=""),0,IF(COUNTIFS($A$5:$A1640,$A1640,$B$5:$B1640,$B1640)=1,1,0))</f>
        <v>0</v>
      </c>
    </row>
    <row r="1641" customFormat="false" ht="15" hidden="false" customHeight="false" outlineLevel="0" collapsed="false">
      <c r="A1641" s="17"/>
      <c r="B1641" s="13"/>
      <c r="C1641" s="20" t="str">
        <f aca="false">IF($B1641="","",IFERROR(INDEX(고객사!$B$5:$B$104,MATCH($B1641,고객사!$A$5:$A$104,0)),"코드 확인"))</f>
        <v/>
      </c>
      <c r="D1641" s="15"/>
      <c r="E1641" s="15"/>
      <c r="F1641" s="16"/>
      <c r="G1641" s="16"/>
      <c r="H1641" s="21" t="str">
        <f aca="false">IF(OR($B1641="",F1641=0),"",G1641/F1641)</f>
        <v/>
      </c>
      <c r="I1641" s="22" t="str">
        <f aca="false">IF($B1641="","",MAX(F1641-G1641,0))</f>
        <v/>
      </c>
      <c r="J1641" s="23" t="str">
        <f aca="false">IF($B1641="","",IFERROR(INDEX(고객사!$G$5:$G$104,MATCH($B1641,고객사!$A$5:$A$104,0)),""))</f>
        <v/>
      </c>
      <c r="K1641" s="16"/>
      <c r="L1641" s="22" t="str">
        <f aca="false">IF($B1641="","",K1641*IFERROR(INDEX(고객사!$L$5:$L$104,MATCH($B1641,고객사!$A$5:$A$104,0)),0))</f>
        <v/>
      </c>
      <c r="M1641" s="23" t="str">
        <f aca="false">IF($B1641="","",IF(AND(J1641="N",G1641&gt;0,K1641=0,IFERROR(INDEX(고객사!$H$5:$H$104,MATCH($B1641,고객사!$A$5:$A$104,0)),"")="자사 차량 운행"),"차량 미배정",""))</f>
        <v/>
      </c>
      <c r="N1641" s="22" t="str">
        <f aca="false">IF($B1641="","",IFERROR(INDEX(고객사!$J$5:$J$104,MATCH($B1641,고객사!$A$5:$A$104,0)),0))</f>
        <v/>
      </c>
      <c r="O1641" s="22" t="str">
        <f aca="false">IF($B1641="","",G1641*N1641)</f>
        <v/>
      </c>
      <c r="P1641" s="22" t="str">
        <f aca="false">IF($B1641="","",IFERROR(INDEX(고객사!$K$5:$K$104,MATCH($B1641,고객사!$A$5:$A$104,0)),0))</f>
        <v/>
      </c>
      <c r="Q1641" s="22" t="str">
        <f aca="false">IF($B1641="","",G1641*P1641)</f>
        <v/>
      </c>
      <c r="R1641" s="22" t="str">
        <f aca="false">IF($B1641="","",O1641-Q1641-L1641)</f>
        <v/>
      </c>
      <c r="S1641" s="21" t="str">
        <f aca="false">IF(OR($B1641="",N(O1641)=0),"",R1641/O1641)</f>
        <v/>
      </c>
      <c r="T1641" s="14"/>
      <c r="U1641" s="19" t="n">
        <f aca="false">IF(OR($B1641="",$A1641=""),0,IF(COUNTIFS($A$5:$A1641,$A1641,$B$5:$B1641,$B1641)=1,1,0))</f>
        <v>0</v>
      </c>
    </row>
    <row r="1642" customFormat="false" ht="15" hidden="false" customHeight="false" outlineLevel="0" collapsed="false">
      <c r="A1642" s="17"/>
      <c r="B1642" s="13"/>
      <c r="C1642" s="20" t="str">
        <f aca="false">IF($B1642="","",IFERROR(INDEX(고객사!$B$5:$B$104,MATCH($B1642,고객사!$A$5:$A$104,0)),"코드 확인"))</f>
        <v/>
      </c>
      <c r="D1642" s="15"/>
      <c r="E1642" s="15"/>
      <c r="F1642" s="16"/>
      <c r="G1642" s="16"/>
      <c r="H1642" s="21" t="str">
        <f aca="false">IF(OR($B1642="",F1642=0),"",G1642/F1642)</f>
        <v/>
      </c>
      <c r="I1642" s="22" t="str">
        <f aca="false">IF($B1642="","",MAX(F1642-G1642,0))</f>
        <v/>
      </c>
      <c r="J1642" s="23" t="str">
        <f aca="false">IF($B1642="","",IFERROR(INDEX(고객사!$G$5:$G$104,MATCH($B1642,고객사!$A$5:$A$104,0)),""))</f>
        <v/>
      </c>
      <c r="K1642" s="16"/>
      <c r="L1642" s="22" t="str">
        <f aca="false">IF($B1642="","",K1642*IFERROR(INDEX(고객사!$L$5:$L$104,MATCH($B1642,고객사!$A$5:$A$104,0)),0))</f>
        <v/>
      </c>
      <c r="M1642" s="23" t="str">
        <f aca="false">IF($B1642="","",IF(AND(J1642="N",G1642&gt;0,K1642=0,IFERROR(INDEX(고객사!$H$5:$H$104,MATCH($B1642,고객사!$A$5:$A$104,0)),"")="자사 차량 운행"),"차량 미배정",""))</f>
        <v/>
      </c>
      <c r="N1642" s="22" t="str">
        <f aca="false">IF($B1642="","",IFERROR(INDEX(고객사!$J$5:$J$104,MATCH($B1642,고객사!$A$5:$A$104,0)),0))</f>
        <v/>
      </c>
      <c r="O1642" s="22" t="str">
        <f aca="false">IF($B1642="","",G1642*N1642)</f>
        <v/>
      </c>
      <c r="P1642" s="22" t="str">
        <f aca="false">IF($B1642="","",IFERROR(INDEX(고객사!$K$5:$K$104,MATCH($B1642,고객사!$A$5:$A$104,0)),0))</f>
        <v/>
      </c>
      <c r="Q1642" s="22" t="str">
        <f aca="false">IF($B1642="","",G1642*P1642)</f>
        <v/>
      </c>
      <c r="R1642" s="22" t="str">
        <f aca="false">IF($B1642="","",O1642-Q1642-L1642)</f>
        <v/>
      </c>
      <c r="S1642" s="21" t="str">
        <f aca="false">IF(OR($B1642="",N(O1642)=0),"",R1642/O1642)</f>
        <v/>
      </c>
      <c r="T1642" s="14"/>
      <c r="U1642" s="19" t="n">
        <f aca="false">IF(OR($B1642="",$A1642=""),0,IF(COUNTIFS($A$5:$A1642,$A1642,$B$5:$B1642,$B1642)=1,1,0))</f>
        <v>0</v>
      </c>
    </row>
    <row r="1643" customFormat="false" ht="15" hidden="false" customHeight="false" outlineLevel="0" collapsed="false">
      <c r="A1643" s="17"/>
      <c r="B1643" s="13"/>
      <c r="C1643" s="20" t="str">
        <f aca="false">IF($B1643="","",IFERROR(INDEX(고객사!$B$5:$B$104,MATCH($B1643,고객사!$A$5:$A$104,0)),"코드 확인"))</f>
        <v/>
      </c>
      <c r="D1643" s="15"/>
      <c r="E1643" s="15"/>
      <c r="F1643" s="16"/>
      <c r="G1643" s="16"/>
      <c r="H1643" s="21" t="str">
        <f aca="false">IF(OR($B1643="",F1643=0),"",G1643/F1643)</f>
        <v/>
      </c>
      <c r="I1643" s="22" t="str">
        <f aca="false">IF($B1643="","",MAX(F1643-G1643,0))</f>
        <v/>
      </c>
      <c r="J1643" s="23" t="str">
        <f aca="false">IF($B1643="","",IFERROR(INDEX(고객사!$G$5:$G$104,MATCH($B1643,고객사!$A$5:$A$104,0)),""))</f>
        <v/>
      </c>
      <c r="K1643" s="16"/>
      <c r="L1643" s="22" t="str">
        <f aca="false">IF($B1643="","",K1643*IFERROR(INDEX(고객사!$L$5:$L$104,MATCH($B1643,고객사!$A$5:$A$104,0)),0))</f>
        <v/>
      </c>
      <c r="M1643" s="23" t="str">
        <f aca="false">IF($B1643="","",IF(AND(J1643="N",G1643&gt;0,K1643=0,IFERROR(INDEX(고객사!$H$5:$H$104,MATCH($B1643,고객사!$A$5:$A$104,0)),"")="자사 차량 운행"),"차량 미배정",""))</f>
        <v/>
      </c>
      <c r="N1643" s="22" t="str">
        <f aca="false">IF($B1643="","",IFERROR(INDEX(고객사!$J$5:$J$104,MATCH($B1643,고객사!$A$5:$A$104,0)),0))</f>
        <v/>
      </c>
      <c r="O1643" s="22" t="str">
        <f aca="false">IF($B1643="","",G1643*N1643)</f>
        <v/>
      </c>
      <c r="P1643" s="22" t="str">
        <f aca="false">IF($B1643="","",IFERROR(INDEX(고객사!$K$5:$K$104,MATCH($B1643,고객사!$A$5:$A$104,0)),0))</f>
        <v/>
      </c>
      <c r="Q1643" s="22" t="str">
        <f aca="false">IF($B1643="","",G1643*P1643)</f>
        <v/>
      </c>
      <c r="R1643" s="22" t="str">
        <f aca="false">IF($B1643="","",O1643-Q1643-L1643)</f>
        <v/>
      </c>
      <c r="S1643" s="21" t="str">
        <f aca="false">IF(OR($B1643="",N(O1643)=0),"",R1643/O1643)</f>
        <v/>
      </c>
      <c r="T1643" s="14"/>
      <c r="U1643" s="19" t="n">
        <f aca="false">IF(OR($B1643="",$A1643=""),0,IF(COUNTIFS($A$5:$A1643,$A1643,$B$5:$B1643,$B1643)=1,1,0))</f>
        <v>0</v>
      </c>
    </row>
    <row r="1644" customFormat="false" ht="15" hidden="false" customHeight="false" outlineLevel="0" collapsed="false">
      <c r="A1644" s="17"/>
      <c r="B1644" s="13"/>
      <c r="C1644" s="20" t="str">
        <f aca="false">IF($B1644="","",IFERROR(INDEX(고객사!$B$5:$B$104,MATCH($B1644,고객사!$A$5:$A$104,0)),"코드 확인"))</f>
        <v/>
      </c>
      <c r="D1644" s="15"/>
      <c r="E1644" s="15"/>
      <c r="F1644" s="16"/>
      <c r="G1644" s="16"/>
      <c r="H1644" s="21" t="str">
        <f aca="false">IF(OR($B1644="",F1644=0),"",G1644/F1644)</f>
        <v/>
      </c>
      <c r="I1644" s="22" t="str">
        <f aca="false">IF($B1644="","",MAX(F1644-G1644,0))</f>
        <v/>
      </c>
      <c r="J1644" s="23" t="str">
        <f aca="false">IF($B1644="","",IFERROR(INDEX(고객사!$G$5:$G$104,MATCH($B1644,고객사!$A$5:$A$104,0)),""))</f>
        <v/>
      </c>
      <c r="K1644" s="16"/>
      <c r="L1644" s="22" t="str">
        <f aca="false">IF($B1644="","",K1644*IFERROR(INDEX(고객사!$L$5:$L$104,MATCH($B1644,고객사!$A$5:$A$104,0)),0))</f>
        <v/>
      </c>
      <c r="M1644" s="23" t="str">
        <f aca="false">IF($B1644="","",IF(AND(J1644="N",G1644&gt;0,K1644=0,IFERROR(INDEX(고객사!$H$5:$H$104,MATCH($B1644,고객사!$A$5:$A$104,0)),"")="자사 차량 운행"),"차량 미배정",""))</f>
        <v/>
      </c>
      <c r="N1644" s="22" t="str">
        <f aca="false">IF($B1644="","",IFERROR(INDEX(고객사!$J$5:$J$104,MATCH($B1644,고객사!$A$5:$A$104,0)),0))</f>
        <v/>
      </c>
      <c r="O1644" s="22" t="str">
        <f aca="false">IF($B1644="","",G1644*N1644)</f>
        <v/>
      </c>
      <c r="P1644" s="22" t="str">
        <f aca="false">IF($B1644="","",IFERROR(INDEX(고객사!$K$5:$K$104,MATCH($B1644,고객사!$A$5:$A$104,0)),0))</f>
        <v/>
      </c>
      <c r="Q1644" s="22" t="str">
        <f aca="false">IF($B1644="","",G1644*P1644)</f>
        <v/>
      </c>
      <c r="R1644" s="22" t="str">
        <f aca="false">IF($B1644="","",O1644-Q1644-L1644)</f>
        <v/>
      </c>
      <c r="S1644" s="21" t="str">
        <f aca="false">IF(OR($B1644="",N(O1644)=0),"",R1644/O1644)</f>
        <v/>
      </c>
      <c r="T1644" s="14"/>
      <c r="U1644" s="19" t="n">
        <f aca="false">IF(OR($B1644="",$A1644=""),0,IF(COUNTIFS($A$5:$A1644,$A1644,$B$5:$B1644,$B1644)=1,1,0))</f>
        <v>0</v>
      </c>
    </row>
    <row r="1645" customFormat="false" ht="15" hidden="false" customHeight="false" outlineLevel="0" collapsed="false">
      <c r="A1645" s="17"/>
      <c r="B1645" s="13"/>
      <c r="C1645" s="20" t="str">
        <f aca="false">IF($B1645="","",IFERROR(INDEX(고객사!$B$5:$B$104,MATCH($B1645,고객사!$A$5:$A$104,0)),"코드 확인"))</f>
        <v/>
      </c>
      <c r="D1645" s="15"/>
      <c r="E1645" s="15"/>
      <c r="F1645" s="16"/>
      <c r="G1645" s="16"/>
      <c r="H1645" s="21" t="str">
        <f aca="false">IF(OR($B1645="",F1645=0),"",G1645/F1645)</f>
        <v/>
      </c>
      <c r="I1645" s="22" t="str">
        <f aca="false">IF($B1645="","",MAX(F1645-G1645,0))</f>
        <v/>
      </c>
      <c r="J1645" s="23" t="str">
        <f aca="false">IF($B1645="","",IFERROR(INDEX(고객사!$G$5:$G$104,MATCH($B1645,고객사!$A$5:$A$104,0)),""))</f>
        <v/>
      </c>
      <c r="K1645" s="16"/>
      <c r="L1645" s="22" t="str">
        <f aca="false">IF($B1645="","",K1645*IFERROR(INDEX(고객사!$L$5:$L$104,MATCH($B1645,고객사!$A$5:$A$104,0)),0))</f>
        <v/>
      </c>
      <c r="M1645" s="23" t="str">
        <f aca="false">IF($B1645="","",IF(AND(J1645="N",G1645&gt;0,K1645=0,IFERROR(INDEX(고객사!$H$5:$H$104,MATCH($B1645,고객사!$A$5:$A$104,0)),"")="자사 차량 운행"),"차량 미배정",""))</f>
        <v/>
      </c>
      <c r="N1645" s="22" t="str">
        <f aca="false">IF($B1645="","",IFERROR(INDEX(고객사!$J$5:$J$104,MATCH($B1645,고객사!$A$5:$A$104,0)),0))</f>
        <v/>
      </c>
      <c r="O1645" s="22" t="str">
        <f aca="false">IF($B1645="","",G1645*N1645)</f>
        <v/>
      </c>
      <c r="P1645" s="22" t="str">
        <f aca="false">IF($B1645="","",IFERROR(INDEX(고객사!$K$5:$K$104,MATCH($B1645,고객사!$A$5:$A$104,0)),0))</f>
        <v/>
      </c>
      <c r="Q1645" s="22" t="str">
        <f aca="false">IF($B1645="","",G1645*P1645)</f>
        <v/>
      </c>
      <c r="R1645" s="22" t="str">
        <f aca="false">IF($B1645="","",O1645-Q1645-L1645)</f>
        <v/>
      </c>
      <c r="S1645" s="21" t="str">
        <f aca="false">IF(OR($B1645="",N(O1645)=0),"",R1645/O1645)</f>
        <v/>
      </c>
      <c r="T1645" s="14"/>
      <c r="U1645" s="19" t="n">
        <f aca="false">IF(OR($B1645="",$A1645=""),0,IF(COUNTIFS($A$5:$A1645,$A1645,$B$5:$B1645,$B1645)=1,1,0))</f>
        <v>0</v>
      </c>
    </row>
    <row r="1646" customFormat="false" ht="15" hidden="false" customHeight="false" outlineLevel="0" collapsed="false">
      <c r="A1646" s="17"/>
      <c r="B1646" s="13"/>
      <c r="C1646" s="20" t="str">
        <f aca="false">IF($B1646="","",IFERROR(INDEX(고객사!$B$5:$B$104,MATCH($B1646,고객사!$A$5:$A$104,0)),"코드 확인"))</f>
        <v/>
      </c>
      <c r="D1646" s="15"/>
      <c r="E1646" s="15"/>
      <c r="F1646" s="16"/>
      <c r="G1646" s="16"/>
      <c r="H1646" s="21" t="str">
        <f aca="false">IF(OR($B1646="",F1646=0),"",G1646/F1646)</f>
        <v/>
      </c>
      <c r="I1646" s="22" t="str">
        <f aca="false">IF($B1646="","",MAX(F1646-G1646,0))</f>
        <v/>
      </c>
      <c r="J1646" s="23" t="str">
        <f aca="false">IF($B1646="","",IFERROR(INDEX(고객사!$G$5:$G$104,MATCH($B1646,고객사!$A$5:$A$104,0)),""))</f>
        <v/>
      </c>
      <c r="K1646" s="16"/>
      <c r="L1646" s="22" t="str">
        <f aca="false">IF($B1646="","",K1646*IFERROR(INDEX(고객사!$L$5:$L$104,MATCH($B1646,고객사!$A$5:$A$104,0)),0))</f>
        <v/>
      </c>
      <c r="M1646" s="23" t="str">
        <f aca="false">IF($B1646="","",IF(AND(J1646="N",G1646&gt;0,K1646=0,IFERROR(INDEX(고객사!$H$5:$H$104,MATCH($B1646,고객사!$A$5:$A$104,0)),"")="자사 차량 운행"),"차량 미배정",""))</f>
        <v/>
      </c>
      <c r="N1646" s="22" t="str">
        <f aca="false">IF($B1646="","",IFERROR(INDEX(고객사!$J$5:$J$104,MATCH($B1646,고객사!$A$5:$A$104,0)),0))</f>
        <v/>
      </c>
      <c r="O1646" s="22" t="str">
        <f aca="false">IF($B1646="","",G1646*N1646)</f>
        <v/>
      </c>
      <c r="P1646" s="22" t="str">
        <f aca="false">IF($B1646="","",IFERROR(INDEX(고객사!$K$5:$K$104,MATCH($B1646,고객사!$A$5:$A$104,0)),0))</f>
        <v/>
      </c>
      <c r="Q1646" s="22" t="str">
        <f aca="false">IF($B1646="","",G1646*P1646)</f>
        <v/>
      </c>
      <c r="R1646" s="22" t="str">
        <f aca="false">IF($B1646="","",O1646-Q1646-L1646)</f>
        <v/>
      </c>
      <c r="S1646" s="21" t="str">
        <f aca="false">IF(OR($B1646="",N(O1646)=0),"",R1646/O1646)</f>
        <v/>
      </c>
      <c r="T1646" s="14"/>
      <c r="U1646" s="19" t="n">
        <f aca="false">IF(OR($B1646="",$A1646=""),0,IF(COUNTIFS($A$5:$A1646,$A1646,$B$5:$B1646,$B1646)=1,1,0))</f>
        <v>0</v>
      </c>
    </row>
    <row r="1647" customFormat="false" ht="15" hidden="false" customHeight="false" outlineLevel="0" collapsed="false">
      <c r="A1647" s="17"/>
      <c r="B1647" s="13"/>
      <c r="C1647" s="20" t="str">
        <f aca="false">IF($B1647="","",IFERROR(INDEX(고객사!$B$5:$B$104,MATCH($B1647,고객사!$A$5:$A$104,0)),"코드 확인"))</f>
        <v/>
      </c>
      <c r="D1647" s="15"/>
      <c r="E1647" s="15"/>
      <c r="F1647" s="16"/>
      <c r="G1647" s="16"/>
      <c r="H1647" s="21" t="str">
        <f aca="false">IF(OR($B1647="",F1647=0),"",G1647/F1647)</f>
        <v/>
      </c>
      <c r="I1647" s="22" t="str">
        <f aca="false">IF($B1647="","",MAX(F1647-G1647,0))</f>
        <v/>
      </c>
      <c r="J1647" s="23" t="str">
        <f aca="false">IF($B1647="","",IFERROR(INDEX(고객사!$G$5:$G$104,MATCH($B1647,고객사!$A$5:$A$104,0)),""))</f>
        <v/>
      </c>
      <c r="K1647" s="16"/>
      <c r="L1647" s="22" t="str">
        <f aca="false">IF($B1647="","",K1647*IFERROR(INDEX(고객사!$L$5:$L$104,MATCH($B1647,고객사!$A$5:$A$104,0)),0))</f>
        <v/>
      </c>
      <c r="M1647" s="23" t="str">
        <f aca="false">IF($B1647="","",IF(AND(J1647="N",G1647&gt;0,K1647=0,IFERROR(INDEX(고객사!$H$5:$H$104,MATCH($B1647,고객사!$A$5:$A$104,0)),"")="자사 차량 운행"),"차량 미배정",""))</f>
        <v/>
      </c>
      <c r="N1647" s="22" t="str">
        <f aca="false">IF($B1647="","",IFERROR(INDEX(고객사!$J$5:$J$104,MATCH($B1647,고객사!$A$5:$A$104,0)),0))</f>
        <v/>
      </c>
      <c r="O1647" s="22" t="str">
        <f aca="false">IF($B1647="","",G1647*N1647)</f>
        <v/>
      </c>
      <c r="P1647" s="22" t="str">
        <f aca="false">IF($B1647="","",IFERROR(INDEX(고객사!$K$5:$K$104,MATCH($B1647,고객사!$A$5:$A$104,0)),0))</f>
        <v/>
      </c>
      <c r="Q1647" s="22" t="str">
        <f aca="false">IF($B1647="","",G1647*P1647)</f>
        <v/>
      </c>
      <c r="R1647" s="22" t="str">
        <f aca="false">IF($B1647="","",O1647-Q1647-L1647)</f>
        <v/>
      </c>
      <c r="S1647" s="21" t="str">
        <f aca="false">IF(OR($B1647="",N(O1647)=0),"",R1647/O1647)</f>
        <v/>
      </c>
      <c r="T1647" s="14"/>
      <c r="U1647" s="19" t="n">
        <f aca="false">IF(OR($B1647="",$A1647=""),0,IF(COUNTIFS($A$5:$A1647,$A1647,$B$5:$B1647,$B1647)=1,1,0))</f>
        <v>0</v>
      </c>
    </row>
    <row r="1648" customFormat="false" ht="15" hidden="false" customHeight="false" outlineLevel="0" collapsed="false">
      <c r="A1648" s="17"/>
      <c r="B1648" s="13"/>
      <c r="C1648" s="20" t="str">
        <f aca="false">IF($B1648="","",IFERROR(INDEX(고객사!$B$5:$B$104,MATCH($B1648,고객사!$A$5:$A$104,0)),"코드 확인"))</f>
        <v/>
      </c>
      <c r="D1648" s="15"/>
      <c r="E1648" s="15"/>
      <c r="F1648" s="16"/>
      <c r="G1648" s="16"/>
      <c r="H1648" s="21" t="str">
        <f aca="false">IF(OR($B1648="",F1648=0),"",G1648/F1648)</f>
        <v/>
      </c>
      <c r="I1648" s="22" t="str">
        <f aca="false">IF($B1648="","",MAX(F1648-G1648,0))</f>
        <v/>
      </c>
      <c r="J1648" s="23" t="str">
        <f aca="false">IF($B1648="","",IFERROR(INDEX(고객사!$G$5:$G$104,MATCH($B1648,고객사!$A$5:$A$104,0)),""))</f>
        <v/>
      </c>
      <c r="K1648" s="16"/>
      <c r="L1648" s="22" t="str">
        <f aca="false">IF($B1648="","",K1648*IFERROR(INDEX(고객사!$L$5:$L$104,MATCH($B1648,고객사!$A$5:$A$104,0)),0))</f>
        <v/>
      </c>
      <c r="M1648" s="23" t="str">
        <f aca="false">IF($B1648="","",IF(AND(J1648="N",G1648&gt;0,K1648=0,IFERROR(INDEX(고객사!$H$5:$H$104,MATCH($B1648,고객사!$A$5:$A$104,0)),"")="자사 차량 운행"),"차량 미배정",""))</f>
        <v/>
      </c>
      <c r="N1648" s="22" t="str">
        <f aca="false">IF($B1648="","",IFERROR(INDEX(고객사!$J$5:$J$104,MATCH($B1648,고객사!$A$5:$A$104,0)),0))</f>
        <v/>
      </c>
      <c r="O1648" s="22" t="str">
        <f aca="false">IF($B1648="","",G1648*N1648)</f>
        <v/>
      </c>
      <c r="P1648" s="22" t="str">
        <f aca="false">IF($B1648="","",IFERROR(INDEX(고객사!$K$5:$K$104,MATCH($B1648,고객사!$A$5:$A$104,0)),0))</f>
        <v/>
      </c>
      <c r="Q1648" s="22" t="str">
        <f aca="false">IF($B1648="","",G1648*P1648)</f>
        <v/>
      </c>
      <c r="R1648" s="22" t="str">
        <f aca="false">IF($B1648="","",O1648-Q1648-L1648)</f>
        <v/>
      </c>
      <c r="S1648" s="21" t="str">
        <f aca="false">IF(OR($B1648="",N(O1648)=0),"",R1648/O1648)</f>
        <v/>
      </c>
      <c r="T1648" s="14"/>
      <c r="U1648" s="19" t="n">
        <f aca="false">IF(OR($B1648="",$A1648=""),0,IF(COUNTIFS($A$5:$A1648,$A1648,$B$5:$B1648,$B1648)=1,1,0))</f>
        <v>0</v>
      </c>
    </row>
    <row r="1649" customFormat="false" ht="15" hidden="false" customHeight="false" outlineLevel="0" collapsed="false">
      <c r="A1649" s="17"/>
      <c r="B1649" s="13"/>
      <c r="C1649" s="20" t="str">
        <f aca="false">IF($B1649="","",IFERROR(INDEX(고객사!$B$5:$B$104,MATCH($B1649,고객사!$A$5:$A$104,0)),"코드 확인"))</f>
        <v/>
      </c>
      <c r="D1649" s="15"/>
      <c r="E1649" s="15"/>
      <c r="F1649" s="16"/>
      <c r="G1649" s="16"/>
      <c r="H1649" s="21" t="str">
        <f aca="false">IF(OR($B1649="",F1649=0),"",G1649/F1649)</f>
        <v/>
      </c>
      <c r="I1649" s="22" t="str">
        <f aca="false">IF($B1649="","",MAX(F1649-G1649,0))</f>
        <v/>
      </c>
      <c r="J1649" s="23" t="str">
        <f aca="false">IF($B1649="","",IFERROR(INDEX(고객사!$G$5:$G$104,MATCH($B1649,고객사!$A$5:$A$104,0)),""))</f>
        <v/>
      </c>
      <c r="K1649" s="16"/>
      <c r="L1649" s="22" t="str">
        <f aca="false">IF($B1649="","",K1649*IFERROR(INDEX(고객사!$L$5:$L$104,MATCH($B1649,고객사!$A$5:$A$104,0)),0))</f>
        <v/>
      </c>
      <c r="M1649" s="23" t="str">
        <f aca="false">IF($B1649="","",IF(AND(J1649="N",G1649&gt;0,K1649=0,IFERROR(INDEX(고객사!$H$5:$H$104,MATCH($B1649,고객사!$A$5:$A$104,0)),"")="자사 차량 운행"),"차량 미배정",""))</f>
        <v/>
      </c>
      <c r="N1649" s="22" t="str">
        <f aca="false">IF($B1649="","",IFERROR(INDEX(고객사!$J$5:$J$104,MATCH($B1649,고객사!$A$5:$A$104,0)),0))</f>
        <v/>
      </c>
      <c r="O1649" s="22" t="str">
        <f aca="false">IF($B1649="","",G1649*N1649)</f>
        <v/>
      </c>
      <c r="P1649" s="22" t="str">
        <f aca="false">IF($B1649="","",IFERROR(INDEX(고객사!$K$5:$K$104,MATCH($B1649,고객사!$A$5:$A$104,0)),0))</f>
        <v/>
      </c>
      <c r="Q1649" s="22" t="str">
        <f aca="false">IF($B1649="","",G1649*P1649)</f>
        <v/>
      </c>
      <c r="R1649" s="22" t="str">
        <f aca="false">IF($B1649="","",O1649-Q1649-L1649)</f>
        <v/>
      </c>
      <c r="S1649" s="21" t="str">
        <f aca="false">IF(OR($B1649="",N(O1649)=0),"",R1649/O1649)</f>
        <v/>
      </c>
      <c r="T1649" s="14"/>
      <c r="U1649" s="19" t="n">
        <f aca="false">IF(OR($B1649="",$A1649=""),0,IF(COUNTIFS($A$5:$A1649,$A1649,$B$5:$B1649,$B1649)=1,1,0))</f>
        <v>0</v>
      </c>
    </row>
    <row r="1650" customFormat="false" ht="15" hidden="false" customHeight="false" outlineLevel="0" collapsed="false">
      <c r="A1650" s="17"/>
      <c r="B1650" s="13"/>
      <c r="C1650" s="20" t="str">
        <f aca="false">IF($B1650="","",IFERROR(INDEX(고객사!$B$5:$B$104,MATCH($B1650,고객사!$A$5:$A$104,0)),"코드 확인"))</f>
        <v/>
      </c>
      <c r="D1650" s="15"/>
      <c r="E1650" s="15"/>
      <c r="F1650" s="16"/>
      <c r="G1650" s="16"/>
      <c r="H1650" s="21" t="str">
        <f aca="false">IF(OR($B1650="",F1650=0),"",G1650/F1650)</f>
        <v/>
      </c>
      <c r="I1650" s="22" t="str">
        <f aca="false">IF($B1650="","",MAX(F1650-G1650,0))</f>
        <v/>
      </c>
      <c r="J1650" s="23" t="str">
        <f aca="false">IF($B1650="","",IFERROR(INDEX(고객사!$G$5:$G$104,MATCH($B1650,고객사!$A$5:$A$104,0)),""))</f>
        <v/>
      </c>
      <c r="K1650" s="16"/>
      <c r="L1650" s="22" t="str">
        <f aca="false">IF($B1650="","",K1650*IFERROR(INDEX(고객사!$L$5:$L$104,MATCH($B1650,고객사!$A$5:$A$104,0)),0))</f>
        <v/>
      </c>
      <c r="M1650" s="23" t="str">
        <f aca="false">IF($B1650="","",IF(AND(J1650="N",G1650&gt;0,K1650=0,IFERROR(INDEX(고객사!$H$5:$H$104,MATCH($B1650,고객사!$A$5:$A$104,0)),"")="자사 차량 운행"),"차량 미배정",""))</f>
        <v/>
      </c>
      <c r="N1650" s="22" t="str">
        <f aca="false">IF($B1650="","",IFERROR(INDEX(고객사!$J$5:$J$104,MATCH($B1650,고객사!$A$5:$A$104,0)),0))</f>
        <v/>
      </c>
      <c r="O1650" s="22" t="str">
        <f aca="false">IF($B1650="","",G1650*N1650)</f>
        <v/>
      </c>
      <c r="P1650" s="22" t="str">
        <f aca="false">IF($B1650="","",IFERROR(INDEX(고객사!$K$5:$K$104,MATCH($B1650,고객사!$A$5:$A$104,0)),0))</f>
        <v/>
      </c>
      <c r="Q1650" s="22" t="str">
        <f aca="false">IF($B1650="","",G1650*P1650)</f>
        <v/>
      </c>
      <c r="R1650" s="22" t="str">
        <f aca="false">IF($B1650="","",O1650-Q1650-L1650)</f>
        <v/>
      </c>
      <c r="S1650" s="21" t="str">
        <f aca="false">IF(OR($B1650="",N(O1650)=0),"",R1650/O1650)</f>
        <v/>
      </c>
      <c r="T1650" s="14"/>
      <c r="U1650" s="19" t="n">
        <f aca="false">IF(OR($B1650="",$A1650=""),0,IF(COUNTIFS($A$5:$A1650,$A1650,$B$5:$B1650,$B1650)=1,1,0))</f>
        <v>0</v>
      </c>
    </row>
    <row r="1651" customFormat="false" ht="15" hidden="false" customHeight="false" outlineLevel="0" collapsed="false">
      <c r="A1651" s="17"/>
      <c r="B1651" s="13"/>
      <c r="C1651" s="20" t="str">
        <f aca="false">IF($B1651="","",IFERROR(INDEX(고객사!$B$5:$B$104,MATCH($B1651,고객사!$A$5:$A$104,0)),"코드 확인"))</f>
        <v/>
      </c>
      <c r="D1651" s="15"/>
      <c r="E1651" s="15"/>
      <c r="F1651" s="16"/>
      <c r="G1651" s="16"/>
      <c r="H1651" s="21" t="str">
        <f aca="false">IF(OR($B1651="",F1651=0),"",G1651/F1651)</f>
        <v/>
      </c>
      <c r="I1651" s="22" t="str">
        <f aca="false">IF($B1651="","",MAX(F1651-G1651,0))</f>
        <v/>
      </c>
      <c r="J1651" s="23" t="str">
        <f aca="false">IF($B1651="","",IFERROR(INDEX(고객사!$G$5:$G$104,MATCH($B1651,고객사!$A$5:$A$104,0)),""))</f>
        <v/>
      </c>
      <c r="K1651" s="16"/>
      <c r="L1651" s="22" t="str">
        <f aca="false">IF($B1651="","",K1651*IFERROR(INDEX(고객사!$L$5:$L$104,MATCH($B1651,고객사!$A$5:$A$104,0)),0))</f>
        <v/>
      </c>
      <c r="M1651" s="23" t="str">
        <f aca="false">IF($B1651="","",IF(AND(J1651="N",G1651&gt;0,K1651=0,IFERROR(INDEX(고객사!$H$5:$H$104,MATCH($B1651,고객사!$A$5:$A$104,0)),"")="자사 차량 운행"),"차량 미배정",""))</f>
        <v/>
      </c>
      <c r="N1651" s="22" t="str">
        <f aca="false">IF($B1651="","",IFERROR(INDEX(고객사!$J$5:$J$104,MATCH($B1651,고객사!$A$5:$A$104,0)),0))</f>
        <v/>
      </c>
      <c r="O1651" s="22" t="str">
        <f aca="false">IF($B1651="","",G1651*N1651)</f>
        <v/>
      </c>
      <c r="P1651" s="22" t="str">
        <f aca="false">IF($B1651="","",IFERROR(INDEX(고객사!$K$5:$K$104,MATCH($B1651,고객사!$A$5:$A$104,0)),0))</f>
        <v/>
      </c>
      <c r="Q1651" s="22" t="str">
        <f aca="false">IF($B1651="","",G1651*P1651)</f>
        <v/>
      </c>
      <c r="R1651" s="22" t="str">
        <f aca="false">IF($B1651="","",O1651-Q1651-L1651)</f>
        <v/>
      </c>
      <c r="S1651" s="21" t="str">
        <f aca="false">IF(OR($B1651="",N(O1651)=0),"",R1651/O1651)</f>
        <v/>
      </c>
      <c r="T1651" s="14"/>
      <c r="U1651" s="19" t="n">
        <f aca="false">IF(OR($B1651="",$A1651=""),0,IF(COUNTIFS($A$5:$A1651,$A1651,$B$5:$B1651,$B1651)=1,1,0))</f>
        <v>0</v>
      </c>
    </row>
    <row r="1652" customFormat="false" ht="15" hidden="false" customHeight="false" outlineLevel="0" collapsed="false">
      <c r="A1652" s="17"/>
      <c r="B1652" s="13"/>
      <c r="C1652" s="20" t="str">
        <f aca="false">IF($B1652="","",IFERROR(INDEX(고객사!$B$5:$B$104,MATCH($B1652,고객사!$A$5:$A$104,0)),"코드 확인"))</f>
        <v/>
      </c>
      <c r="D1652" s="15"/>
      <c r="E1652" s="15"/>
      <c r="F1652" s="16"/>
      <c r="G1652" s="16"/>
      <c r="H1652" s="21" t="str">
        <f aca="false">IF(OR($B1652="",F1652=0),"",G1652/F1652)</f>
        <v/>
      </c>
      <c r="I1652" s="22" t="str">
        <f aca="false">IF($B1652="","",MAX(F1652-G1652,0))</f>
        <v/>
      </c>
      <c r="J1652" s="23" t="str">
        <f aca="false">IF($B1652="","",IFERROR(INDEX(고객사!$G$5:$G$104,MATCH($B1652,고객사!$A$5:$A$104,0)),""))</f>
        <v/>
      </c>
      <c r="K1652" s="16"/>
      <c r="L1652" s="22" t="str">
        <f aca="false">IF($B1652="","",K1652*IFERROR(INDEX(고객사!$L$5:$L$104,MATCH($B1652,고객사!$A$5:$A$104,0)),0))</f>
        <v/>
      </c>
      <c r="M1652" s="23" t="str">
        <f aca="false">IF($B1652="","",IF(AND(J1652="N",G1652&gt;0,K1652=0,IFERROR(INDEX(고객사!$H$5:$H$104,MATCH($B1652,고객사!$A$5:$A$104,0)),"")="자사 차량 운행"),"차량 미배정",""))</f>
        <v/>
      </c>
      <c r="N1652" s="22" t="str">
        <f aca="false">IF($B1652="","",IFERROR(INDEX(고객사!$J$5:$J$104,MATCH($B1652,고객사!$A$5:$A$104,0)),0))</f>
        <v/>
      </c>
      <c r="O1652" s="22" t="str">
        <f aca="false">IF($B1652="","",G1652*N1652)</f>
        <v/>
      </c>
      <c r="P1652" s="22" t="str">
        <f aca="false">IF($B1652="","",IFERROR(INDEX(고객사!$K$5:$K$104,MATCH($B1652,고객사!$A$5:$A$104,0)),0))</f>
        <v/>
      </c>
      <c r="Q1652" s="22" t="str">
        <f aca="false">IF($B1652="","",G1652*P1652)</f>
        <v/>
      </c>
      <c r="R1652" s="22" t="str">
        <f aca="false">IF($B1652="","",O1652-Q1652-L1652)</f>
        <v/>
      </c>
      <c r="S1652" s="21" t="str">
        <f aca="false">IF(OR($B1652="",N(O1652)=0),"",R1652/O1652)</f>
        <v/>
      </c>
      <c r="T1652" s="14"/>
      <c r="U1652" s="19" t="n">
        <f aca="false">IF(OR($B1652="",$A1652=""),0,IF(COUNTIFS($A$5:$A1652,$A1652,$B$5:$B1652,$B1652)=1,1,0))</f>
        <v>0</v>
      </c>
    </row>
    <row r="1653" customFormat="false" ht="15" hidden="false" customHeight="false" outlineLevel="0" collapsed="false">
      <c r="A1653" s="17"/>
      <c r="B1653" s="13"/>
      <c r="C1653" s="20" t="str">
        <f aca="false">IF($B1653="","",IFERROR(INDEX(고객사!$B$5:$B$104,MATCH($B1653,고객사!$A$5:$A$104,0)),"코드 확인"))</f>
        <v/>
      </c>
      <c r="D1653" s="15"/>
      <c r="E1653" s="15"/>
      <c r="F1653" s="16"/>
      <c r="G1653" s="16"/>
      <c r="H1653" s="21" t="str">
        <f aca="false">IF(OR($B1653="",F1653=0),"",G1653/F1653)</f>
        <v/>
      </c>
      <c r="I1653" s="22" t="str">
        <f aca="false">IF($B1653="","",MAX(F1653-G1653,0))</f>
        <v/>
      </c>
      <c r="J1653" s="23" t="str">
        <f aca="false">IF($B1653="","",IFERROR(INDEX(고객사!$G$5:$G$104,MATCH($B1653,고객사!$A$5:$A$104,0)),""))</f>
        <v/>
      </c>
      <c r="K1653" s="16"/>
      <c r="L1653" s="22" t="str">
        <f aca="false">IF($B1653="","",K1653*IFERROR(INDEX(고객사!$L$5:$L$104,MATCH($B1653,고객사!$A$5:$A$104,0)),0))</f>
        <v/>
      </c>
      <c r="M1653" s="23" t="str">
        <f aca="false">IF($B1653="","",IF(AND(J1653="N",G1653&gt;0,K1653=0,IFERROR(INDEX(고객사!$H$5:$H$104,MATCH($B1653,고객사!$A$5:$A$104,0)),"")="자사 차량 운행"),"차량 미배정",""))</f>
        <v/>
      </c>
      <c r="N1653" s="22" t="str">
        <f aca="false">IF($B1653="","",IFERROR(INDEX(고객사!$J$5:$J$104,MATCH($B1653,고객사!$A$5:$A$104,0)),0))</f>
        <v/>
      </c>
      <c r="O1653" s="22" t="str">
        <f aca="false">IF($B1653="","",G1653*N1653)</f>
        <v/>
      </c>
      <c r="P1653" s="22" t="str">
        <f aca="false">IF($B1653="","",IFERROR(INDEX(고객사!$K$5:$K$104,MATCH($B1653,고객사!$A$5:$A$104,0)),0))</f>
        <v/>
      </c>
      <c r="Q1653" s="22" t="str">
        <f aca="false">IF($B1653="","",G1653*P1653)</f>
        <v/>
      </c>
      <c r="R1653" s="22" t="str">
        <f aca="false">IF($B1653="","",O1653-Q1653-L1653)</f>
        <v/>
      </c>
      <c r="S1653" s="21" t="str">
        <f aca="false">IF(OR($B1653="",N(O1653)=0),"",R1653/O1653)</f>
        <v/>
      </c>
      <c r="T1653" s="14"/>
      <c r="U1653" s="19" t="n">
        <f aca="false">IF(OR($B1653="",$A1653=""),0,IF(COUNTIFS($A$5:$A1653,$A1653,$B$5:$B1653,$B1653)=1,1,0))</f>
        <v>0</v>
      </c>
    </row>
    <row r="1654" customFormat="false" ht="15" hidden="false" customHeight="false" outlineLevel="0" collapsed="false">
      <c r="A1654" s="17"/>
      <c r="B1654" s="13"/>
      <c r="C1654" s="20" t="str">
        <f aca="false">IF($B1654="","",IFERROR(INDEX(고객사!$B$5:$B$104,MATCH($B1654,고객사!$A$5:$A$104,0)),"코드 확인"))</f>
        <v/>
      </c>
      <c r="D1654" s="15"/>
      <c r="E1654" s="15"/>
      <c r="F1654" s="16"/>
      <c r="G1654" s="16"/>
      <c r="H1654" s="21" t="str">
        <f aca="false">IF(OR($B1654="",F1654=0),"",G1654/F1654)</f>
        <v/>
      </c>
      <c r="I1654" s="22" t="str">
        <f aca="false">IF($B1654="","",MAX(F1654-G1654,0))</f>
        <v/>
      </c>
      <c r="J1654" s="23" t="str">
        <f aca="false">IF($B1654="","",IFERROR(INDEX(고객사!$G$5:$G$104,MATCH($B1654,고객사!$A$5:$A$104,0)),""))</f>
        <v/>
      </c>
      <c r="K1654" s="16"/>
      <c r="L1654" s="22" t="str">
        <f aca="false">IF($B1654="","",K1654*IFERROR(INDEX(고객사!$L$5:$L$104,MATCH($B1654,고객사!$A$5:$A$104,0)),0))</f>
        <v/>
      </c>
      <c r="M1654" s="23" t="str">
        <f aca="false">IF($B1654="","",IF(AND(J1654="N",G1654&gt;0,K1654=0,IFERROR(INDEX(고객사!$H$5:$H$104,MATCH($B1654,고객사!$A$5:$A$104,0)),"")="자사 차량 운행"),"차량 미배정",""))</f>
        <v/>
      </c>
      <c r="N1654" s="22" t="str">
        <f aca="false">IF($B1654="","",IFERROR(INDEX(고객사!$J$5:$J$104,MATCH($B1654,고객사!$A$5:$A$104,0)),0))</f>
        <v/>
      </c>
      <c r="O1654" s="22" t="str">
        <f aca="false">IF($B1654="","",G1654*N1654)</f>
        <v/>
      </c>
      <c r="P1654" s="22" t="str">
        <f aca="false">IF($B1654="","",IFERROR(INDEX(고객사!$K$5:$K$104,MATCH($B1654,고객사!$A$5:$A$104,0)),0))</f>
        <v/>
      </c>
      <c r="Q1654" s="22" t="str">
        <f aca="false">IF($B1654="","",G1654*P1654)</f>
        <v/>
      </c>
      <c r="R1654" s="22" t="str">
        <f aca="false">IF($B1654="","",O1654-Q1654-L1654)</f>
        <v/>
      </c>
      <c r="S1654" s="21" t="str">
        <f aca="false">IF(OR($B1654="",N(O1654)=0),"",R1654/O1654)</f>
        <v/>
      </c>
      <c r="T1654" s="14"/>
      <c r="U1654" s="19" t="n">
        <f aca="false">IF(OR($B1654="",$A1654=""),0,IF(COUNTIFS($A$5:$A1654,$A1654,$B$5:$B1654,$B1654)=1,1,0))</f>
        <v>0</v>
      </c>
    </row>
    <row r="1655" customFormat="false" ht="15" hidden="false" customHeight="false" outlineLevel="0" collapsed="false">
      <c r="A1655" s="17"/>
      <c r="B1655" s="13"/>
      <c r="C1655" s="20" t="str">
        <f aca="false">IF($B1655="","",IFERROR(INDEX(고객사!$B$5:$B$104,MATCH($B1655,고객사!$A$5:$A$104,0)),"코드 확인"))</f>
        <v/>
      </c>
      <c r="D1655" s="15"/>
      <c r="E1655" s="15"/>
      <c r="F1655" s="16"/>
      <c r="G1655" s="16"/>
      <c r="H1655" s="21" t="str">
        <f aca="false">IF(OR($B1655="",F1655=0),"",G1655/F1655)</f>
        <v/>
      </c>
      <c r="I1655" s="22" t="str">
        <f aca="false">IF($B1655="","",MAX(F1655-G1655,0))</f>
        <v/>
      </c>
      <c r="J1655" s="23" t="str">
        <f aca="false">IF($B1655="","",IFERROR(INDEX(고객사!$G$5:$G$104,MATCH($B1655,고객사!$A$5:$A$104,0)),""))</f>
        <v/>
      </c>
      <c r="K1655" s="16"/>
      <c r="L1655" s="22" t="str">
        <f aca="false">IF($B1655="","",K1655*IFERROR(INDEX(고객사!$L$5:$L$104,MATCH($B1655,고객사!$A$5:$A$104,0)),0))</f>
        <v/>
      </c>
      <c r="M1655" s="23" t="str">
        <f aca="false">IF($B1655="","",IF(AND(J1655="N",G1655&gt;0,K1655=0,IFERROR(INDEX(고객사!$H$5:$H$104,MATCH($B1655,고객사!$A$5:$A$104,0)),"")="자사 차량 운행"),"차량 미배정",""))</f>
        <v/>
      </c>
      <c r="N1655" s="22" t="str">
        <f aca="false">IF($B1655="","",IFERROR(INDEX(고객사!$J$5:$J$104,MATCH($B1655,고객사!$A$5:$A$104,0)),0))</f>
        <v/>
      </c>
      <c r="O1655" s="22" t="str">
        <f aca="false">IF($B1655="","",G1655*N1655)</f>
        <v/>
      </c>
      <c r="P1655" s="22" t="str">
        <f aca="false">IF($B1655="","",IFERROR(INDEX(고객사!$K$5:$K$104,MATCH($B1655,고객사!$A$5:$A$104,0)),0))</f>
        <v/>
      </c>
      <c r="Q1655" s="22" t="str">
        <f aca="false">IF($B1655="","",G1655*P1655)</f>
        <v/>
      </c>
      <c r="R1655" s="22" t="str">
        <f aca="false">IF($B1655="","",O1655-Q1655-L1655)</f>
        <v/>
      </c>
      <c r="S1655" s="21" t="str">
        <f aca="false">IF(OR($B1655="",N(O1655)=0),"",R1655/O1655)</f>
        <v/>
      </c>
      <c r="T1655" s="14"/>
      <c r="U1655" s="19" t="n">
        <f aca="false">IF(OR($B1655="",$A1655=""),0,IF(COUNTIFS($A$5:$A1655,$A1655,$B$5:$B1655,$B1655)=1,1,0))</f>
        <v>0</v>
      </c>
    </row>
    <row r="1656" customFormat="false" ht="15" hidden="false" customHeight="false" outlineLevel="0" collapsed="false">
      <c r="A1656" s="17"/>
      <c r="B1656" s="13"/>
      <c r="C1656" s="20" t="str">
        <f aca="false">IF($B1656="","",IFERROR(INDEX(고객사!$B$5:$B$104,MATCH($B1656,고객사!$A$5:$A$104,0)),"코드 확인"))</f>
        <v/>
      </c>
      <c r="D1656" s="15"/>
      <c r="E1656" s="15"/>
      <c r="F1656" s="16"/>
      <c r="G1656" s="16"/>
      <c r="H1656" s="21" t="str">
        <f aca="false">IF(OR($B1656="",F1656=0),"",G1656/F1656)</f>
        <v/>
      </c>
      <c r="I1656" s="22" t="str">
        <f aca="false">IF($B1656="","",MAX(F1656-G1656,0))</f>
        <v/>
      </c>
      <c r="J1656" s="23" t="str">
        <f aca="false">IF($B1656="","",IFERROR(INDEX(고객사!$G$5:$G$104,MATCH($B1656,고객사!$A$5:$A$104,0)),""))</f>
        <v/>
      </c>
      <c r="K1656" s="16"/>
      <c r="L1656" s="22" t="str">
        <f aca="false">IF($B1656="","",K1656*IFERROR(INDEX(고객사!$L$5:$L$104,MATCH($B1656,고객사!$A$5:$A$104,0)),0))</f>
        <v/>
      </c>
      <c r="M1656" s="23" t="str">
        <f aca="false">IF($B1656="","",IF(AND(J1656="N",G1656&gt;0,K1656=0,IFERROR(INDEX(고객사!$H$5:$H$104,MATCH($B1656,고객사!$A$5:$A$104,0)),"")="자사 차량 운행"),"차량 미배정",""))</f>
        <v/>
      </c>
      <c r="N1656" s="22" t="str">
        <f aca="false">IF($B1656="","",IFERROR(INDEX(고객사!$J$5:$J$104,MATCH($B1656,고객사!$A$5:$A$104,0)),0))</f>
        <v/>
      </c>
      <c r="O1656" s="22" t="str">
        <f aca="false">IF($B1656="","",G1656*N1656)</f>
        <v/>
      </c>
      <c r="P1656" s="22" t="str">
        <f aca="false">IF($B1656="","",IFERROR(INDEX(고객사!$K$5:$K$104,MATCH($B1656,고객사!$A$5:$A$104,0)),0))</f>
        <v/>
      </c>
      <c r="Q1656" s="22" t="str">
        <f aca="false">IF($B1656="","",G1656*P1656)</f>
        <v/>
      </c>
      <c r="R1656" s="22" t="str">
        <f aca="false">IF($B1656="","",O1656-Q1656-L1656)</f>
        <v/>
      </c>
      <c r="S1656" s="21" t="str">
        <f aca="false">IF(OR($B1656="",N(O1656)=0),"",R1656/O1656)</f>
        <v/>
      </c>
      <c r="T1656" s="14"/>
      <c r="U1656" s="19" t="n">
        <f aca="false">IF(OR($B1656="",$A1656=""),0,IF(COUNTIFS($A$5:$A1656,$A1656,$B$5:$B1656,$B1656)=1,1,0))</f>
        <v>0</v>
      </c>
    </row>
    <row r="1657" customFormat="false" ht="15" hidden="false" customHeight="false" outlineLevel="0" collapsed="false">
      <c r="A1657" s="17"/>
      <c r="B1657" s="13"/>
      <c r="C1657" s="20" t="str">
        <f aca="false">IF($B1657="","",IFERROR(INDEX(고객사!$B$5:$B$104,MATCH($B1657,고객사!$A$5:$A$104,0)),"코드 확인"))</f>
        <v/>
      </c>
      <c r="D1657" s="15"/>
      <c r="E1657" s="15"/>
      <c r="F1657" s="16"/>
      <c r="G1657" s="16"/>
      <c r="H1657" s="21" t="str">
        <f aca="false">IF(OR($B1657="",F1657=0),"",G1657/F1657)</f>
        <v/>
      </c>
      <c r="I1657" s="22" t="str">
        <f aca="false">IF($B1657="","",MAX(F1657-G1657,0))</f>
        <v/>
      </c>
      <c r="J1657" s="23" t="str">
        <f aca="false">IF($B1657="","",IFERROR(INDEX(고객사!$G$5:$G$104,MATCH($B1657,고객사!$A$5:$A$104,0)),""))</f>
        <v/>
      </c>
      <c r="K1657" s="16"/>
      <c r="L1657" s="22" t="str">
        <f aca="false">IF($B1657="","",K1657*IFERROR(INDEX(고객사!$L$5:$L$104,MATCH($B1657,고객사!$A$5:$A$104,0)),0))</f>
        <v/>
      </c>
      <c r="M1657" s="23" t="str">
        <f aca="false">IF($B1657="","",IF(AND(J1657="N",G1657&gt;0,K1657=0,IFERROR(INDEX(고객사!$H$5:$H$104,MATCH($B1657,고객사!$A$5:$A$104,0)),"")="자사 차량 운행"),"차량 미배정",""))</f>
        <v/>
      </c>
      <c r="N1657" s="22" t="str">
        <f aca="false">IF($B1657="","",IFERROR(INDEX(고객사!$J$5:$J$104,MATCH($B1657,고객사!$A$5:$A$104,0)),0))</f>
        <v/>
      </c>
      <c r="O1657" s="22" t="str">
        <f aca="false">IF($B1657="","",G1657*N1657)</f>
        <v/>
      </c>
      <c r="P1657" s="22" t="str">
        <f aca="false">IF($B1657="","",IFERROR(INDEX(고객사!$K$5:$K$104,MATCH($B1657,고객사!$A$5:$A$104,0)),0))</f>
        <v/>
      </c>
      <c r="Q1657" s="22" t="str">
        <f aca="false">IF($B1657="","",G1657*P1657)</f>
        <v/>
      </c>
      <c r="R1657" s="22" t="str">
        <f aca="false">IF($B1657="","",O1657-Q1657-L1657)</f>
        <v/>
      </c>
      <c r="S1657" s="21" t="str">
        <f aca="false">IF(OR($B1657="",N(O1657)=0),"",R1657/O1657)</f>
        <v/>
      </c>
      <c r="T1657" s="14"/>
      <c r="U1657" s="19" t="n">
        <f aca="false">IF(OR($B1657="",$A1657=""),0,IF(COUNTIFS($A$5:$A1657,$A1657,$B$5:$B1657,$B1657)=1,1,0))</f>
        <v>0</v>
      </c>
    </row>
    <row r="1658" customFormat="false" ht="15" hidden="false" customHeight="false" outlineLevel="0" collapsed="false">
      <c r="A1658" s="17"/>
      <c r="B1658" s="13"/>
      <c r="C1658" s="20" t="str">
        <f aca="false">IF($B1658="","",IFERROR(INDEX(고객사!$B$5:$B$104,MATCH($B1658,고객사!$A$5:$A$104,0)),"코드 확인"))</f>
        <v/>
      </c>
      <c r="D1658" s="15"/>
      <c r="E1658" s="15"/>
      <c r="F1658" s="16"/>
      <c r="G1658" s="16"/>
      <c r="H1658" s="21" t="str">
        <f aca="false">IF(OR($B1658="",F1658=0),"",G1658/F1658)</f>
        <v/>
      </c>
      <c r="I1658" s="22" t="str">
        <f aca="false">IF($B1658="","",MAX(F1658-G1658,0))</f>
        <v/>
      </c>
      <c r="J1658" s="23" t="str">
        <f aca="false">IF($B1658="","",IFERROR(INDEX(고객사!$G$5:$G$104,MATCH($B1658,고객사!$A$5:$A$104,0)),""))</f>
        <v/>
      </c>
      <c r="K1658" s="16"/>
      <c r="L1658" s="22" t="str">
        <f aca="false">IF($B1658="","",K1658*IFERROR(INDEX(고객사!$L$5:$L$104,MATCH($B1658,고객사!$A$5:$A$104,0)),0))</f>
        <v/>
      </c>
      <c r="M1658" s="23" t="str">
        <f aca="false">IF($B1658="","",IF(AND(J1658="N",G1658&gt;0,K1658=0,IFERROR(INDEX(고객사!$H$5:$H$104,MATCH($B1658,고객사!$A$5:$A$104,0)),"")="자사 차량 운행"),"차량 미배정",""))</f>
        <v/>
      </c>
      <c r="N1658" s="22" t="str">
        <f aca="false">IF($B1658="","",IFERROR(INDEX(고객사!$J$5:$J$104,MATCH($B1658,고객사!$A$5:$A$104,0)),0))</f>
        <v/>
      </c>
      <c r="O1658" s="22" t="str">
        <f aca="false">IF($B1658="","",G1658*N1658)</f>
        <v/>
      </c>
      <c r="P1658" s="22" t="str">
        <f aca="false">IF($B1658="","",IFERROR(INDEX(고객사!$K$5:$K$104,MATCH($B1658,고객사!$A$5:$A$104,0)),0))</f>
        <v/>
      </c>
      <c r="Q1658" s="22" t="str">
        <f aca="false">IF($B1658="","",G1658*P1658)</f>
        <v/>
      </c>
      <c r="R1658" s="22" t="str">
        <f aca="false">IF($B1658="","",O1658-Q1658-L1658)</f>
        <v/>
      </c>
      <c r="S1658" s="21" t="str">
        <f aca="false">IF(OR($B1658="",N(O1658)=0),"",R1658/O1658)</f>
        <v/>
      </c>
      <c r="T1658" s="14"/>
      <c r="U1658" s="19" t="n">
        <f aca="false">IF(OR($B1658="",$A1658=""),0,IF(COUNTIFS($A$5:$A1658,$A1658,$B$5:$B1658,$B1658)=1,1,0))</f>
        <v>0</v>
      </c>
    </row>
    <row r="1659" customFormat="false" ht="15" hidden="false" customHeight="false" outlineLevel="0" collapsed="false">
      <c r="A1659" s="17"/>
      <c r="B1659" s="13"/>
      <c r="C1659" s="20" t="str">
        <f aca="false">IF($B1659="","",IFERROR(INDEX(고객사!$B$5:$B$104,MATCH($B1659,고객사!$A$5:$A$104,0)),"코드 확인"))</f>
        <v/>
      </c>
      <c r="D1659" s="15"/>
      <c r="E1659" s="15"/>
      <c r="F1659" s="16"/>
      <c r="G1659" s="16"/>
      <c r="H1659" s="21" t="str">
        <f aca="false">IF(OR($B1659="",F1659=0),"",G1659/F1659)</f>
        <v/>
      </c>
      <c r="I1659" s="22" t="str">
        <f aca="false">IF($B1659="","",MAX(F1659-G1659,0))</f>
        <v/>
      </c>
      <c r="J1659" s="23" t="str">
        <f aca="false">IF($B1659="","",IFERROR(INDEX(고객사!$G$5:$G$104,MATCH($B1659,고객사!$A$5:$A$104,0)),""))</f>
        <v/>
      </c>
      <c r="K1659" s="16"/>
      <c r="L1659" s="22" t="str">
        <f aca="false">IF($B1659="","",K1659*IFERROR(INDEX(고객사!$L$5:$L$104,MATCH($B1659,고객사!$A$5:$A$104,0)),0))</f>
        <v/>
      </c>
      <c r="M1659" s="23" t="str">
        <f aca="false">IF($B1659="","",IF(AND(J1659="N",G1659&gt;0,K1659=0,IFERROR(INDEX(고객사!$H$5:$H$104,MATCH($B1659,고객사!$A$5:$A$104,0)),"")="자사 차량 운행"),"차량 미배정",""))</f>
        <v/>
      </c>
      <c r="N1659" s="22" t="str">
        <f aca="false">IF($B1659="","",IFERROR(INDEX(고객사!$J$5:$J$104,MATCH($B1659,고객사!$A$5:$A$104,0)),0))</f>
        <v/>
      </c>
      <c r="O1659" s="22" t="str">
        <f aca="false">IF($B1659="","",G1659*N1659)</f>
        <v/>
      </c>
      <c r="P1659" s="22" t="str">
        <f aca="false">IF($B1659="","",IFERROR(INDEX(고객사!$K$5:$K$104,MATCH($B1659,고객사!$A$5:$A$104,0)),0))</f>
        <v/>
      </c>
      <c r="Q1659" s="22" t="str">
        <f aca="false">IF($B1659="","",G1659*P1659)</f>
        <v/>
      </c>
      <c r="R1659" s="22" t="str">
        <f aca="false">IF($B1659="","",O1659-Q1659-L1659)</f>
        <v/>
      </c>
      <c r="S1659" s="21" t="str">
        <f aca="false">IF(OR($B1659="",N(O1659)=0),"",R1659/O1659)</f>
        <v/>
      </c>
      <c r="T1659" s="14"/>
      <c r="U1659" s="19" t="n">
        <f aca="false">IF(OR($B1659="",$A1659=""),0,IF(COUNTIFS($A$5:$A1659,$A1659,$B$5:$B1659,$B1659)=1,1,0))</f>
        <v>0</v>
      </c>
    </row>
    <row r="1660" customFormat="false" ht="15" hidden="false" customHeight="false" outlineLevel="0" collapsed="false">
      <c r="A1660" s="17"/>
      <c r="B1660" s="13"/>
      <c r="C1660" s="20" t="str">
        <f aca="false">IF($B1660="","",IFERROR(INDEX(고객사!$B$5:$B$104,MATCH($B1660,고객사!$A$5:$A$104,0)),"코드 확인"))</f>
        <v/>
      </c>
      <c r="D1660" s="15"/>
      <c r="E1660" s="15"/>
      <c r="F1660" s="16"/>
      <c r="G1660" s="16"/>
      <c r="H1660" s="21" t="str">
        <f aca="false">IF(OR($B1660="",F1660=0),"",G1660/F1660)</f>
        <v/>
      </c>
      <c r="I1660" s="22" t="str">
        <f aca="false">IF($B1660="","",MAX(F1660-G1660,0))</f>
        <v/>
      </c>
      <c r="J1660" s="23" t="str">
        <f aca="false">IF($B1660="","",IFERROR(INDEX(고객사!$G$5:$G$104,MATCH($B1660,고객사!$A$5:$A$104,0)),""))</f>
        <v/>
      </c>
      <c r="K1660" s="16"/>
      <c r="L1660" s="22" t="str">
        <f aca="false">IF($B1660="","",K1660*IFERROR(INDEX(고객사!$L$5:$L$104,MATCH($B1660,고객사!$A$5:$A$104,0)),0))</f>
        <v/>
      </c>
      <c r="M1660" s="23" t="str">
        <f aca="false">IF($B1660="","",IF(AND(J1660="N",G1660&gt;0,K1660=0,IFERROR(INDEX(고객사!$H$5:$H$104,MATCH($B1660,고객사!$A$5:$A$104,0)),"")="자사 차량 운행"),"차량 미배정",""))</f>
        <v/>
      </c>
      <c r="N1660" s="22" t="str">
        <f aca="false">IF($B1660="","",IFERROR(INDEX(고객사!$J$5:$J$104,MATCH($B1660,고객사!$A$5:$A$104,0)),0))</f>
        <v/>
      </c>
      <c r="O1660" s="22" t="str">
        <f aca="false">IF($B1660="","",G1660*N1660)</f>
        <v/>
      </c>
      <c r="P1660" s="22" t="str">
        <f aca="false">IF($B1660="","",IFERROR(INDEX(고객사!$K$5:$K$104,MATCH($B1660,고객사!$A$5:$A$104,0)),0))</f>
        <v/>
      </c>
      <c r="Q1660" s="22" t="str">
        <f aca="false">IF($B1660="","",G1660*P1660)</f>
        <v/>
      </c>
      <c r="R1660" s="22" t="str">
        <f aca="false">IF($B1660="","",O1660-Q1660-L1660)</f>
        <v/>
      </c>
      <c r="S1660" s="21" t="str">
        <f aca="false">IF(OR($B1660="",N(O1660)=0),"",R1660/O1660)</f>
        <v/>
      </c>
      <c r="T1660" s="14"/>
      <c r="U1660" s="19" t="n">
        <f aca="false">IF(OR($B1660="",$A1660=""),0,IF(COUNTIFS($A$5:$A1660,$A1660,$B$5:$B1660,$B1660)=1,1,0))</f>
        <v>0</v>
      </c>
    </row>
    <row r="1661" customFormat="false" ht="15" hidden="false" customHeight="false" outlineLevel="0" collapsed="false">
      <c r="A1661" s="17"/>
      <c r="B1661" s="13"/>
      <c r="C1661" s="20" t="str">
        <f aca="false">IF($B1661="","",IFERROR(INDEX(고객사!$B$5:$B$104,MATCH($B1661,고객사!$A$5:$A$104,0)),"코드 확인"))</f>
        <v/>
      </c>
      <c r="D1661" s="15"/>
      <c r="E1661" s="15"/>
      <c r="F1661" s="16"/>
      <c r="G1661" s="16"/>
      <c r="H1661" s="21" t="str">
        <f aca="false">IF(OR($B1661="",F1661=0),"",G1661/F1661)</f>
        <v/>
      </c>
      <c r="I1661" s="22" t="str">
        <f aca="false">IF($B1661="","",MAX(F1661-G1661,0))</f>
        <v/>
      </c>
      <c r="J1661" s="23" t="str">
        <f aca="false">IF($B1661="","",IFERROR(INDEX(고객사!$G$5:$G$104,MATCH($B1661,고객사!$A$5:$A$104,0)),""))</f>
        <v/>
      </c>
      <c r="K1661" s="16"/>
      <c r="L1661" s="22" t="str">
        <f aca="false">IF($B1661="","",K1661*IFERROR(INDEX(고객사!$L$5:$L$104,MATCH($B1661,고객사!$A$5:$A$104,0)),0))</f>
        <v/>
      </c>
      <c r="M1661" s="23" t="str">
        <f aca="false">IF($B1661="","",IF(AND(J1661="N",G1661&gt;0,K1661=0,IFERROR(INDEX(고객사!$H$5:$H$104,MATCH($B1661,고객사!$A$5:$A$104,0)),"")="자사 차량 운행"),"차량 미배정",""))</f>
        <v/>
      </c>
      <c r="N1661" s="22" t="str">
        <f aca="false">IF($B1661="","",IFERROR(INDEX(고객사!$J$5:$J$104,MATCH($B1661,고객사!$A$5:$A$104,0)),0))</f>
        <v/>
      </c>
      <c r="O1661" s="22" t="str">
        <f aca="false">IF($B1661="","",G1661*N1661)</f>
        <v/>
      </c>
      <c r="P1661" s="22" t="str">
        <f aca="false">IF($B1661="","",IFERROR(INDEX(고객사!$K$5:$K$104,MATCH($B1661,고객사!$A$5:$A$104,0)),0))</f>
        <v/>
      </c>
      <c r="Q1661" s="22" t="str">
        <f aca="false">IF($B1661="","",G1661*P1661)</f>
        <v/>
      </c>
      <c r="R1661" s="22" t="str">
        <f aca="false">IF($B1661="","",O1661-Q1661-L1661)</f>
        <v/>
      </c>
      <c r="S1661" s="21" t="str">
        <f aca="false">IF(OR($B1661="",N(O1661)=0),"",R1661/O1661)</f>
        <v/>
      </c>
      <c r="T1661" s="14"/>
      <c r="U1661" s="19" t="n">
        <f aca="false">IF(OR($B1661="",$A1661=""),0,IF(COUNTIFS($A$5:$A1661,$A1661,$B$5:$B1661,$B1661)=1,1,0))</f>
        <v>0</v>
      </c>
    </row>
    <row r="1662" customFormat="false" ht="15" hidden="false" customHeight="false" outlineLevel="0" collapsed="false">
      <c r="A1662" s="17"/>
      <c r="B1662" s="13"/>
      <c r="C1662" s="20" t="str">
        <f aca="false">IF($B1662="","",IFERROR(INDEX(고객사!$B$5:$B$104,MATCH($B1662,고객사!$A$5:$A$104,0)),"코드 확인"))</f>
        <v/>
      </c>
      <c r="D1662" s="15"/>
      <c r="E1662" s="15"/>
      <c r="F1662" s="16"/>
      <c r="G1662" s="16"/>
      <c r="H1662" s="21" t="str">
        <f aca="false">IF(OR($B1662="",F1662=0),"",G1662/F1662)</f>
        <v/>
      </c>
      <c r="I1662" s="22" t="str">
        <f aca="false">IF($B1662="","",MAX(F1662-G1662,0))</f>
        <v/>
      </c>
      <c r="J1662" s="23" t="str">
        <f aca="false">IF($B1662="","",IFERROR(INDEX(고객사!$G$5:$G$104,MATCH($B1662,고객사!$A$5:$A$104,0)),""))</f>
        <v/>
      </c>
      <c r="K1662" s="16"/>
      <c r="L1662" s="22" t="str">
        <f aca="false">IF($B1662="","",K1662*IFERROR(INDEX(고객사!$L$5:$L$104,MATCH($B1662,고객사!$A$5:$A$104,0)),0))</f>
        <v/>
      </c>
      <c r="M1662" s="23" t="str">
        <f aca="false">IF($B1662="","",IF(AND(J1662="N",G1662&gt;0,K1662=0,IFERROR(INDEX(고객사!$H$5:$H$104,MATCH($B1662,고객사!$A$5:$A$104,0)),"")="자사 차량 운행"),"차량 미배정",""))</f>
        <v/>
      </c>
      <c r="N1662" s="22" t="str">
        <f aca="false">IF($B1662="","",IFERROR(INDEX(고객사!$J$5:$J$104,MATCH($B1662,고객사!$A$5:$A$104,0)),0))</f>
        <v/>
      </c>
      <c r="O1662" s="22" t="str">
        <f aca="false">IF($B1662="","",G1662*N1662)</f>
        <v/>
      </c>
      <c r="P1662" s="22" t="str">
        <f aca="false">IF($B1662="","",IFERROR(INDEX(고객사!$K$5:$K$104,MATCH($B1662,고객사!$A$5:$A$104,0)),0))</f>
        <v/>
      </c>
      <c r="Q1662" s="22" t="str">
        <f aca="false">IF($B1662="","",G1662*P1662)</f>
        <v/>
      </c>
      <c r="R1662" s="22" t="str">
        <f aca="false">IF($B1662="","",O1662-Q1662-L1662)</f>
        <v/>
      </c>
      <c r="S1662" s="21" t="str">
        <f aca="false">IF(OR($B1662="",N(O1662)=0),"",R1662/O1662)</f>
        <v/>
      </c>
      <c r="T1662" s="14"/>
      <c r="U1662" s="19" t="n">
        <f aca="false">IF(OR($B1662="",$A1662=""),0,IF(COUNTIFS($A$5:$A1662,$A1662,$B$5:$B1662,$B1662)=1,1,0))</f>
        <v>0</v>
      </c>
    </row>
    <row r="1663" customFormat="false" ht="15" hidden="false" customHeight="false" outlineLevel="0" collapsed="false">
      <c r="A1663" s="17"/>
      <c r="B1663" s="13"/>
      <c r="C1663" s="20" t="str">
        <f aca="false">IF($B1663="","",IFERROR(INDEX(고객사!$B$5:$B$104,MATCH($B1663,고객사!$A$5:$A$104,0)),"코드 확인"))</f>
        <v/>
      </c>
      <c r="D1663" s="15"/>
      <c r="E1663" s="15"/>
      <c r="F1663" s="16"/>
      <c r="G1663" s="16"/>
      <c r="H1663" s="21" t="str">
        <f aca="false">IF(OR($B1663="",F1663=0),"",G1663/F1663)</f>
        <v/>
      </c>
      <c r="I1663" s="22" t="str">
        <f aca="false">IF($B1663="","",MAX(F1663-G1663,0))</f>
        <v/>
      </c>
      <c r="J1663" s="23" t="str">
        <f aca="false">IF($B1663="","",IFERROR(INDEX(고객사!$G$5:$G$104,MATCH($B1663,고객사!$A$5:$A$104,0)),""))</f>
        <v/>
      </c>
      <c r="K1663" s="16"/>
      <c r="L1663" s="22" t="str">
        <f aca="false">IF($B1663="","",K1663*IFERROR(INDEX(고객사!$L$5:$L$104,MATCH($B1663,고객사!$A$5:$A$104,0)),0))</f>
        <v/>
      </c>
      <c r="M1663" s="23" t="str">
        <f aca="false">IF($B1663="","",IF(AND(J1663="N",G1663&gt;0,K1663=0,IFERROR(INDEX(고객사!$H$5:$H$104,MATCH($B1663,고객사!$A$5:$A$104,0)),"")="자사 차량 운행"),"차량 미배정",""))</f>
        <v/>
      </c>
      <c r="N1663" s="22" t="str">
        <f aca="false">IF($B1663="","",IFERROR(INDEX(고객사!$J$5:$J$104,MATCH($B1663,고객사!$A$5:$A$104,0)),0))</f>
        <v/>
      </c>
      <c r="O1663" s="22" t="str">
        <f aca="false">IF($B1663="","",G1663*N1663)</f>
        <v/>
      </c>
      <c r="P1663" s="22" t="str">
        <f aca="false">IF($B1663="","",IFERROR(INDEX(고객사!$K$5:$K$104,MATCH($B1663,고객사!$A$5:$A$104,0)),0))</f>
        <v/>
      </c>
      <c r="Q1663" s="22" t="str">
        <f aca="false">IF($B1663="","",G1663*P1663)</f>
        <v/>
      </c>
      <c r="R1663" s="22" t="str">
        <f aca="false">IF($B1663="","",O1663-Q1663-L1663)</f>
        <v/>
      </c>
      <c r="S1663" s="21" t="str">
        <f aca="false">IF(OR($B1663="",N(O1663)=0),"",R1663/O1663)</f>
        <v/>
      </c>
      <c r="T1663" s="14"/>
      <c r="U1663" s="19" t="n">
        <f aca="false">IF(OR($B1663="",$A1663=""),0,IF(COUNTIFS($A$5:$A1663,$A1663,$B$5:$B1663,$B1663)=1,1,0))</f>
        <v>0</v>
      </c>
    </row>
    <row r="1664" customFormat="false" ht="15" hidden="false" customHeight="false" outlineLevel="0" collapsed="false">
      <c r="A1664" s="17"/>
      <c r="B1664" s="13"/>
      <c r="C1664" s="20" t="str">
        <f aca="false">IF($B1664="","",IFERROR(INDEX(고객사!$B$5:$B$104,MATCH($B1664,고객사!$A$5:$A$104,0)),"코드 확인"))</f>
        <v/>
      </c>
      <c r="D1664" s="15"/>
      <c r="E1664" s="15"/>
      <c r="F1664" s="16"/>
      <c r="G1664" s="16"/>
      <c r="H1664" s="21" t="str">
        <f aca="false">IF(OR($B1664="",F1664=0),"",G1664/F1664)</f>
        <v/>
      </c>
      <c r="I1664" s="22" t="str">
        <f aca="false">IF($B1664="","",MAX(F1664-G1664,0))</f>
        <v/>
      </c>
      <c r="J1664" s="23" t="str">
        <f aca="false">IF($B1664="","",IFERROR(INDEX(고객사!$G$5:$G$104,MATCH($B1664,고객사!$A$5:$A$104,0)),""))</f>
        <v/>
      </c>
      <c r="K1664" s="16"/>
      <c r="L1664" s="22" t="str">
        <f aca="false">IF($B1664="","",K1664*IFERROR(INDEX(고객사!$L$5:$L$104,MATCH($B1664,고객사!$A$5:$A$104,0)),0))</f>
        <v/>
      </c>
      <c r="M1664" s="23" t="str">
        <f aca="false">IF($B1664="","",IF(AND(J1664="N",G1664&gt;0,K1664=0,IFERROR(INDEX(고객사!$H$5:$H$104,MATCH($B1664,고객사!$A$5:$A$104,0)),"")="자사 차량 운행"),"차량 미배정",""))</f>
        <v/>
      </c>
      <c r="N1664" s="22" t="str">
        <f aca="false">IF($B1664="","",IFERROR(INDEX(고객사!$J$5:$J$104,MATCH($B1664,고객사!$A$5:$A$104,0)),0))</f>
        <v/>
      </c>
      <c r="O1664" s="22" t="str">
        <f aca="false">IF($B1664="","",G1664*N1664)</f>
        <v/>
      </c>
      <c r="P1664" s="22" t="str">
        <f aca="false">IF($B1664="","",IFERROR(INDEX(고객사!$K$5:$K$104,MATCH($B1664,고객사!$A$5:$A$104,0)),0))</f>
        <v/>
      </c>
      <c r="Q1664" s="22" t="str">
        <f aca="false">IF($B1664="","",G1664*P1664)</f>
        <v/>
      </c>
      <c r="R1664" s="22" t="str">
        <f aca="false">IF($B1664="","",O1664-Q1664-L1664)</f>
        <v/>
      </c>
      <c r="S1664" s="21" t="str">
        <f aca="false">IF(OR($B1664="",N(O1664)=0),"",R1664/O1664)</f>
        <v/>
      </c>
      <c r="T1664" s="14"/>
      <c r="U1664" s="19" t="n">
        <f aca="false">IF(OR($B1664="",$A1664=""),0,IF(COUNTIFS($A$5:$A1664,$A1664,$B$5:$B1664,$B1664)=1,1,0))</f>
        <v>0</v>
      </c>
    </row>
    <row r="1665" customFormat="false" ht="15" hidden="false" customHeight="false" outlineLevel="0" collapsed="false">
      <c r="A1665" s="17"/>
      <c r="B1665" s="13"/>
      <c r="C1665" s="20" t="str">
        <f aca="false">IF($B1665="","",IFERROR(INDEX(고객사!$B$5:$B$104,MATCH($B1665,고객사!$A$5:$A$104,0)),"코드 확인"))</f>
        <v/>
      </c>
      <c r="D1665" s="15"/>
      <c r="E1665" s="15"/>
      <c r="F1665" s="16"/>
      <c r="G1665" s="16"/>
      <c r="H1665" s="21" t="str">
        <f aca="false">IF(OR($B1665="",F1665=0),"",G1665/F1665)</f>
        <v/>
      </c>
      <c r="I1665" s="22" t="str">
        <f aca="false">IF($B1665="","",MAX(F1665-G1665,0))</f>
        <v/>
      </c>
      <c r="J1665" s="23" t="str">
        <f aca="false">IF($B1665="","",IFERROR(INDEX(고객사!$G$5:$G$104,MATCH($B1665,고객사!$A$5:$A$104,0)),""))</f>
        <v/>
      </c>
      <c r="K1665" s="16"/>
      <c r="L1665" s="22" t="str">
        <f aca="false">IF($B1665="","",K1665*IFERROR(INDEX(고객사!$L$5:$L$104,MATCH($B1665,고객사!$A$5:$A$104,0)),0))</f>
        <v/>
      </c>
      <c r="M1665" s="23" t="str">
        <f aca="false">IF($B1665="","",IF(AND(J1665="N",G1665&gt;0,K1665=0,IFERROR(INDEX(고객사!$H$5:$H$104,MATCH($B1665,고객사!$A$5:$A$104,0)),"")="자사 차량 운행"),"차량 미배정",""))</f>
        <v/>
      </c>
      <c r="N1665" s="22" t="str">
        <f aca="false">IF($B1665="","",IFERROR(INDEX(고객사!$J$5:$J$104,MATCH($B1665,고객사!$A$5:$A$104,0)),0))</f>
        <v/>
      </c>
      <c r="O1665" s="22" t="str">
        <f aca="false">IF($B1665="","",G1665*N1665)</f>
        <v/>
      </c>
      <c r="P1665" s="22" t="str">
        <f aca="false">IF($B1665="","",IFERROR(INDEX(고객사!$K$5:$K$104,MATCH($B1665,고객사!$A$5:$A$104,0)),0))</f>
        <v/>
      </c>
      <c r="Q1665" s="22" t="str">
        <f aca="false">IF($B1665="","",G1665*P1665)</f>
        <v/>
      </c>
      <c r="R1665" s="22" t="str">
        <f aca="false">IF($B1665="","",O1665-Q1665-L1665)</f>
        <v/>
      </c>
      <c r="S1665" s="21" t="str">
        <f aca="false">IF(OR($B1665="",N(O1665)=0),"",R1665/O1665)</f>
        <v/>
      </c>
      <c r="T1665" s="14"/>
      <c r="U1665" s="19" t="n">
        <f aca="false">IF(OR($B1665="",$A1665=""),0,IF(COUNTIFS($A$5:$A1665,$A1665,$B$5:$B1665,$B1665)=1,1,0))</f>
        <v>0</v>
      </c>
    </row>
    <row r="1666" customFormat="false" ht="15" hidden="false" customHeight="false" outlineLevel="0" collapsed="false">
      <c r="A1666" s="17"/>
      <c r="B1666" s="13"/>
      <c r="C1666" s="20" t="str">
        <f aca="false">IF($B1666="","",IFERROR(INDEX(고객사!$B$5:$B$104,MATCH($B1666,고객사!$A$5:$A$104,0)),"코드 확인"))</f>
        <v/>
      </c>
      <c r="D1666" s="15"/>
      <c r="E1666" s="15"/>
      <c r="F1666" s="16"/>
      <c r="G1666" s="16"/>
      <c r="H1666" s="21" t="str">
        <f aca="false">IF(OR($B1666="",F1666=0),"",G1666/F1666)</f>
        <v/>
      </c>
      <c r="I1666" s="22" t="str">
        <f aca="false">IF($B1666="","",MAX(F1666-G1666,0))</f>
        <v/>
      </c>
      <c r="J1666" s="23" t="str">
        <f aca="false">IF($B1666="","",IFERROR(INDEX(고객사!$G$5:$G$104,MATCH($B1666,고객사!$A$5:$A$104,0)),""))</f>
        <v/>
      </c>
      <c r="K1666" s="16"/>
      <c r="L1666" s="22" t="str">
        <f aca="false">IF($B1666="","",K1666*IFERROR(INDEX(고객사!$L$5:$L$104,MATCH($B1666,고객사!$A$5:$A$104,0)),0))</f>
        <v/>
      </c>
      <c r="M1666" s="23" t="str">
        <f aca="false">IF($B1666="","",IF(AND(J1666="N",G1666&gt;0,K1666=0,IFERROR(INDEX(고객사!$H$5:$H$104,MATCH($B1666,고객사!$A$5:$A$104,0)),"")="자사 차량 운행"),"차량 미배정",""))</f>
        <v/>
      </c>
      <c r="N1666" s="22" t="str">
        <f aca="false">IF($B1666="","",IFERROR(INDEX(고객사!$J$5:$J$104,MATCH($B1666,고객사!$A$5:$A$104,0)),0))</f>
        <v/>
      </c>
      <c r="O1666" s="22" t="str">
        <f aca="false">IF($B1666="","",G1666*N1666)</f>
        <v/>
      </c>
      <c r="P1666" s="22" t="str">
        <f aca="false">IF($B1666="","",IFERROR(INDEX(고객사!$K$5:$K$104,MATCH($B1666,고객사!$A$5:$A$104,0)),0))</f>
        <v/>
      </c>
      <c r="Q1666" s="22" t="str">
        <f aca="false">IF($B1666="","",G1666*P1666)</f>
        <v/>
      </c>
      <c r="R1666" s="22" t="str">
        <f aca="false">IF($B1666="","",O1666-Q1666-L1666)</f>
        <v/>
      </c>
      <c r="S1666" s="21" t="str">
        <f aca="false">IF(OR($B1666="",N(O1666)=0),"",R1666/O1666)</f>
        <v/>
      </c>
      <c r="T1666" s="14"/>
      <c r="U1666" s="19" t="n">
        <f aca="false">IF(OR($B1666="",$A1666=""),0,IF(COUNTIFS($A$5:$A1666,$A1666,$B$5:$B1666,$B1666)=1,1,0))</f>
        <v>0</v>
      </c>
    </row>
    <row r="1667" customFormat="false" ht="15" hidden="false" customHeight="false" outlineLevel="0" collapsed="false">
      <c r="A1667" s="17"/>
      <c r="B1667" s="13"/>
      <c r="C1667" s="20" t="str">
        <f aca="false">IF($B1667="","",IFERROR(INDEX(고객사!$B$5:$B$104,MATCH($B1667,고객사!$A$5:$A$104,0)),"코드 확인"))</f>
        <v/>
      </c>
      <c r="D1667" s="15"/>
      <c r="E1667" s="15"/>
      <c r="F1667" s="16"/>
      <c r="G1667" s="16"/>
      <c r="H1667" s="21" t="str">
        <f aca="false">IF(OR($B1667="",F1667=0),"",G1667/F1667)</f>
        <v/>
      </c>
      <c r="I1667" s="22" t="str">
        <f aca="false">IF($B1667="","",MAX(F1667-G1667,0))</f>
        <v/>
      </c>
      <c r="J1667" s="23" t="str">
        <f aca="false">IF($B1667="","",IFERROR(INDEX(고객사!$G$5:$G$104,MATCH($B1667,고객사!$A$5:$A$104,0)),""))</f>
        <v/>
      </c>
      <c r="K1667" s="16"/>
      <c r="L1667" s="22" t="str">
        <f aca="false">IF($B1667="","",K1667*IFERROR(INDEX(고객사!$L$5:$L$104,MATCH($B1667,고객사!$A$5:$A$104,0)),0))</f>
        <v/>
      </c>
      <c r="M1667" s="23" t="str">
        <f aca="false">IF($B1667="","",IF(AND(J1667="N",G1667&gt;0,K1667=0,IFERROR(INDEX(고객사!$H$5:$H$104,MATCH($B1667,고객사!$A$5:$A$104,0)),"")="자사 차량 운행"),"차량 미배정",""))</f>
        <v/>
      </c>
      <c r="N1667" s="22" t="str">
        <f aca="false">IF($B1667="","",IFERROR(INDEX(고객사!$J$5:$J$104,MATCH($B1667,고객사!$A$5:$A$104,0)),0))</f>
        <v/>
      </c>
      <c r="O1667" s="22" t="str">
        <f aca="false">IF($B1667="","",G1667*N1667)</f>
        <v/>
      </c>
      <c r="P1667" s="22" t="str">
        <f aca="false">IF($B1667="","",IFERROR(INDEX(고객사!$K$5:$K$104,MATCH($B1667,고객사!$A$5:$A$104,0)),0))</f>
        <v/>
      </c>
      <c r="Q1667" s="22" t="str">
        <f aca="false">IF($B1667="","",G1667*P1667)</f>
        <v/>
      </c>
      <c r="R1667" s="22" t="str">
        <f aca="false">IF($B1667="","",O1667-Q1667-L1667)</f>
        <v/>
      </c>
      <c r="S1667" s="21" t="str">
        <f aca="false">IF(OR($B1667="",N(O1667)=0),"",R1667/O1667)</f>
        <v/>
      </c>
      <c r="T1667" s="14"/>
      <c r="U1667" s="19" t="n">
        <f aca="false">IF(OR($B1667="",$A1667=""),0,IF(COUNTIFS($A$5:$A1667,$A1667,$B$5:$B1667,$B1667)=1,1,0))</f>
        <v>0</v>
      </c>
    </row>
    <row r="1668" customFormat="false" ht="15" hidden="false" customHeight="false" outlineLevel="0" collapsed="false">
      <c r="A1668" s="17"/>
      <c r="B1668" s="13"/>
      <c r="C1668" s="20" t="str">
        <f aca="false">IF($B1668="","",IFERROR(INDEX(고객사!$B$5:$B$104,MATCH($B1668,고객사!$A$5:$A$104,0)),"코드 확인"))</f>
        <v/>
      </c>
      <c r="D1668" s="15"/>
      <c r="E1668" s="15"/>
      <c r="F1668" s="16"/>
      <c r="G1668" s="16"/>
      <c r="H1668" s="21" t="str">
        <f aca="false">IF(OR($B1668="",F1668=0),"",G1668/F1668)</f>
        <v/>
      </c>
      <c r="I1668" s="22" t="str">
        <f aca="false">IF($B1668="","",MAX(F1668-G1668,0))</f>
        <v/>
      </c>
      <c r="J1668" s="23" t="str">
        <f aca="false">IF($B1668="","",IFERROR(INDEX(고객사!$G$5:$G$104,MATCH($B1668,고객사!$A$5:$A$104,0)),""))</f>
        <v/>
      </c>
      <c r="K1668" s="16"/>
      <c r="L1668" s="22" t="str">
        <f aca="false">IF($B1668="","",K1668*IFERROR(INDEX(고객사!$L$5:$L$104,MATCH($B1668,고객사!$A$5:$A$104,0)),0))</f>
        <v/>
      </c>
      <c r="M1668" s="23" t="str">
        <f aca="false">IF($B1668="","",IF(AND(J1668="N",G1668&gt;0,K1668=0,IFERROR(INDEX(고객사!$H$5:$H$104,MATCH($B1668,고객사!$A$5:$A$104,0)),"")="자사 차량 운행"),"차량 미배정",""))</f>
        <v/>
      </c>
      <c r="N1668" s="22" t="str">
        <f aca="false">IF($B1668="","",IFERROR(INDEX(고객사!$J$5:$J$104,MATCH($B1668,고객사!$A$5:$A$104,0)),0))</f>
        <v/>
      </c>
      <c r="O1668" s="22" t="str">
        <f aca="false">IF($B1668="","",G1668*N1668)</f>
        <v/>
      </c>
      <c r="P1668" s="22" t="str">
        <f aca="false">IF($B1668="","",IFERROR(INDEX(고객사!$K$5:$K$104,MATCH($B1668,고객사!$A$5:$A$104,0)),0))</f>
        <v/>
      </c>
      <c r="Q1668" s="22" t="str">
        <f aca="false">IF($B1668="","",G1668*P1668)</f>
        <v/>
      </c>
      <c r="R1668" s="22" t="str">
        <f aca="false">IF($B1668="","",O1668-Q1668-L1668)</f>
        <v/>
      </c>
      <c r="S1668" s="21" t="str">
        <f aca="false">IF(OR($B1668="",N(O1668)=0),"",R1668/O1668)</f>
        <v/>
      </c>
      <c r="T1668" s="14"/>
      <c r="U1668" s="19" t="n">
        <f aca="false">IF(OR($B1668="",$A1668=""),0,IF(COUNTIFS($A$5:$A1668,$A1668,$B$5:$B1668,$B1668)=1,1,0))</f>
        <v>0</v>
      </c>
    </row>
    <row r="1669" customFormat="false" ht="15" hidden="false" customHeight="false" outlineLevel="0" collapsed="false">
      <c r="A1669" s="17"/>
      <c r="B1669" s="13"/>
      <c r="C1669" s="20" t="str">
        <f aca="false">IF($B1669="","",IFERROR(INDEX(고객사!$B$5:$B$104,MATCH($B1669,고객사!$A$5:$A$104,0)),"코드 확인"))</f>
        <v/>
      </c>
      <c r="D1669" s="15"/>
      <c r="E1669" s="15"/>
      <c r="F1669" s="16"/>
      <c r="G1669" s="16"/>
      <c r="H1669" s="21" t="str">
        <f aca="false">IF(OR($B1669="",F1669=0),"",G1669/F1669)</f>
        <v/>
      </c>
      <c r="I1669" s="22" t="str">
        <f aca="false">IF($B1669="","",MAX(F1669-G1669,0))</f>
        <v/>
      </c>
      <c r="J1669" s="23" t="str">
        <f aca="false">IF($B1669="","",IFERROR(INDEX(고객사!$G$5:$G$104,MATCH($B1669,고객사!$A$5:$A$104,0)),""))</f>
        <v/>
      </c>
      <c r="K1669" s="16"/>
      <c r="L1669" s="22" t="str">
        <f aca="false">IF($B1669="","",K1669*IFERROR(INDEX(고객사!$L$5:$L$104,MATCH($B1669,고객사!$A$5:$A$104,0)),0))</f>
        <v/>
      </c>
      <c r="M1669" s="23" t="str">
        <f aca="false">IF($B1669="","",IF(AND(J1669="N",G1669&gt;0,K1669=0,IFERROR(INDEX(고객사!$H$5:$H$104,MATCH($B1669,고객사!$A$5:$A$104,0)),"")="자사 차량 운행"),"차량 미배정",""))</f>
        <v/>
      </c>
      <c r="N1669" s="22" t="str">
        <f aca="false">IF($B1669="","",IFERROR(INDEX(고객사!$J$5:$J$104,MATCH($B1669,고객사!$A$5:$A$104,0)),0))</f>
        <v/>
      </c>
      <c r="O1669" s="22" t="str">
        <f aca="false">IF($B1669="","",G1669*N1669)</f>
        <v/>
      </c>
      <c r="P1669" s="22" t="str">
        <f aca="false">IF($B1669="","",IFERROR(INDEX(고객사!$K$5:$K$104,MATCH($B1669,고객사!$A$5:$A$104,0)),0))</f>
        <v/>
      </c>
      <c r="Q1669" s="22" t="str">
        <f aca="false">IF($B1669="","",G1669*P1669)</f>
        <v/>
      </c>
      <c r="R1669" s="22" t="str">
        <f aca="false">IF($B1669="","",O1669-Q1669-L1669)</f>
        <v/>
      </c>
      <c r="S1669" s="21" t="str">
        <f aca="false">IF(OR($B1669="",N(O1669)=0),"",R1669/O1669)</f>
        <v/>
      </c>
      <c r="T1669" s="14"/>
      <c r="U1669" s="19" t="n">
        <f aca="false">IF(OR($B1669="",$A1669=""),0,IF(COUNTIFS($A$5:$A1669,$A1669,$B$5:$B1669,$B1669)=1,1,0))</f>
        <v>0</v>
      </c>
    </row>
    <row r="1670" customFormat="false" ht="15" hidden="false" customHeight="false" outlineLevel="0" collapsed="false">
      <c r="A1670" s="17"/>
      <c r="B1670" s="13"/>
      <c r="C1670" s="20" t="str">
        <f aca="false">IF($B1670="","",IFERROR(INDEX(고객사!$B$5:$B$104,MATCH($B1670,고객사!$A$5:$A$104,0)),"코드 확인"))</f>
        <v/>
      </c>
      <c r="D1670" s="15"/>
      <c r="E1670" s="15"/>
      <c r="F1670" s="16"/>
      <c r="G1670" s="16"/>
      <c r="H1670" s="21" t="str">
        <f aca="false">IF(OR($B1670="",F1670=0),"",G1670/F1670)</f>
        <v/>
      </c>
      <c r="I1670" s="22" t="str">
        <f aca="false">IF($B1670="","",MAX(F1670-G1670,0))</f>
        <v/>
      </c>
      <c r="J1670" s="23" t="str">
        <f aca="false">IF($B1670="","",IFERROR(INDEX(고객사!$G$5:$G$104,MATCH($B1670,고객사!$A$5:$A$104,0)),""))</f>
        <v/>
      </c>
      <c r="K1670" s="16"/>
      <c r="L1670" s="22" t="str">
        <f aca="false">IF($B1670="","",K1670*IFERROR(INDEX(고객사!$L$5:$L$104,MATCH($B1670,고객사!$A$5:$A$104,0)),0))</f>
        <v/>
      </c>
      <c r="M1670" s="23" t="str">
        <f aca="false">IF($B1670="","",IF(AND(J1670="N",G1670&gt;0,K1670=0,IFERROR(INDEX(고객사!$H$5:$H$104,MATCH($B1670,고객사!$A$5:$A$104,0)),"")="자사 차량 운행"),"차량 미배정",""))</f>
        <v/>
      </c>
      <c r="N1670" s="22" t="str">
        <f aca="false">IF($B1670="","",IFERROR(INDEX(고객사!$J$5:$J$104,MATCH($B1670,고객사!$A$5:$A$104,0)),0))</f>
        <v/>
      </c>
      <c r="O1670" s="22" t="str">
        <f aca="false">IF($B1670="","",G1670*N1670)</f>
        <v/>
      </c>
      <c r="P1670" s="22" t="str">
        <f aca="false">IF($B1670="","",IFERROR(INDEX(고객사!$K$5:$K$104,MATCH($B1670,고객사!$A$5:$A$104,0)),0))</f>
        <v/>
      </c>
      <c r="Q1670" s="22" t="str">
        <f aca="false">IF($B1670="","",G1670*P1670)</f>
        <v/>
      </c>
      <c r="R1670" s="22" t="str">
        <f aca="false">IF($B1670="","",O1670-Q1670-L1670)</f>
        <v/>
      </c>
      <c r="S1670" s="21" t="str">
        <f aca="false">IF(OR($B1670="",N(O1670)=0),"",R1670/O1670)</f>
        <v/>
      </c>
      <c r="T1670" s="14"/>
      <c r="U1670" s="19" t="n">
        <f aca="false">IF(OR($B1670="",$A1670=""),0,IF(COUNTIFS($A$5:$A1670,$A1670,$B$5:$B1670,$B1670)=1,1,0))</f>
        <v>0</v>
      </c>
    </row>
    <row r="1671" customFormat="false" ht="15" hidden="false" customHeight="false" outlineLevel="0" collapsed="false">
      <c r="A1671" s="17"/>
      <c r="B1671" s="13"/>
      <c r="C1671" s="20" t="str">
        <f aca="false">IF($B1671="","",IFERROR(INDEX(고객사!$B$5:$B$104,MATCH($B1671,고객사!$A$5:$A$104,0)),"코드 확인"))</f>
        <v/>
      </c>
      <c r="D1671" s="15"/>
      <c r="E1671" s="15"/>
      <c r="F1671" s="16"/>
      <c r="G1671" s="16"/>
      <c r="H1671" s="21" t="str">
        <f aca="false">IF(OR($B1671="",F1671=0),"",G1671/F1671)</f>
        <v/>
      </c>
      <c r="I1671" s="22" t="str">
        <f aca="false">IF($B1671="","",MAX(F1671-G1671,0))</f>
        <v/>
      </c>
      <c r="J1671" s="23" t="str">
        <f aca="false">IF($B1671="","",IFERROR(INDEX(고객사!$G$5:$G$104,MATCH($B1671,고객사!$A$5:$A$104,0)),""))</f>
        <v/>
      </c>
      <c r="K1671" s="16"/>
      <c r="L1671" s="22" t="str">
        <f aca="false">IF($B1671="","",K1671*IFERROR(INDEX(고객사!$L$5:$L$104,MATCH($B1671,고객사!$A$5:$A$104,0)),0))</f>
        <v/>
      </c>
      <c r="M1671" s="23" t="str">
        <f aca="false">IF($B1671="","",IF(AND(J1671="N",G1671&gt;0,K1671=0,IFERROR(INDEX(고객사!$H$5:$H$104,MATCH($B1671,고객사!$A$5:$A$104,0)),"")="자사 차량 운행"),"차량 미배정",""))</f>
        <v/>
      </c>
      <c r="N1671" s="22" t="str">
        <f aca="false">IF($B1671="","",IFERROR(INDEX(고객사!$J$5:$J$104,MATCH($B1671,고객사!$A$5:$A$104,0)),0))</f>
        <v/>
      </c>
      <c r="O1671" s="22" t="str">
        <f aca="false">IF($B1671="","",G1671*N1671)</f>
        <v/>
      </c>
      <c r="P1671" s="22" t="str">
        <f aca="false">IF($B1671="","",IFERROR(INDEX(고객사!$K$5:$K$104,MATCH($B1671,고객사!$A$5:$A$104,0)),0))</f>
        <v/>
      </c>
      <c r="Q1671" s="22" t="str">
        <f aca="false">IF($B1671="","",G1671*P1671)</f>
        <v/>
      </c>
      <c r="R1671" s="22" t="str">
        <f aca="false">IF($B1671="","",O1671-Q1671-L1671)</f>
        <v/>
      </c>
      <c r="S1671" s="21" t="str">
        <f aca="false">IF(OR($B1671="",N(O1671)=0),"",R1671/O1671)</f>
        <v/>
      </c>
      <c r="T1671" s="14"/>
      <c r="U1671" s="19" t="n">
        <f aca="false">IF(OR($B1671="",$A1671=""),0,IF(COUNTIFS($A$5:$A1671,$A1671,$B$5:$B1671,$B1671)=1,1,0))</f>
        <v>0</v>
      </c>
    </row>
    <row r="1672" customFormat="false" ht="15" hidden="false" customHeight="false" outlineLevel="0" collapsed="false">
      <c r="A1672" s="17"/>
      <c r="B1672" s="13"/>
      <c r="C1672" s="20" t="str">
        <f aca="false">IF($B1672="","",IFERROR(INDEX(고객사!$B$5:$B$104,MATCH($B1672,고객사!$A$5:$A$104,0)),"코드 확인"))</f>
        <v/>
      </c>
      <c r="D1672" s="15"/>
      <c r="E1672" s="15"/>
      <c r="F1672" s="16"/>
      <c r="G1672" s="16"/>
      <c r="H1672" s="21" t="str">
        <f aca="false">IF(OR($B1672="",F1672=0),"",G1672/F1672)</f>
        <v/>
      </c>
      <c r="I1672" s="22" t="str">
        <f aca="false">IF($B1672="","",MAX(F1672-G1672,0))</f>
        <v/>
      </c>
      <c r="J1672" s="23" t="str">
        <f aca="false">IF($B1672="","",IFERROR(INDEX(고객사!$G$5:$G$104,MATCH($B1672,고객사!$A$5:$A$104,0)),""))</f>
        <v/>
      </c>
      <c r="K1672" s="16"/>
      <c r="L1672" s="22" t="str">
        <f aca="false">IF($B1672="","",K1672*IFERROR(INDEX(고객사!$L$5:$L$104,MATCH($B1672,고객사!$A$5:$A$104,0)),0))</f>
        <v/>
      </c>
      <c r="M1672" s="23" t="str">
        <f aca="false">IF($B1672="","",IF(AND(J1672="N",G1672&gt;0,K1672=0,IFERROR(INDEX(고객사!$H$5:$H$104,MATCH($B1672,고객사!$A$5:$A$104,0)),"")="자사 차량 운행"),"차량 미배정",""))</f>
        <v/>
      </c>
      <c r="N1672" s="22" t="str">
        <f aca="false">IF($B1672="","",IFERROR(INDEX(고객사!$J$5:$J$104,MATCH($B1672,고객사!$A$5:$A$104,0)),0))</f>
        <v/>
      </c>
      <c r="O1672" s="22" t="str">
        <f aca="false">IF($B1672="","",G1672*N1672)</f>
        <v/>
      </c>
      <c r="P1672" s="22" t="str">
        <f aca="false">IF($B1672="","",IFERROR(INDEX(고객사!$K$5:$K$104,MATCH($B1672,고객사!$A$5:$A$104,0)),0))</f>
        <v/>
      </c>
      <c r="Q1672" s="22" t="str">
        <f aca="false">IF($B1672="","",G1672*P1672)</f>
        <v/>
      </c>
      <c r="R1672" s="22" t="str">
        <f aca="false">IF($B1672="","",O1672-Q1672-L1672)</f>
        <v/>
      </c>
      <c r="S1672" s="21" t="str">
        <f aca="false">IF(OR($B1672="",N(O1672)=0),"",R1672/O1672)</f>
        <v/>
      </c>
      <c r="T1672" s="14"/>
      <c r="U1672" s="19" t="n">
        <f aca="false">IF(OR($B1672="",$A1672=""),0,IF(COUNTIFS($A$5:$A1672,$A1672,$B$5:$B1672,$B1672)=1,1,0))</f>
        <v>0</v>
      </c>
    </row>
    <row r="1673" customFormat="false" ht="15" hidden="false" customHeight="false" outlineLevel="0" collapsed="false">
      <c r="A1673" s="17"/>
      <c r="B1673" s="13"/>
      <c r="C1673" s="20" t="str">
        <f aca="false">IF($B1673="","",IFERROR(INDEX(고객사!$B$5:$B$104,MATCH($B1673,고객사!$A$5:$A$104,0)),"코드 확인"))</f>
        <v/>
      </c>
      <c r="D1673" s="15"/>
      <c r="E1673" s="15"/>
      <c r="F1673" s="16"/>
      <c r="G1673" s="16"/>
      <c r="H1673" s="21" t="str">
        <f aca="false">IF(OR($B1673="",F1673=0),"",G1673/F1673)</f>
        <v/>
      </c>
      <c r="I1673" s="22" t="str">
        <f aca="false">IF($B1673="","",MAX(F1673-G1673,0))</f>
        <v/>
      </c>
      <c r="J1673" s="23" t="str">
        <f aca="false">IF($B1673="","",IFERROR(INDEX(고객사!$G$5:$G$104,MATCH($B1673,고객사!$A$5:$A$104,0)),""))</f>
        <v/>
      </c>
      <c r="K1673" s="16"/>
      <c r="L1673" s="22" t="str">
        <f aca="false">IF($B1673="","",K1673*IFERROR(INDEX(고객사!$L$5:$L$104,MATCH($B1673,고객사!$A$5:$A$104,0)),0))</f>
        <v/>
      </c>
      <c r="M1673" s="23" t="str">
        <f aca="false">IF($B1673="","",IF(AND(J1673="N",G1673&gt;0,K1673=0,IFERROR(INDEX(고객사!$H$5:$H$104,MATCH($B1673,고객사!$A$5:$A$104,0)),"")="자사 차량 운행"),"차량 미배정",""))</f>
        <v/>
      </c>
      <c r="N1673" s="22" t="str">
        <f aca="false">IF($B1673="","",IFERROR(INDEX(고객사!$J$5:$J$104,MATCH($B1673,고객사!$A$5:$A$104,0)),0))</f>
        <v/>
      </c>
      <c r="O1673" s="22" t="str">
        <f aca="false">IF($B1673="","",G1673*N1673)</f>
        <v/>
      </c>
      <c r="P1673" s="22" t="str">
        <f aca="false">IF($B1673="","",IFERROR(INDEX(고객사!$K$5:$K$104,MATCH($B1673,고객사!$A$5:$A$104,0)),0))</f>
        <v/>
      </c>
      <c r="Q1673" s="22" t="str">
        <f aca="false">IF($B1673="","",G1673*P1673)</f>
        <v/>
      </c>
      <c r="R1673" s="22" t="str">
        <f aca="false">IF($B1673="","",O1673-Q1673-L1673)</f>
        <v/>
      </c>
      <c r="S1673" s="21" t="str">
        <f aca="false">IF(OR($B1673="",N(O1673)=0),"",R1673/O1673)</f>
        <v/>
      </c>
      <c r="T1673" s="14"/>
      <c r="U1673" s="19" t="n">
        <f aca="false">IF(OR($B1673="",$A1673=""),0,IF(COUNTIFS($A$5:$A1673,$A1673,$B$5:$B1673,$B1673)=1,1,0))</f>
        <v>0</v>
      </c>
    </row>
    <row r="1674" customFormat="false" ht="15" hidden="false" customHeight="false" outlineLevel="0" collapsed="false">
      <c r="A1674" s="17"/>
      <c r="B1674" s="13"/>
      <c r="C1674" s="20" t="str">
        <f aca="false">IF($B1674="","",IFERROR(INDEX(고객사!$B$5:$B$104,MATCH($B1674,고객사!$A$5:$A$104,0)),"코드 확인"))</f>
        <v/>
      </c>
      <c r="D1674" s="15"/>
      <c r="E1674" s="15"/>
      <c r="F1674" s="16"/>
      <c r="G1674" s="16"/>
      <c r="H1674" s="21" t="str">
        <f aca="false">IF(OR($B1674="",F1674=0),"",G1674/F1674)</f>
        <v/>
      </c>
      <c r="I1674" s="22" t="str">
        <f aca="false">IF($B1674="","",MAX(F1674-G1674,0))</f>
        <v/>
      </c>
      <c r="J1674" s="23" t="str">
        <f aca="false">IF($B1674="","",IFERROR(INDEX(고객사!$G$5:$G$104,MATCH($B1674,고객사!$A$5:$A$104,0)),""))</f>
        <v/>
      </c>
      <c r="K1674" s="16"/>
      <c r="L1674" s="22" t="str">
        <f aca="false">IF($B1674="","",K1674*IFERROR(INDEX(고객사!$L$5:$L$104,MATCH($B1674,고객사!$A$5:$A$104,0)),0))</f>
        <v/>
      </c>
      <c r="M1674" s="23" t="str">
        <f aca="false">IF($B1674="","",IF(AND(J1674="N",G1674&gt;0,K1674=0,IFERROR(INDEX(고객사!$H$5:$H$104,MATCH($B1674,고객사!$A$5:$A$104,0)),"")="자사 차량 운행"),"차량 미배정",""))</f>
        <v/>
      </c>
      <c r="N1674" s="22" t="str">
        <f aca="false">IF($B1674="","",IFERROR(INDEX(고객사!$J$5:$J$104,MATCH($B1674,고객사!$A$5:$A$104,0)),0))</f>
        <v/>
      </c>
      <c r="O1674" s="22" t="str">
        <f aca="false">IF($B1674="","",G1674*N1674)</f>
        <v/>
      </c>
      <c r="P1674" s="22" t="str">
        <f aca="false">IF($B1674="","",IFERROR(INDEX(고객사!$K$5:$K$104,MATCH($B1674,고객사!$A$5:$A$104,0)),0))</f>
        <v/>
      </c>
      <c r="Q1674" s="22" t="str">
        <f aca="false">IF($B1674="","",G1674*P1674)</f>
        <v/>
      </c>
      <c r="R1674" s="22" t="str">
        <f aca="false">IF($B1674="","",O1674-Q1674-L1674)</f>
        <v/>
      </c>
      <c r="S1674" s="21" t="str">
        <f aca="false">IF(OR($B1674="",N(O1674)=0),"",R1674/O1674)</f>
        <v/>
      </c>
      <c r="T1674" s="14"/>
      <c r="U1674" s="19" t="n">
        <f aca="false">IF(OR($B1674="",$A1674=""),0,IF(COUNTIFS($A$5:$A1674,$A1674,$B$5:$B1674,$B1674)=1,1,0))</f>
        <v>0</v>
      </c>
    </row>
    <row r="1675" customFormat="false" ht="15" hidden="false" customHeight="false" outlineLevel="0" collapsed="false">
      <c r="A1675" s="17"/>
      <c r="B1675" s="13"/>
      <c r="C1675" s="20" t="str">
        <f aca="false">IF($B1675="","",IFERROR(INDEX(고객사!$B$5:$B$104,MATCH($B1675,고객사!$A$5:$A$104,0)),"코드 확인"))</f>
        <v/>
      </c>
      <c r="D1675" s="15"/>
      <c r="E1675" s="15"/>
      <c r="F1675" s="16"/>
      <c r="G1675" s="16"/>
      <c r="H1675" s="21" t="str">
        <f aca="false">IF(OR($B1675="",F1675=0),"",G1675/F1675)</f>
        <v/>
      </c>
      <c r="I1675" s="22" t="str">
        <f aca="false">IF($B1675="","",MAX(F1675-G1675,0))</f>
        <v/>
      </c>
      <c r="J1675" s="23" t="str">
        <f aca="false">IF($B1675="","",IFERROR(INDEX(고객사!$G$5:$G$104,MATCH($B1675,고객사!$A$5:$A$104,0)),""))</f>
        <v/>
      </c>
      <c r="K1675" s="16"/>
      <c r="L1675" s="22" t="str">
        <f aca="false">IF($B1675="","",K1675*IFERROR(INDEX(고객사!$L$5:$L$104,MATCH($B1675,고객사!$A$5:$A$104,0)),0))</f>
        <v/>
      </c>
      <c r="M1675" s="23" t="str">
        <f aca="false">IF($B1675="","",IF(AND(J1675="N",G1675&gt;0,K1675=0,IFERROR(INDEX(고객사!$H$5:$H$104,MATCH($B1675,고객사!$A$5:$A$104,0)),"")="자사 차량 운행"),"차량 미배정",""))</f>
        <v/>
      </c>
      <c r="N1675" s="22" t="str">
        <f aca="false">IF($B1675="","",IFERROR(INDEX(고객사!$J$5:$J$104,MATCH($B1675,고객사!$A$5:$A$104,0)),0))</f>
        <v/>
      </c>
      <c r="O1675" s="22" t="str">
        <f aca="false">IF($B1675="","",G1675*N1675)</f>
        <v/>
      </c>
      <c r="P1675" s="22" t="str">
        <f aca="false">IF($B1675="","",IFERROR(INDEX(고객사!$K$5:$K$104,MATCH($B1675,고객사!$A$5:$A$104,0)),0))</f>
        <v/>
      </c>
      <c r="Q1675" s="22" t="str">
        <f aca="false">IF($B1675="","",G1675*P1675)</f>
        <v/>
      </c>
      <c r="R1675" s="22" t="str">
        <f aca="false">IF($B1675="","",O1675-Q1675-L1675)</f>
        <v/>
      </c>
      <c r="S1675" s="21" t="str">
        <f aca="false">IF(OR($B1675="",N(O1675)=0),"",R1675/O1675)</f>
        <v/>
      </c>
      <c r="T1675" s="14"/>
      <c r="U1675" s="19" t="n">
        <f aca="false">IF(OR($B1675="",$A1675=""),0,IF(COUNTIFS($A$5:$A1675,$A1675,$B$5:$B1675,$B1675)=1,1,0))</f>
        <v>0</v>
      </c>
    </row>
    <row r="1676" customFormat="false" ht="15" hidden="false" customHeight="false" outlineLevel="0" collapsed="false">
      <c r="A1676" s="17"/>
      <c r="B1676" s="13"/>
      <c r="C1676" s="20" t="str">
        <f aca="false">IF($B1676="","",IFERROR(INDEX(고객사!$B$5:$B$104,MATCH($B1676,고객사!$A$5:$A$104,0)),"코드 확인"))</f>
        <v/>
      </c>
      <c r="D1676" s="15"/>
      <c r="E1676" s="15"/>
      <c r="F1676" s="16"/>
      <c r="G1676" s="16"/>
      <c r="H1676" s="21" t="str">
        <f aca="false">IF(OR($B1676="",F1676=0),"",G1676/F1676)</f>
        <v/>
      </c>
      <c r="I1676" s="22" t="str">
        <f aca="false">IF($B1676="","",MAX(F1676-G1676,0))</f>
        <v/>
      </c>
      <c r="J1676" s="23" t="str">
        <f aca="false">IF($B1676="","",IFERROR(INDEX(고객사!$G$5:$G$104,MATCH($B1676,고객사!$A$5:$A$104,0)),""))</f>
        <v/>
      </c>
      <c r="K1676" s="16"/>
      <c r="L1676" s="22" t="str">
        <f aca="false">IF($B1676="","",K1676*IFERROR(INDEX(고객사!$L$5:$L$104,MATCH($B1676,고객사!$A$5:$A$104,0)),0))</f>
        <v/>
      </c>
      <c r="M1676" s="23" t="str">
        <f aca="false">IF($B1676="","",IF(AND(J1676="N",G1676&gt;0,K1676=0,IFERROR(INDEX(고객사!$H$5:$H$104,MATCH($B1676,고객사!$A$5:$A$104,0)),"")="자사 차량 운행"),"차량 미배정",""))</f>
        <v/>
      </c>
      <c r="N1676" s="22" t="str">
        <f aca="false">IF($B1676="","",IFERROR(INDEX(고객사!$J$5:$J$104,MATCH($B1676,고객사!$A$5:$A$104,0)),0))</f>
        <v/>
      </c>
      <c r="O1676" s="22" t="str">
        <f aca="false">IF($B1676="","",G1676*N1676)</f>
        <v/>
      </c>
      <c r="P1676" s="22" t="str">
        <f aca="false">IF($B1676="","",IFERROR(INDEX(고객사!$K$5:$K$104,MATCH($B1676,고객사!$A$5:$A$104,0)),0))</f>
        <v/>
      </c>
      <c r="Q1676" s="22" t="str">
        <f aca="false">IF($B1676="","",G1676*P1676)</f>
        <v/>
      </c>
      <c r="R1676" s="22" t="str">
        <f aca="false">IF($B1676="","",O1676-Q1676-L1676)</f>
        <v/>
      </c>
      <c r="S1676" s="21" t="str">
        <f aca="false">IF(OR($B1676="",N(O1676)=0),"",R1676/O1676)</f>
        <v/>
      </c>
      <c r="T1676" s="14"/>
      <c r="U1676" s="19" t="n">
        <f aca="false">IF(OR($B1676="",$A1676=""),0,IF(COUNTIFS($A$5:$A1676,$A1676,$B$5:$B1676,$B1676)=1,1,0))</f>
        <v>0</v>
      </c>
    </row>
    <row r="1677" customFormat="false" ht="15" hidden="false" customHeight="false" outlineLevel="0" collapsed="false">
      <c r="A1677" s="17"/>
      <c r="B1677" s="13"/>
      <c r="C1677" s="20" t="str">
        <f aca="false">IF($B1677="","",IFERROR(INDEX(고객사!$B$5:$B$104,MATCH($B1677,고객사!$A$5:$A$104,0)),"코드 확인"))</f>
        <v/>
      </c>
      <c r="D1677" s="15"/>
      <c r="E1677" s="15"/>
      <c r="F1677" s="16"/>
      <c r="G1677" s="16"/>
      <c r="H1677" s="21" t="str">
        <f aca="false">IF(OR($B1677="",F1677=0),"",G1677/F1677)</f>
        <v/>
      </c>
      <c r="I1677" s="22" t="str">
        <f aca="false">IF($B1677="","",MAX(F1677-G1677,0))</f>
        <v/>
      </c>
      <c r="J1677" s="23" t="str">
        <f aca="false">IF($B1677="","",IFERROR(INDEX(고객사!$G$5:$G$104,MATCH($B1677,고객사!$A$5:$A$104,0)),""))</f>
        <v/>
      </c>
      <c r="K1677" s="16"/>
      <c r="L1677" s="22" t="str">
        <f aca="false">IF($B1677="","",K1677*IFERROR(INDEX(고객사!$L$5:$L$104,MATCH($B1677,고객사!$A$5:$A$104,0)),0))</f>
        <v/>
      </c>
      <c r="M1677" s="23" t="str">
        <f aca="false">IF($B1677="","",IF(AND(J1677="N",G1677&gt;0,K1677=0,IFERROR(INDEX(고객사!$H$5:$H$104,MATCH($B1677,고객사!$A$5:$A$104,0)),"")="자사 차량 운행"),"차량 미배정",""))</f>
        <v/>
      </c>
      <c r="N1677" s="22" t="str">
        <f aca="false">IF($B1677="","",IFERROR(INDEX(고객사!$J$5:$J$104,MATCH($B1677,고객사!$A$5:$A$104,0)),0))</f>
        <v/>
      </c>
      <c r="O1677" s="22" t="str">
        <f aca="false">IF($B1677="","",G1677*N1677)</f>
        <v/>
      </c>
      <c r="P1677" s="22" t="str">
        <f aca="false">IF($B1677="","",IFERROR(INDEX(고객사!$K$5:$K$104,MATCH($B1677,고객사!$A$5:$A$104,0)),0))</f>
        <v/>
      </c>
      <c r="Q1677" s="22" t="str">
        <f aca="false">IF($B1677="","",G1677*P1677)</f>
        <v/>
      </c>
      <c r="R1677" s="22" t="str">
        <f aca="false">IF($B1677="","",O1677-Q1677-L1677)</f>
        <v/>
      </c>
      <c r="S1677" s="21" t="str">
        <f aca="false">IF(OR($B1677="",N(O1677)=0),"",R1677/O1677)</f>
        <v/>
      </c>
      <c r="T1677" s="14"/>
      <c r="U1677" s="19" t="n">
        <f aca="false">IF(OR($B1677="",$A1677=""),0,IF(COUNTIFS($A$5:$A1677,$A1677,$B$5:$B1677,$B1677)=1,1,0))</f>
        <v>0</v>
      </c>
    </row>
    <row r="1678" customFormat="false" ht="15" hidden="false" customHeight="false" outlineLevel="0" collapsed="false">
      <c r="A1678" s="17"/>
      <c r="B1678" s="13"/>
      <c r="C1678" s="20" t="str">
        <f aca="false">IF($B1678="","",IFERROR(INDEX(고객사!$B$5:$B$104,MATCH($B1678,고객사!$A$5:$A$104,0)),"코드 확인"))</f>
        <v/>
      </c>
      <c r="D1678" s="15"/>
      <c r="E1678" s="15"/>
      <c r="F1678" s="16"/>
      <c r="G1678" s="16"/>
      <c r="H1678" s="21" t="str">
        <f aca="false">IF(OR($B1678="",F1678=0),"",G1678/F1678)</f>
        <v/>
      </c>
      <c r="I1678" s="22" t="str">
        <f aca="false">IF($B1678="","",MAX(F1678-G1678,0))</f>
        <v/>
      </c>
      <c r="J1678" s="23" t="str">
        <f aca="false">IF($B1678="","",IFERROR(INDEX(고객사!$G$5:$G$104,MATCH($B1678,고객사!$A$5:$A$104,0)),""))</f>
        <v/>
      </c>
      <c r="K1678" s="16"/>
      <c r="L1678" s="22" t="str">
        <f aca="false">IF($B1678="","",K1678*IFERROR(INDEX(고객사!$L$5:$L$104,MATCH($B1678,고객사!$A$5:$A$104,0)),0))</f>
        <v/>
      </c>
      <c r="M1678" s="23" t="str">
        <f aca="false">IF($B1678="","",IF(AND(J1678="N",G1678&gt;0,K1678=0,IFERROR(INDEX(고객사!$H$5:$H$104,MATCH($B1678,고객사!$A$5:$A$104,0)),"")="자사 차량 운행"),"차량 미배정",""))</f>
        <v/>
      </c>
      <c r="N1678" s="22" t="str">
        <f aca="false">IF($B1678="","",IFERROR(INDEX(고객사!$J$5:$J$104,MATCH($B1678,고객사!$A$5:$A$104,0)),0))</f>
        <v/>
      </c>
      <c r="O1678" s="22" t="str">
        <f aca="false">IF($B1678="","",G1678*N1678)</f>
        <v/>
      </c>
      <c r="P1678" s="22" t="str">
        <f aca="false">IF($B1678="","",IFERROR(INDEX(고객사!$K$5:$K$104,MATCH($B1678,고객사!$A$5:$A$104,0)),0))</f>
        <v/>
      </c>
      <c r="Q1678" s="22" t="str">
        <f aca="false">IF($B1678="","",G1678*P1678)</f>
        <v/>
      </c>
      <c r="R1678" s="22" t="str">
        <f aca="false">IF($B1678="","",O1678-Q1678-L1678)</f>
        <v/>
      </c>
      <c r="S1678" s="21" t="str">
        <f aca="false">IF(OR($B1678="",N(O1678)=0),"",R1678/O1678)</f>
        <v/>
      </c>
      <c r="T1678" s="14"/>
      <c r="U1678" s="19" t="n">
        <f aca="false">IF(OR($B1678="",$A1678=""),0,IF(COUNTIFS($A$5:$A1678,$A1678,$B$5:$B1678,$B1678)=1,1,0))</f>
        <v>0</v>
      </c>
    </row>
    <row r="1679" customFormat="false" ht="15" hidden="false" customHeight="false" outlineLevel="0" collapsed="false">
      <c r="A1679" s="17"/>
      <c r="B1679" s="13"/>
      <c r="C1679" s="20" t="str">
        <f aca="false">IF($B1679="","",IFERROR(INDEX(고객사!$B$5:$B$104,MATCH($B1679,고객사!$A$5:$A$104,0)),"코드 확인"))</f>
        <v/>
      </c>
      <c r="D1679" s="15"/>
      <c r="E1679" s="15"/>
      <c r="F1679" s="16"/>
      <c r="G1679" s="16"/>
      <c r="H1679" s="21" t="str">
        <f aca="false">IF(OR($B1679="",F1679=0),"",G1679/F1679)</f>
        <v/>
      </c>
      <c r="I1679" s="22" t="str">
        <f aca="false">IF($B1679="","",MAX(F1679-G1679,0))</f>
        <v/>
      </c>
      <c r="J1679" s="23" t="str">
        <f aca="false">IF($B1679="","",IFERROR(INDEX(고객사!$G$5:$G$104,MATCH($B1679,고객사!$A$5:$A$104,0)),""))</f>
        <v/>
      </c>
      <c r="K1679" s="16"/>
      <c r="L1679" s="22" t="str">
        <f aca="false">IF($B1679="","",K1679*IFERROR(INDEX(고객사!$L$5:$L$104,MATCH($B1679,고객사!$A$5:$A$104,0)),0))</f>
        <v/>
      </c>
      <c r="M1679" s="23" t="str">
        <f aca="false">IF($B1679="","",IF(AND(J1679="N",G1679&gt;0,K1679=0,IFERROR(INDEX(고객사!$H$5:$H$104,MATCH($B1679,고객사!$A$5:$A$104,0)),"")="자사 차량 운행"),"차량 미배정",""))</f>
        <v/>
      </c>
      <c r="N1679" s="22" t="str">
        <f aca="false">IF($B1679="","",IFERROR(INDEX(고객사!$J$5:$J$104,MATCH($B1679,고객사!$A$5:$A$104,0)),0))</f>
        <v/>
      </c>
      <c r="O1679" s="22" t="str">
        <f aca="false">IF($B1679="","",G1679*N1679)</f>
        <v/>
      </c>
      <c r="P1679" s="22" t="str">
        <f aca="false">IF($B1679="","",IFERROR(INDEX(고객사!$K$5:$K$104,MATCH($B1679,고객사!$A$5:$A$104,0)),0))</f>
        <v/>
      </c>
      <c r="Q1679" s="22" t="str">
        <f aca="false">IF($B1679="","",G1679*P1679)</f>
        <v/>
      </c>
      <c r="R1679" s="22" t="str">
        <f aca="false">IF($B1679="","",O1679-Q1679-L1679)</f>
        <v/>
      </c>
      <c r="S1679" s="21" t="str">
        <f aca="false">IF(OR($B1679="",N(O1679)=0),"",R1679/O1679)</f>
        <v/>
      </c>
      <c r="T1679" s="14"/>
      <c r="U1679" s="19" t="n">
        <f aca="false">IF(OR($B1679="",$A1679=""),0,IF(COUNTIFS($A$5:$A1679,$A1679,$B$5:$B1679,$B1679)=1,1,0))</f>
        <v>0</v>
      </c>
    </row>
    <row r="1680" customFormat="false" ht="15" hidden="false" customHeight="false" outlineLevel="0" collapsed="false">
      <c r="A1680" s="17"/>
      <c r="B1680" s="13"/>
      <c r="C1680" s="20" t="str">
        <f aca="false">IF($B1680="","",IFERROR(INDEX(고객사!$B$5:$B$104,MATCH($B1680,고객사!$A$5:$A$104,0)),"코드 확인"))</f>
        <v/>
      </c>
      <c r="D1680" s="15"/>
      <c r="E1680" s="15"/>
      <c r="F1680" s="16"/>
      <c r="G1680" s="16"/>
      <c r="H1680" s="21" t="str">
        <f aca="false">IF(OR($B1680="",F1680=0),"",G1680/F1680)</f>
        <v/>
      </c>
      <c r="I1680" s="22" t="str">
        <f aca="false">IF($B1680="","",MAX(F1680-G1680,0))</f>
        <v/>
      </c>
      <c r="J1680" s="23" t="str">
        <f aca="false">IF($B1680="","",IFERROR(INDEX(고객사!$G$5:$G$104,MATCH($B1680,고객사!$A$5:$A$104,0)),""))</f>
        <v/>
      </c>
      <c r="K1680" s="16"/>
      <c r="L1680" s="22" t="str">
        <f aca="false">IF($B1680="","",K1680*IFERROR(INDEX(고객사!$L$5:$L$104,MATCH($B1680,고객사!$A$5:$A$104,0)),0))</f>
        <v/>
      </c>
      <c r="M1680" s="23" t="str">
        <f aca="false">IF($B1680="","",IF(AND(J1680="N",G1680&gt;0,K1680=0,IFERROR(INDEX(고객사!$H$5:$H$104,MATCH($B1680,고객사!$A$5:$A$104,0)),"")="자사 차량 운행"),"차량 미배정",""))</f>
        <v/>
      </c>
      <c r="N1680" s="22" t="str">
        <f aca="false">IF($B1680="","",IFERROR(INDEX(고객사!$J$5:$J$104,MATCH($B1680,고객사!$A$5:$A$104,0)),0))</f>
        <v/>
      </c>
      <c r="O1680" s="22" t="str">
        <f aca="false">IF($B1680="","",G1680*N1680)</f>
        <v/>
      </c>
      <c r="P1680" s="22" t="str">
        <f aca="false">IF($B1680="","",IFERROR(INDEX(고객사!$K$5:$K$104,MATCH($B1680,고객사!$A$5:$A$104,0)),0))</f>
        <v/>
      </c>
      <c r="Q1680" s="22" t="str">
        <f aca="false">IF($B1680="","",G1680*P1680)</f>
        <v/>
      </c>
      <c r="R1680" s="22" t="str">
        <f aca="false">IF($B1680="","",O1680-Q1680-L1680)</f>
        <v/>
      </c>
      <c r="S1680" s="21" t="str">
        <f aca="false">IF(OR($B1680="",N(O1680)=0),"",R1680/O1680)</f>
        <v/>
      </c>
      <c r="T1680" s="14"/>
      <c r="U1680" s="19" t="n">
        <f aca="false">IF(OR($B1680="",$A1680=""),0,IF(COUNTIFS($A$5:$A1680,$A1680,$B$5:$B1680,$B1680)=1,1,0))</f>
        <v>0</v>
      </c>
    </row>
    <row r="1681" customFormat="false" ht="15" hidden="false" customHeight="false" outlineLevel="0" collapsed="false">
      <c r="A1681" s="17"/>
      <c r="B1681" s="13"/>
      <c r="C1681" s="20" t="str">
        <f aca="false">IF($B1681="","",IFERROR(INDEX(고객사!$B$5:$B$104,MATCH($B1681,고객사!$A$5:$A$104,0)),"코드 확인"))</f>
        <v/>
      </c>
      <c r="D1681" s="15"/>
      <c r="E1681" s="15"/>
      <c r="F1681" s="16"/>
      <c r="G1681" s="16"/>
      <c r="H1681" s="21" t="str">
        <f aca="false">IF(OR($B1681="",F1681=0),"",G1681/F1681)</f>
        <v/>
      </c>
      <c r="I1681" s="22" t="str">
        <f aca="false">IF($B1681="","",MAX(F1681-G1681,0))</f>
        <v/>
      </c>
      <c r="J1681" s="23" t="str">
        <f aca="false">IF($B1681="","",IFERROR(INDEX(고객사!$G$5:$G$104,MATCH($B1681,고객사!$A$5:$A$104,0)),""))</f>
        <v/>
      </c>
      <c r="K1681" s="16"/>
      <c r="L1681" s="22" t="str">
        <f aca="false">IF($B1681="","",K1681*IFERROR(INDEX(고객사!$L$5:$L$104,MATCH($B1681,고객사!$A$5:$A$104,0)),0))</f>
        <v/>
      </c>
      <c r="M1681" s="23" t="str">
        <f aca="false">IF($B1681="","",IF(AND(J1681="N",G1681&gt;0,K1681=0,IFERROR(INDEX(고객사!$H$5:$H$104,MATCH($B1681,고객사!$A$5:$A$104,0)),"")="자사 차량 운행"),"차량 미배정",""))</f>
        <v/>
      </c>
      <c r="N1681" s="22" t="str">
        <f aca="false">IF($B1681="","",IFERROR(INDEX(고객사!$J$5:$J$104,MATCH($B1681,고객사!$A$5:$A$104,0)),0))</f>
        <v/>
      </c>
      <c r="O1681" s="22" t="str">
        <f aca="false">IF($B1681="","",G1681*N1681)</f>
        <v/>
      </c>
      <c r="P1681" s="22" t="str">
        <f aca="false">IF($B1681="","",IFERROR(INDEX(고객사!$K$5:$K$104,MATCH($B1681,고객사!$A$5:$A$104,0)),0))</f>
        <v/>
      </c>
      <c r="Q1681" s="22" t="str">
        <f aca="false">IF($B1681="","",G1681*P1681)</f>
        <v/>
      </c>
      <c r="R1681" s="22" t="str">
        <f aca="false">IF($B1681="","",O1681-Q1681-L1681)</f>
        <v/>
      </c>
      <c r="S1681" s="21" t="str">
        <f aca="false">IF(OR($B1681="",N(O1681)=0),"",R1681/O1681)</f>
        <v/>
      </c>
      <c r="T1681" s="14"/>
      <c r="U1681" s="19" t="n">
        <f aca="false">IF(OR($B1681="",$A1681=""),0,IF(COUNTIFS($A$5:$A1681,$A1681,$B$5:$B1681,$B1681)=1,1,0))</f>
        <v>0</v>
      </c>
    </row>
    <row r="1682" customFormat="false" ht="15" hidden="false" customHeight="false" outlineLevel="0" collapsed="false">
      <c r="A1682" s="17"/>
      <c r="B1682" s="13"/>
      <c r="C1682" s="20" t="str">
        <f aca="false">IF($B1682="","",IFERROR(INDEX(고객사!$B$5:$B$104,MATCH($B1682,고객사!$A$5:$A$104,0)),"코드 확인"))</f>
        <v/>
      </c>
      <c r="D1682" s="15"/>
      <c r="E1682" s="15"/>
      <c r="F1682" s="16"/>
      <c r="G1682" s="16"/>
      <c r="H1682" s="21" t="str">
        <f aca="false">IF(OR($B1682="",F1682=0),"",G1682/F1682)</f>
        <v/>
      </c>
      <c r="I1682" s="22" t="str">
        <f aca="false">IF($B1682="","",MAX(F1682-G1682,0))</f>
        <v/>
      </c>
      <c r="J1682" s="23" t="str">
        <f aca="false">IF($B1682="","",IFERROR(INDEX(고객사!$G$5:$G$104,MATCH($B1682,고객사!$A$5:$A$104,0)),""))</f>
        <v/>
      </c>
      <c r="K1682" s="16"/>
      <c r="L1682" s="22" t="str">
        <f aca="false">IF($B1682="","",K1682*IFERROR(INDEX(고객사!$L$5:$L$104,MATCH($B1682,고객사!$A$5:$A$104,0)),0))</f>
        <v/>
      </c>
      <c r="M1682" s="23" t="str">
        <f aca="false">IF($B1682="","",IF(AND(J1682="N",G1682&gt;0,K1682=0,IFERROR(INDEX(고객사!$H$5:$H$104,MATCH($B1682,고객사!$A$5:$A$104,0)),"")="자사 차량 운행"),"차량 미배정",""))</f>
        <v/>
      </c>
      <c r="N1682" s="22" t="str">
        <f aca="false">IF($B1682="","",IFERROR(INDEX(고객사!$J$5:$J$104,MATCH($B1682,고객사!$A$5:$A$104,0)),0))</f>
        <v/>
      </c>
      <c r="O1682" s="22" t="str">
        <f aca="false">IF($B1682="","",G1682*N1682)</f>
        <v/>
      </c>
      <c r="P1682" s="22" t="str">
        <f aca="false">IF($B1682="","",IFERROR(INDEX(고객사!$K$5:$K$104,MATCH($B1682,고객사!$A$5:$A$104,0)),0))</f>
        <v/>
      </c>
      <c r="Q1682" s="22" t="str">
        <f aca="false">IF($B1682="","",G1682*P1682)</f>
        <v/>
      </c>
      <c r="R1682" s="22" t="str">
        <f aca="false">IF($B1682="","",O1682-Q1682-L1682)</f>
        <v/>
      </c>
      <c r="S1682" s="21" t="str">
        <f aca="false">IF(OR($B1682="",N(O1682)=0),"",R1682/O1682)</f>
        <v/>
      </c>
      <c r="T1682" s="14"/>
      <c r="U1682" s="19" t="n">
        <f aca="false">IF(OR($B1682="",$A1682=""),0,IF(COUNTIFS($A$5:$A1682,$A1682,$B$5:$B1682,$B1682)=1,1,0))</f>
        <v>0</v>
      </c>
    </row>
    <row r="1683" customFormat="false" ht="15" hidden="false" customHeight="false" outlineLevel="0" collapsed="false">
      <c r="A1683" s="17"/>
      <c r="B1683" s="13"/>
      <c r="C1683" s="20" t="str">
        <f aca="false">IF($B1683="","",IFERROR(INDEX(고객사!$B$5:$B$104,MATCH($B1683,고객사!$A$5:$A$104,0)),"코드 확인"))</f>
        <v/>
      </c>
      <c r="D1683" s="15"/>
      <c r="E1683" s="15"/>
      <c r="F1683" s="16"/>
      <c r="G1683" s="16"/>
      <c r="H1683" s="21" t="str">
        <f aca="false">IF(OR($B1683="",F1683=0),"",G1683/F1683)</f>
        <v/>
      </c>
      <c r="I1683" s="22" t="str">
        <f aca="false">IF($B1683="","",MAX(F1683-G1683,0))</f>
        <v/>
      </c>
      <c r="J1683" s="23" t="str">
        <f aca="false">IF($B1683="","",IFERROR(INDEX(고객사!$G$5:$G$104,MATCH($B1683,고객사!$A$5:$A$104,0)),""))</f>
        <v/>
      </c>
      <c r="K1683" s="16"/>
      <c r="L1683" s="22" t="str">
        <f aca="false">IF($B1683="","",K1683*IFERROR(INDEX(고객사!$L$5:$L$104,MATCH($B1683,고객사!$A$5:$A$104,0)),0))</f>
        <v/>
      </c>
      <c r="M1683" s="23" t="str">
        <f aca="false">IF($B1683="","",IF(AND(J1683="N",G1683&gt;0,K1683=0,IFERROR(INDEX(고객사!$H$5:$H$104,MATCH($B1683,고객사!$A$5:$A$104,0)),"")="자사 차량 운행"),"차량 미배정",""))</f>
        <v/>
      </c>
      <c r="N1683" s="22" t="str">
        <f aca="false">IF($B1683="","",IFERROR(INDEX(고객사!$J$5:$J$104,MATCH($B1683,고객사!$A$5:$A$104,0)),0))</f>
        <v/>
      </c>
      <c r="O1683" s="22" t="str">
        <f aca="false">IF($B1683="","",G1683*N1683)</f>
        <v/>
      </c>
      <c r="P1683" s="22" t="str">
        <f aca="false">IF($B1683="","",IFERROR(INDEX(고객사!$K$5:$K$104,MATCH($B1683,고객사!$A$5:$A$104,0)),0))</f>
        <v/>
      </c>
      <c r="Q1683" s="22" t="str">
        <f aca="false">IF($B1683="","",G1683*P1683)</f>
        <v/>
      </c>
      <c r="R1683" s="22" t="str">
        <f aca="false">IF($B1683="","",O1683-Q1683-L1683)</f>
        <v/>
      </c>
      <c r="S1683" s="21" t="str">
        <f aca="false">IF(OR($B1683="",N(O1683)=0),"",R1683/O1683)</f>
        <v/>
      </c>
      <c r="T1683" s="14"/>
      <c r="U1683" s="19" t="n">
        <f aca="false">IF(OR($B1683="",$A1683=""),0,IF(COUNTIFS($A$5:$A1683,$A1683,$B$5:$B1683,$B1683)=1,1,0))</f>
        <v>0</v>
      </c>
    </row>
    <row r="1684" customFormat="false" ht="15" hidden="false" customHeight="false" outlineLevel="0" collapsed="false">
      <c r="A1684" s="17"/>
      <c r="B1684" s="13"/>
      <c r="C1684" s="20" t="str">
        <f aca="false">IF($B1684="","",IFERROR(INDEX(고객사!$B$5:$B$104,MATCH($B1684,고객사!$A$5:$A$104,0)),"코드 확인"))</f>
        <v/>
      </c>
      <c r="D1684" s="15"/>
      <c r="E1684" s="15"/>
      <c r="F1684" s="16"/>
      <c r="G1684" s="16"/>
      <c r="H1684" s="21" t="str">
        <f aca="false">IF(OR($B1684="",F1684=0),"",G1684/F1684)</f>
        <v/>
      </c>
      <c r="I1684" s="22" t="str">
        <f aca="false">IF($B1684="","",MAX(F1684-G1684,0))</f>
        <v/>
      </c>
      <c r="J1684" s="23" t="str">
        <f aca="false">IF($B1684="","",IFERROR(INDEX(고객사!$G$5:$G$104,MATCH($B1684,고객사!$A$5:$A$104,0)),""))</f>
        <v/>
      </c>
      <c r="K1684" s="16"/>
      <c r="L1684" s="22" t="str">
        <f aca="false">IF($B1684="","",K1684*IFERROR(INDEX(고객사!$L$5:$L$104,MATCH($B1684,고객사!$A$5:$A$104,0)),0))</f>
        <v/>
      </c>
      <c r="M1684" s="23" t="str">
        <f aca="false">IF($B1684="","",IF(AND(J1684="N",G1684&gt;0,K1684=0,IFERROR(INDEX(고객사!$H$5:$H$104,MATCH($B1684,고객사!$A$5:$A$104,0)),"")="자사 차량 운행"),"차량 미배정",""))</f>
        <v/>
      </c>
      <c r="N1684" s="22" t="str">
        <f aca="false">IF($B1684="","",IFERROR(INDEX(고객사!$J$5:$J$104,MATCH($B1684,고객사!$A$5:$A$104,0)),0))</f>
        <v/>
      </c>
      <c r="O1684" s="22" t="str">
        <f aca="false">IF($B1684="","",G1684*N1684)</f>
        <v/>
      </c>
      <c r="P1684" s="22" t="str">
        <f aca="false">IF($B1684="","",IFERROR(INDEX(고객사!$K$5:$K$104,MATCH($B1684,고객사!$A$5:$A$104,0)),0))</f>
        <v/>
      </c>
      <c r="Q1684" s="22" t="str">
        <f aca="false">IF($B1684="","",G1684*P1684)</f>
        <v/>
      </c>
      <c r="R1684" s="22" t="str">
        <f aca="false">IF($B1684="","",O1684-Q1684-L1684)</f>
        <v/>
      </c>
      <c r="S1684" s="21" t="str">
        <f aca="false">IF(OR($B1684="",N(O1684)=0),"",R1684/O1684)</f>
        <v/>
      </c>
      <c r="T1684" s="14"/>
      <c r="U1684" s="19" t="n">
        <f aca="false">IF(OR($B1684="",$A1684=""),0,IF(COUNTIFS($A$5:$A1684,$A1684,$B$5:$B1684,$B1684)=1,1,0))</f>
        <v>0</v>
      </c>
    </row>
    <row r="1685" customFormat="false" ht="15" hidden="false" customHeight="false" outlineLevel="0" collapsed="false">
      <c r="A1685" s="17"/>
      <c r="B1685" s="13"/>
      <c r="C1685" s="20" t="str">
        <f aca="false">IF($B1685="","",IFERROR(INDEX(고객사!$B$5:$B$104,MATCH($B1685,고객사!$A$5:$A$104,0)),"코드 확인"))</f>
        <v/>
      </c>
      <c r="D1685" s="15"/>
      <c r="E1685" s="15"/>
      <c r="F1685" s="16"/>
      <c r="G1685" s="16"/>
      <c r="H1685" s="21" t="str">
        <f aca="false">IF(OR($B1685="",F1685=0),"",G1685/F1685)</f>
        <v/>
      </c>
      <c r="I1685" s="22" t="str">
        <f aca="false">IF($B1685="","",MAX(F1685-G1685,0))</f>
        <v/>
      </c>
      <c r="J1685" s="23" t="str">
        <f aca="false">IF($B1685="","",IFERROR(INDEX(고객사!$G$5:$G$104,MATCH($B1685,고객사!$A$5:$A$104,0)),""))</f>
        <v/>
      </c>
      <c r="K1685" s="16"/>
      <c r="L1685" s="22" t="str">
        <f aca="false">IF($B1685="","",K1685*IFERROR(INDEX(고객사!$L$5:$L$104,MATCH($B1685,고객사!$A$5:$A$104,0)),0))</f>
        <v/>
      </c>
      <c r="M1685" s="23" t="str">
        <f aca="false">IF($B1685="","",IF(AND(J1685="N",G1685&gt;0,K1685=0,IFERROR(INDEX(고객사!$H$5:$H$104,MATCH($B1685,고객사!$A$5:$A$104,0)),"")="자사 차량 운행"),"차량 미배정",""))</f>
        <v/>
      </c>
      <c r="N1685" s="22" t="str">
        <f aca="false">IF($B1685="","",IFERROR(INDEX(고객사!$J$5:$J$104,MATCH($B1685,고객사!$A$5:$A$104,0)),0))</f>
        <v/>
      </c>
      <c r="O1685" s="22" t="str">
        <f aca="false">IF($B1685="","",G1685*N1685)</f>
        <v/>
      </c>
      <c r="P1685" s="22" t="str">
        <f aca="false">IF($B1685="","",IFERROR(INDEX(고객사!$K$5:$K$104,MATCH($B1685,고객사!$A$5:$A$104,0)),0))</f>
        <v/>
      </c>
      <c r="Q1685" s="22" t="str">
        <f aca="false">IF($B1685="","",G1685*P1685)</f>
        <v/>
      </c>
      <c r="R1685" s="22" t="str">
        <f aca="false">IF($B1685="","",O1685-Q1685-L1685)</f>
        <v/>
      </c>
      <c r="S1685" s="21" t="str">
        <f aca="false">IF(OR($B1685="",N(O1685)=0),"",R1685/O1685)</f>
        <v/>
      </c>
      <c r="T1685" s="14"/>
      <c r="U1685" s="19" t="n">
        <f aca="false">IF(OR($B1685="",$A1685=""),0,IF(COUNTIFS($A$5:$A1685,$A1685,$B$5:$B1685,$B1685)=1,1,0))</f>
        <v>0</v>
      </c>
    </row>
    <row r="1686" customFormat="false" ht="15" hidden="false" customHeight="false" outlineLevel="0" collapsed="false">
      <c r="A1686" s="17"/>
      <c r="B1686" s="13"/>
      <c r="C1686" s="20" t="str">
        <f aca="false">IF($B1686="","",IFERROR(INDEX(고객사!$B$5:$B$104,MATCH($B1686,고객사!$A$5:$A$104,0)),"코드 확인"))</f>
        <v/>
      </c>
      <c r="D1686" s="15"/>
      <c r="E1686" s="15"/>
      <c r="F1686" s="16"/>
      <c r="G1686" s="16"/>
      <c r="H1686" s="21" t="str">
        <f aca="false">IF(OR($B1686="",F1686=0),"",G1686/F1686)</f>
        <v/>
      </c>
      <c r="I1686" s="22" t="str">
        <f aca="false">IF($B1686="","",MAX(F1686-G1686,0))</f>
        <v/>
      </c>
      <c r="J1686" s="23" t="str">
        <f aca="false">IF($B1686="","",IFERROR(INDEX(고객사!$G$5:$G$104,MATCH($B1686,고객사!$A$5:$A$104,0)),""))</f>
        <v/>
      </c>
      <c r="K1686" s="16"/>
      <c r="L1686" s="22" t="str">
        <f aca="false">IF($B1686="","",K1686*IFERROR(INDEX(고객사!$L$5:$L$104,MATCH($B1686,고객사!$A$5:$A$104,0)),0))</f>
        <v/>
      </c>
      <c r="M1686" s="23" t="str">
        <f aca="false">IF($B1686="","",IF(AND(J1686="N",G1686&gt;0,K1686=0,IFERROR(INDEX(고객사!$H$5:$H$104,MATCH($B1686,고객사!$A$5:$A$104,0)),"")="자사 차량 운행"),"차량 미배정",""))</f>
        <v/>
      </c>
      <c r="N1686" s="22" t="str">
        <f aca="false">IF($B1686="","",IFERROR(INDEX(고객사!$J$5:$J$104,MATCH($B1686,고객사!$A$5:$A$104,0)),0))</f>
        <v/>
      </c>
      <c r="O1686" s="22" t="str">
        <f aca="false">IF($B1686="","",G1686*N1686)</f>
        <v/>
      </c>
      <c r="P1686" s="22" t="str">
        <f aca="false">IF($B1686="","",IFERROR(INDEX(고객사!$K$5:$K$104,MATCH($B1686,고객사!$A$5:$A$104,0)),0))</f>
        <v/>
      </c>
      <c r="Q1686" s="22" t="str">
        <f aca="false">IF($B1686="","",G1686*P1686)</f>
        <v/>
      </c>
      <c r="R1686" s="22" t="str">
        <f aca="false">IF($B1686="","",O1686-Q1686-L1686)</f>
        <v/>
      </c>
      <c r="S1686" s="21" t="str">
        <f aca="false">IF(OR($B1686="",N(O1686)=0),"",R1686/O1686)</f>
        <v/>
      </c>
      <c r="T1686" s="14"/>
      <c r="U1686" s="19" t="n">
        <f aca="false">IF(OR($B1686="",$A1686=""),0,IF(COUNTIFS($A$5:$A1686,$A1686,$B$5:$B1686,$B1686)=1,1,0))</f>
        <v>0</v>
      </c>
    </row>
    <row r="1687" customFormat="false" ht="15" hidden="false" customHeight="false" outlineLevel="0" collapsed="false">
      <c r="A1687" s="17"/>
      <c r="B1687" s="13"/>
      <c r="C1687" s="20" t="str">
        <f aca="false">IF($B1687="","",IFERROR(INDEX(고객사!$B$5:$B$104,MATCH($B1687,고객사!$A$5:$A$104,0)),"코드 확인"))</f>
        <v/>
      </c>
      <c r="D1687" s="15"/>
      <c r="E1687" s="15"/>
      <c r="F1687" s="16"/>
      <c r="G1687" s="16"/>
      <c r="H1687" s="21" t="str">
        <f aca="false">IF(OR($B1687="",F1687=0),"",G1687/F1687)</f>
        <v/>
      </c>
      <c r="I1687" s="22" t="str">
        <f aca="false">IF($B1687="","",MAX(F1687-G1687,0))</f>
        <v/>
      </c>
      <c r="J1687" s="23" t="str">
        <f aca="false">IF($B1687="","",IFERROR(INDEX(고객사!$G$5:$G$104,MATCH($B1687,고객사!$A$5:$A$104,0)),""))</f>
        <v/>
      </c>
      <c r="K1687" s="16"/>
      <c r="L1687" s="22" t="str">
        <f aca="false">IF($B1687="","",K1687*IFERROR(INDEX(고객사!$L$5:$L$104,MATCH($B1687,고객사!$A$5:$A$104,0)),0))</f>
        <v/>
      </c>
      <c r="M1687" s="23" t="str">
        <f aca="false">IF($B1687="","",IF(AND(J1687="N",G1687&gt;0,K1687=0,IFERROR(INDEX(고객사!$H$5:$H$104,MATCH($B1687,고객사!$A$5:$A$104,0)),"")="자사 차량 운행"),"차량 미배정",""))</f>
        <v/>
      </c>
      <c r="N1687" s="22" t="str">
        <f aca="false">IF($B1687="","",IFERROR(INDEX(고객사!$J$5:$J$104,MATCH($B1687,고객사!$A$5:$A$104,0)),0))</f>
        <v/>
      </c>
      <c r="O1687" s="22" t="str">
        <f aca="false">IF($B1687="","",G1687*N1687)</f>
        <v/>
      </c>
      <c r="P1687" s="22" t="str">
        <f aca="false">IF($B1687="","",IFERROR(INDEX(고객사!$K$5:$K$104,MATCH($B1687,고객사!$A$5:$A$104,0)),0))</f>
        <v/>
      </c>
      <c r="Q1687" s="22" t="str">
        <f aca="false">IF($B1687="","",G1687*P1687)</f>
        <v/>
      </c>
      <c r="R1687" s="22" t="str">
        <f aca="false">IF($B1687="","",O1687-Q1687-L1687)</f>
        <v/>
      </c>
      <c r="S1687" s="21" t="str">
        <f aca="false">IF(OR($B1687="",N(O1687)=0),"",R1687/O1687)</f>
        <v/>
      </c>
      <c r="T1687" s="14"/>
      <c r="U1687" s="19" t="n">
        <f aca="false">IF(OR($B1687="",$A1687=""),0,IF(COUNTIFS($A$5:$A1687,$A1687,$B$5:$B1687,$B1687)=1,1,0))</f>
        <v>0</v>
      </c>
    </row>
    <row r="1688" customFormat="false" ht="15" hidden="false" customHeight="false" outlineLevel="0" collapsed="false">
      <c r="A1688" s="17"/>
      <c r="B1688" s="13"/>
      <c r="C1688" s="20" t="str">
        <f aca="false">IF($B1688="","",IFERROR(INDEX(고객사!$B$5:$B$104,MATCH($B1688,고객사!$A$5:$A$104,0)),"코드 확인"))</f>
        <v/>
      </c>
      <c r="D1688" s="15"/>
      <c r="E1688" s="15"/>
      <c r="F1688" s="16"/>
      <c r="G1688" s="16"/>
      <c r="H1688" s="21" t="str">
        <f aca="false">IF(OR($B1688="",F1688=0),"",G1688/F1688)</f>
        <v/>
      </c>
      <c r="I1688" s="22" t="str">
        <f aca="false">IF($B1688="","",MAX(F1688-G1688,0))</f>
        <v/>
      </c>
      <c r="J1688" s="23" t="str">
        <f aca="false">IF($B1688="","",IFERROR(INDEX(고객사!$G$5:$G$104,MATCH($B1688,고객사!$A$5:$A$104,0)),""))</f>
        <v/>
      </c>
      <c r="K1688" s="16"/>
      <c r="L1688" s="22" t="str">
        <f aca="false">IF($B1688="","",K1688*IFERROR(INDEX(고객사!$L$5:$L$104,MATCH($B1688,고객사!$A$5:$A$104,0)),0))</f>
        <v/>
      </c>
      <c r="M1688" s="23" t="str">
        <f aca="false">IF($B1688="","",IF(AND(J1688="N",G1688&gt;0,K1688=0,IFERROR(INDEX(고객사!$H$5:$H$104,MATCH($B1688,고객사!$A$5:$A$104,0)),"")="자사 차량 운행"),"차량 미배정",""))</f>
        <v/>
      </c>
      <c r="N1688" s="22" t="str">
        <f aca="false">IF($B1688="","",IFERROR(INDEX(고객사!$J$5:$J$104,MATCH($B1688,고객사!$A$5:$A$104,0)),0))</f>
        <v/>
      </c>
      <c r="O1688" s="22" t="str">
        <f aca="false">IF($B1688="","",G1688*N1688)</f>
        <v/>
      </c>
      <c r="P1688" s="22" t="str">
        <f aca="false">IF($B1688="","",IFERROR(INDEX(고객사!$K$5:$K$104,MATCH($B1688,고객사!$A$5:$A$104,0)),0))</f>
        <v/>
      </c>
      <c r="Q1688" s="22" t="str">
        <f aca="false">IF($B1688="","",G1688*P1688)</f>
        <v/>
      </c>
      <c r="R1688" s="22" t="str">
        <f aca="false">IF($B1688="","",O1688-Q1688-L1688)</f>
        <v/>
      </c>
      <c r="S1688" s="21" t="str">
        <f aca="false">IF(OR($B1688="",N(O1688)=0),"",R1688/O1688)</f>
        <v/>
      </c>
      <c r="T1688" s="14"/>
      <c r="U1688" s="19" t="n">
        <f aca="false">IF(OR($B1688="",$A1688=""),0,IF(COUNTIFS($A$5:$A1688,$A1688,$B$5:$B1688,$B1688)=1,1,0))</f>
        <v>0</v>
      </c>
    </row>
    <row r="1689" customFormat="false" ht="15" hidden="false" customHeight="false" outlineLevel="0" collapsed="false">
      <c r="A1689" s="17"/>
      <c r="B1689" s="13"/>
      <c r="C1689" s="20" t="str">
        <f aca="false">IF($B1689="","",IFERROR(INDEX(고객사!$B$5:$B$104,MATCH($B1689,고객사!$A$5:$A$104,0)),"코드 확인"))</f>
        <v/>
      </c>
      <c r="D1689" s="15"/>
      <c r="E1689" s="15"/>
      <c r="F1689" s="16"/>
      <c r="G1689" s="16"/>
      <c r="H1689" s="21" t="str">
        <f aca="false">IF(OR($B1689="",F1689=0),"",G1689/F1689)</f>
        <v/>
      </c>
      <c r="I1689" s="22" t="str">
        <f aca="false">IF($B1689="","",MAX(F1689-G1689,0))</f>
        <v/>
      </c>
      <c r="J1689" s="23" t="str">
        <f aca="false">IF($B1689="","",IFERROR(INDEX(고객사!$G$5:$G$104,MATCH($B1689,고객사!$A$5:$A$104,0)),""))</f>
        <v/>
      </c>
      <c r="K1689" s="16"/>
      <c r="L1689" s="22" t="str">
        <f aca="false">IF($B1689="","",K1689*IFERROR(INDEX(고객사!$L$5:$L$104,MATCH($B1689,고객사!$A$5:$A$104,0)),0))</f>
        <v/>
      </c>
      <c r="M1689" s="23" t="str">
        <f aca="false">IF($B1689="","",IF(AND(J1689="N",G1689&gt;0,K1689=0,IFERROR(INDEX(고객사!$H$5:$H$104,MATCH($B1689,고객사!$A$5:$A$104,0)),"")="자사 차량 운행"),"차량 미배정",""))</f>
        <v/>
      </c>
      <c r="N1689" s="22" t="str">
        <f aca="false">IF($B1689="","",IFERROR(INDEX(고객사!$J$5:$J$104,MATCH($B1689,고객사!$A$5:$A$104,0)),0))</f>
        <v/>
      </c>
      <c r="O1689" s="22" t="str">
        <f aca="false">IF($B1689="","",G1689*N1689)</f>
        <v/>
      </c>
      <c r="P1689" s="22" t="str">
        <f aca="false">IF($B1689="","",IFERROR(INDEX(고객사!$K$5:$K$104,MATCH($B1689,고객사!$A$5:$A$104,0)),0))</f>
        <v/>
      </c>
      <c r="Q1689" s="22" t="str">
        <f aca="false">IF($B1689="","",G1689*P1689)</f>
        <v/>
      </c>
      <c r="R1689" s="22" t="str">
        <f aca="false">IF($B1689="","",O1689-Q1689-L1689)</f>
        <v/>
      </c>
      <c r="S1689" s="21" t="str">
        <f aca="false">IF(OR($B1689="",N(O1689)=0),"",R1689/O1689)</f>
        <v/>
      </c>
      <c r="T1689" s="14"/>
      <c r="U1689" s="19" t="n">
        <f aca="false">IF(OR($B1689="",$A1689=""),0,IF(COUNTIFS($A$5:$A1689,$A1689,$B$5:$B1689,$B1689)=1,1,0))</f>
        <v>0</v>
      </c>
    </row>
    <row r="1690" customFormat="false" ht="15" hidden="false" customHeight="false" outlineLevel="0" collapsed="false">
      <c r="A1690" s="17"/>
      <c r="B1690" s="13"/>
      <c r="C1690" s="20" t="str">
        <f aca="false">IF($B1690="","",IFERROR(INDEX(고객사!$B$5:$B$104,MATCH($B1690,고객사!$A$5:$A$104,0)),"코드 확인"))</f>
        <v/>
      </c>
      <c r="D1690" s="15"/>
      <c r="E1690" s="15"/>
      <c r="F1690" s="16"/>
      <c r="G1690" s="16"/>
      <c r="H1690" s="21" t="str">
        <f aca="false">IF(OR($B1690="",F1690=0),"",G1690/F1690)</f>
        <v/>
      </c>
      <c r="I1690" s="22" t="str">
        <f aca="false">IF($B1690="","",MAX(F1690-G1690,0))</f>
        <v/>
      </c>
      <c r="J1690" s="23" t="str">
        <f aca="false">IF($B1690="","",IFERROR(INDEX(고객사!$G$5:$G$104,MATCH($B1690,고객사!$A$5:$A$104,0)),""))</f>
        <v/>
      </c>
      <c r="K1690" s="16"/>
      <c r="L1690" s="22" t="str">
        <f aca="false">IF($B1690="","",K1690*IFERROR(INDEX(고객사!$L$5:$L$104,MATCH($B1690,고객사!$A$5:$A$104,0)),0))</f>
        <v/>
      </c>
      <c r="M1690" s="23" t="str">
        <f aca="false">IF($B1690="","",IF(AND(J1690="N",G1690&gt;0,K1690=0,IFERROR(INDEX(고객사!$H$5:$H$104,MATCH($B1690,고객사!$A$5:$A$104,0)),"")="자사 차량 운행"),"차량 미배정",""))</f>
        <v/>
      </c>
      <c r="N1690" s="22" t="str">
        <f aca="false">IF($B1690="","",IFERROR(INDEX(고객사!$J$5:$J$104,MATCH($B1690,고객사!$A$5:$A$104,0)),0))</f>
        <v/>
      </c>
      <c r="O1690" s="22" t="str">
        <f aca="false">IF($B1690="","",G1690*N1690)</f>
        <v/>
      </c>
      <c r="P1690" s="22" t="str">
        <f aca="false">IF($B1690="","",IFERROR(INDEX(고객사!$K$5:$K$104,MATCH($B1690,고객사!$A$5:$A$104,0)),0))</f>
        <v/>
      </c>
      <c r="Q1690" s="22" t="str">
        <f aca="false">IF($B1690="","",G1690*P1690)</f>
        <v/>
      </c>
      <c r="R1690" s="22" t="str">
        <f aca="false">IF($B1690="","",O1690-Q1690-L1690)</f>
        <v/>
      </c>
      <c r="S1690" s="21" t="str">
        <f aca="false">IF(OR($B1690="",N(O1690)=0),"",R1690/O1690)</f>
        <v/>
      </c>
      <c r="T1690" s="14"/>
      <c r="U1690" s="19" t="n">
        <f aca="false">IF(OR($B1690="",$A1690=""),0,IF(COUNTIFS($A$5:$A1690,$A1690,$B$5:$B1690,$B1690)=1,1,0))</f>
        <v>0</v>
      </c>
    </row>
    <row r="1691" customFormat="false" ht="15" hidden="false" customHeight="false" outlineLevel="0" collapsed="false">
      <c r="A1691" s="17"/>
      <c r="B1691" s="13"/>
      <c r="C1691" s="20" t="str">
        <f aca="false">IF($B1691="","",IFERROR(INDEX(고객사!$B$5:$B$104,MATCH($B1691,고객사!$A$5:$A$104,0)),"코드 확인"))</f>
        <v/>
      </c>
      <c r="D1691" s="15"/>
      <c r="E1691" s="15"/>
      <c r="F1691" s="16"/>
      <c r="G1691" s="16"/>
      <c r="H1691" s="21" t="str">
        <f aca="false">IF(OR($B1691="",F1691=0),"",G1691/F1691)</f>
        <v/>
      </c>
      <c r="I1691" s="22" t="str">
        <f aca="false">IF($B1691="","",MAX(F1691-G1691,0))</f>
        <v/>
      </c>
      <c r="J1691" s="23" t="str">
        <f aca="false">IF($B1691="","",IFERROR(INDEX(고객사!$G$5:$G$104,MATCH($B1691,고객사!$A$5:$A$104,0)),""))</f>
        <v/>
      </c>
      <c r="K1691" s="16"/>
      <c r="L1691" s="22" t="str">
        <f aca="false">IF($B1691="","",K1691*IFERROR(INDEX(고객사!$L$5:$L$104,MATCH($B1691,고객사!$A$5:$A$104,0)),0))</f>
        <v/>
      </c>
      <c r="M1691" s="23" t="str">
        <f aca="false">IF($B1691="","",IF(AND(J1691="N",G1691&gt;0,K1691=0,IFERROR(INDEX(고객사!$H$5:$H$104,MATCH($B1691,고객사!$A$5:$A$104,0)),"")="자사 차량 운행"),"차량 미배정",""))</f>
        <v/>
      </c>
      <c r="N1691" s="22" t="str">
        <f aca="false">IF($B1691="","",IFERROR(INDEX(고객사!$J$5:$J$104,MATCH($B1691,고객사!$A$5:$A$104,0)),0))</f>
        <v/>
      </c>
      <c r="O1691" s="22" t="str">
        <f aca="false">IF($B1691="","",G1691*N1691)</f>
        <v/>
      </c>
      <c r="P1691" s="22" t="str">
        <f aca="false">IF($B1691="","",IFERROR(INDEX(고객사!$K$5:$K$104,MATCH($B1691,고객사!$A$5:$A$104,0)),0))</f>
        <v/>
      </c>
      <c r="Q1691" s="22" t="str">
        <f aca="false">IF($B1691="","",G1691*P1691)</f>
        <v/>
      </c>
      <c r="R1691" s="22" t="str">
        <f aca="false">IF($B1691="","",O1691-Q1691-L1691)</f>
        <v/>
      </c>
      <c r="S1691" s="21" t="str">
        <f aca="false">IF(OR($B1691="",N(O1691)=0),"",R1691/O1691)</f>
        <v/>
      </c>
      <c r="T1691" s="14"/>
      <c r="U1691" s="19" t="n">
        <f aca="false">IF(OR($B1691="",$A1691=""),0,IF(COUNTIFS($A$5:$A1691,$A1691,$B$5:$B1691,$B1691)=1,1,0))</f>
        <v>0</v>
      </c>
    </row>
    <row r="1692" customFormat="false" ht="15" hidden="false" customHeight="false" outlineLevel="0" collapsed="false">
      <c r="A1692" s="17"/>
      <c r="B1692" s="13"/>
      <c r="C1692" s="20" t="str">
        <f aca="false">IF($B1692="","",IFERROR(INDEX(고객사!$B$5:$B$104,MATCH($B1692,고객사!$A$5:$A$104,0)),"코드 확인"))</f>
        <v/>
      </c>
      <c r="D1692" s="15"/>
      <c r="E1692" s="15"/>
      <c r="F1692" s="16"/>
      <c r="G1692" s="16"/>
      <c r="H1692" s="21" t="str">
        <f aca="false">IF(OR($B1692="",F1692=0),"",G1692/F1692)</f>
        <v/>
      </c>
      <c r="I1692" s="22" t="str">
        <f aca="false">IF($B1692="","",MAX(F1692-G1692,0))</f>
        <v/>
      </c>
      <c r="J1692" s="23" t="str">
        <f aca="false">IF($B1692="","",IFERROR(INDEX(고객사!$G$5:$G$104,MATCH($B1692,고객사!$A$5:$A$104,0)),""))</f>
        <v/>
      </c>
      <c r="K1692" s="16"/>
      <c r="L1692" s="22" t="str">
        <f aca="false">IF($B1692="","",K1692*IFERROR(INDEX(고객사!$L$5:$L$104,MATCH($B1692,고객사!$A$5:$A$104,0)),0))</f>
        <v/>
      </c>
      <c r="M1692" s="23" t="str">
        <f aca="false">IF($B1692="","",IF(AND(J1692="N",G1692&gt;0,K1692=0,IFERROR(INDEX(고객사!$H$5:$H$104,MATCH($B1692,고객사!$A$5:$A$104,0)),"")="자사 차량 운행"),"차량 미배정",""))</f>
        <v/>
      </c>
      <c r="N1692" s="22" t="str">
        <f aca="false">IF($B1692="","",IFERROR(INDEX(고객사!$J$5:$J$104,MATCH($B1692,고객사!$A$5:$A$104,0)),0))</f>
        <v/>
      </c>
      <c r="O1692" s="22" t="str">
        <f aca="false">IF($B1692="","",G1692*N1692)</f>
        <v/>
      </c>
      <c r="P1692" s="22" t="str">
        <f aca="false">IF($B1692="","",IFERROR(INDEX(고객사!$K$5:$K$104,MATCH($B1692,고객사!$A$5:$A$104,0)),0))</f>
        <v/>
      </c>
      <c r="Q1692" s="22" t="str">
        <f aca="false">IF($B1692="","",G1692*P1692)</f>
        <v/>
      </c>
      <c r="R1692" s="22" t="str">
        <f aca="false">IF($B1692="","",O1692-Q1692-L1692)</f>
        <v/>
      </c>
      <c r="S1692" s="21" t="str">
        <f aca="false">IF(OR($B1692="",N(O1692)=0),"",R1692/O1692)</f>
        <v/>
      </c>
      <c r="T1692" s="14"/>
      <c r="U1692" s="19" t="n">
        <f aca="false">IF(OR($B1692="",$A1692=""),0,IF(COUNTIFS($A$5:$A1692,$A1692,$B$5:$B1692,$B1692)=1,1,0))</f>
        <v>0</v>
      </c>
    </row>
    <row r="1693" customFormat="false" ht="15" hidden="false" customHeight="false" outlineLevel="0" collapsed="false">
      <c r="A1693" s="17"/>
      <c r="B1693" s="13"/>
      <c r="C1693" s="20" t="str">
        <f aca="false">IF($B1693="","",IFERROR(INDEX(고객사!$B$5:$B$104,MATCH($B1693,고객사!$A$5:$A$104,0)),"코드 확인"))</f>
        <v/>
      </c>
      <c r="D1693" s="15"/>
      <c r="E1693" s="15"/>
      <c r="F1693" s="16"/>
      <c r="G1693" s="16"/>
      <c r="H1693" s="21" t="str">
        <f aca="false">IF(OR($B1693="",F1693=0),"",G1693/F1693)</f>
        <v/>
      </c>
      <c r="I1693" s="22" t="str">
        <f aca="false">IF($B1693="","",MAX(F1693-G1693,0))</f>
        <v/>
      </c>
      <c r="J1693" s="23" t="str">
        <f aca="false">IF($B1693="","",IFERROR(INDEX(고객사!$G$5:$G$104,MATCH($B1693,고객사!$A$5:$A$104,0)),""))</f>
        <v/>
      </c>
      <c r="K1693" s="16"/>
      <c r="L1693" s="22" t="str">
        <f aca="false">IF($B1693="","",K1693*IFERROR(INDEX(고객사!$L$5:$L$104,MATCH($B1693,고객사!$A$5:$A$104,0)),0))</f>
        <v/>
      </c>
      <c r="M1693" s="23" t="str">
        <f aca="false">IF($B1693="","",IF(AND(J1693="N",G1693&gt;0,K1693=0,IFERROR(INDEX(고객사!$H$5:$H$104,MATCH($B1693,고객사!$A$5:$A$104,0)),"")="자사 차량 운행"),"차량 미배정",""))</f>
        <v/>
      </c>
      <c r="N1693" s="22" t="str">
        <f aca="false">IF($B1693="","",IFERROR(INDEX(고객사!$J$5:$J$104,MATCH($B1693,고객사!$A$5:$A$104,0)),0))</f>
        <v/>
      </c>
      <c r="O1693" s="22" t="str">
        <f aca="false">IF($B1693="","",G1693*N1693)</f>
        <v/>
      </c>
      <c r="P1693" s="22" t="str">
        <f aca="false">IF($B1693="","",IFERROR(INDEX(고객사!$K$5:$K$104,MATCH($B1693,고객사!$A$5:$A$104,0)),0))</f>
        <v/>
      </c>
      <c r="Q1693" s="22" t="str">
        <f aca="false">IF($B1693="","",G1693*P1693)</f>
        <v/>
      </c>
      <c r="R1693" s="22" t="str">
        <f aca="false">IF($B1693="","",O1693-Q1693-L1693)</f>
        <v/>
      </c>
      <c r="S1693" s="21" t="str">
        <f aca="false">IF(OR($B1693="",N(O1693)=0),"",R1693/O1693)</f>
        <v/>
      </c>
      <c r="T1693" s="14"/>
      <c r="U1693" s="19" t="n">
        <f aca="false">IF(OR($B1693="",$A1693=""),0,IF(COUNTIFS($A$5:$A1693,$A1693,$B$5:$B1693,$B1693)=1,1,0))</f>
        <v>0</v>
      </c>
    </row>
    <row r="1694" customFormat="false" ht="15" hidden="false" customHeight="false" outlineLevel="0" collapsed="false">
      <c r="A1694" s="17"/>
      <c r="B1694" s="13"/>
      <c r="C1694" s="20" t="str">
        <f aca="false">IF($B1694="","",IFERROR(INDEX(고객사!$B$5:$B$104,MATCH($B1694,고객사!$A$5:$A$104,0)),"코드 확인"))</f>
        <v/>
      </c>
      <c r="D1694" s="15"/>
      <c r="E1694" s="15"/>
      <c r="F1694" s="16"/>
      <c r="G1694" s="16"/>
      <c r="H1694" s="21" t="str">
        <f aca="false">IF(OR($B1694="",F1694=0),"",G1694/F1694)</f>
        <v/>
      </c>
      <c r="I1694" s="22" t="str">
        <f aca="false">IF($B1694="","",MAX(F1694-G1694,0))</f>
        <v/>
      </c>
      <c r="J1694" s="23" t="str">
        <f aca="false">IF($B1694="","",IFERROR(INDEX(고객사!$G$5:$G$104,MATCH($B1694,고객사!$A$5:$A$104,0)),""))</f>
        <v/>
      </c>
      <c r="K1694" s="16"/>
      <c r="L1694" s="22" t="str">
        <f aca="false">IF($B1694="","",K1694*IFERROR(INDEX(고객사!$L$5:$L$104,MATCH($B1694,고객사!$A$5:$A$104,0)),0))</f>
        <v/>
      </c>
      <c r="M1694" s="23" t="str">
        <f aca="false">IF($B1694="","",IF(AND(J1694="N",G1694&gt;0,K1694=0,IFERROR(INDEX(고객사!$H$5:$H$104,MATCH($B1694,고객사!$A$5:$A$104,0)),"")="자사 차량 운행"),"차량 미배정",""))</f>
        <v/>
      </c>
      <c r="N1694" s="22" t="str">
        <f aca="false">IF($B1694="","",IFERROR(INDEX(고객사!$J$5:$J$104,MATCH($B1694,고객사!$A$5:$A$104,0)),0))</f>
        <v/>
      </c>
      <c r="O1694" s="22" t="str">
        <f aca="false">IF($B1694="","",G1694*N1694)</f>
        <v/>
      </c>
      <c r="P1694" s="22" t="str">
        <f aca="false">IF($B1694="","",IFERROR(INDEX(고객사!$K$5:$K$104,MATCH($B1694,고객사!$A$5:$A$104,0)),0))</f>
        <v/>
      </c>
      <c r="Q1694" s="22" t="str">
        <f aca="false">IF($B1694="","",G1694*P1694)</f>
        <v/>
      </c>
      <c r="R1694" s="22" t="str">
        <f aca="false">IF($B1694="","",O1694-Q1694-L1694)</f>
        <v/>
      </c>
      <c r="S1694" s="21" t="str">
        <f aca="false">IF(OR($B1694="",N(O1694)=0),"",R1694/O1694)</f>
        <v/>
      </c>
      <c r="T1694" s="14"/>
      <c r="U1694" s="19" t="n">
        <f aca="false">IF(OR($B1694="",$A1694=""),0,IF(COUNTIFS($A$5:$A1694,$A1694,$B$5:$B1694,$B1694)=1,1,0))</f>
        <v>0</v>
      </c>
    </row>
    <row r="1695" customFormat="false" ht="15" hidden="false" customHeight="false" outlineLevel="0" collapsed="false">
      <c r="A1695" s="17"/>
      <c r="B1695" s="13"/>
      <c r="C1695" s="20" t="str">
        <f aca="false">IF($B1695="","",IFERROR(INDEX(고객사!$B$5:$B$104,MATCH($B1695,고객사!$A$5:$A$104,0)),"코드 확인"))</f>
        <v/>
      </c>
      <c r="D1695" s="15"/>
      <c r="E1695" s="15"/>
      <c r="F1695" s="16"/>
      <c r="G1695" s="16"/>
      <c r="H1695" s="21" t="str">
        <f aca="false">IF(OR($B1695="",F1695=0),"",G1695/F1695)</f>
        <v/>
      </c>
      <c r="I1695" s="22" t="str">
        <f aca="false">IF($B1695="","",MAX(F1695-G1695,0))</f>
        <v/>
      </c>
      <c r="J1695" s="23" t="str">
        <f aca="false">IF($B1695="","",IFERROR(INDEX(고객사!$G$5:$G$104,MATCH($B1695,고객사!$A$5:$A$104,0)),""))</f>
        <v/>
      </c>
      <c r="K1695" s="16"/>
      <c r="L1695" s="22" t="str">
        <f aca="false">IF($B1695="","",K1695*IFERROR(INDEX(고객사!$L$5:$L$104,MATCH($B1695,고객사!$A$5:$A$104,0)),0))</f>
        <v/>
      </c>
      <c r="M1695" s="23" t="str">
        <f aca="false">IF($B1695="","",IF(AND(J1695="N",G1695&gt;0,K1695=0,IFERROR(INDEX(고객사!$H$5:$H$104,MATCH($B1695,고객사!$A$5:$A$104,0)),"")="자사 차량 운행"),"차량 미배정",""))</f>
        <v/>
      </c>
      <c r="N1695" s="22" t="str">
        <f aca="false">IF($B1695="","",IFERROR(INDEX(고객사!$J$5:$J$104,MATCH($B1695,고객사!$A$5:$A$104,0)),0))</f>
        <v/>
      </c>
      <c r="O1695" s="22" t="str">
        <f aca="false">IF($B1695="","",G1695*N1695)</f>
        <v/>
      </c>
      <c r="P1695" s="22" t="str">
        <f aca="false">IF($B1695="","",IFERROR(INDEX(고객사!$K$5:$K$104,MATCH($B1695,고객사!$A$5:$A$104,0)),0))</f>
        <v/>
      </c>
      <c r="Q1695" s="22" t="str">
        <f aca="false">IF($B1695="","",G1695*P1695)</f>
        <v/>
      </c>
      <c r="R1695" s="22" t="str">
        <f aca="false">IF($B1695="","",O1695-Q1695-L1695)</f>
        <v/>
      </c>
      <c r="S1695" s="21" t="str">
        <f aca="false">IF(OR($B1695="",N(O1695)=0),"",R1695/O1695)</f>
        <v/>
      </c>
      <c r="T1695" s="14"/>
      <c r="U1695" s="19" t="n">
        <f aca="false">IF(OR($B1695="",$A1695=""),0,IF(COUNTIFS($A$5:$A1695,$A1695,$B$5:$B1695,$B1695)=1,1,0))</f>
        <v>0</v>
      </c>
    </row>
    <row r="1696" customFormat="false" ht="15" hidden="false" customHeight="false" outlineLevel="0" collapsed="false">
      <c r="A1696" s="17"/>
      <c r="B1696" s="13"/>
      <c r="C1696" s="20" t="str">
        <f aca="false">IF($B1696="","",IFERROR(INDEX(고객사!$B$5:$B$104,MATCH($B1696,고객사!$A$5:$A$104,0)),"코드 확인"))</f>
        <v/>
      </c>
      <c r="D1696" s="15"/>
      <c r="E1696" s="15"/>
      <c r="F1696" s="16"/>
      <c r="G1696" s="16"/>
      <c r="H1696" s="21" t="str">
        <f aca="false">IF(OR($B1696="",F1696=0),"",G1696/F1696)</f>
        <v/>
      </c>
      <c r="I1696" s="22" t="str">
        <f aca="false">IF($B1696="","",MAX(F1696-G1696,0))</f>
        <v/>
      </c>
      <c r="J1696" s="23" t="str">
        <f aca="false">IF($B1696="","",IFERROR(INDEX(고객사!$G$5:$G$104,MATCH($B1696,고객사!$A$5:$A$104,0)),""))</f>
        <v/>
      </c>
      <c r="K1696" s="16"/>
      <c r="L1696" s="22" t="str">
        <f aca="false">IF($B1696="","",K1696*IFERROR(INDEX(고객사!$L$5:$L$104,MATCH($B1696,고객사!$A$5:$A$104,0)),0))</f>
        <v/>
      </c>
      <c r="M1696" s="23" t="str">
        <f aca="false">IF($B1696="","",IF(AND(J1696="N",G1696&gt;0,K1696=0,IFERROR(INDEX(고객사!$H$5:$H$104,MATCH($B1696,고객사!$A$5:$A$104,0)),"")="자사 차량 운행"),"차량 미배정",""))</f>
        <v/>
      </c>
      <c r="N1696" s="22" t="str">
        <f aca="false">IF($B1696="","",IFERROR(INDEX(고객사!$J$5:$J$104,MATCH($B1696,고객사!$A$5:$A$104,0)),0))</f>
        <v/>
      </c>
      <c r="O1696" s="22" t="str">
        <f aca="false">IF($B1696="","",G1696*N1696)</f>
        <v/>
      </c>
      <c r="P1696" s="22" t="str">
        <f aca="false">IF($B1696="","",IFERROR(INDEX(고객사!$K$5:$K$104,MATCH($B1696,고객사!$A$5:$A$104,0)),0))</f>
        <v/>
      </c>
      <c r="Q1696" s="22" t="str">
        <f aca="false">IF($B1696="","",G1696*P1696)</f>
        <v/>
      </c>
      <c r="R1696" s="22" t="str">
        <f aca="false">IF($B1696="","",O1696-Q1696-L1696)</f>
        <v/>
      </c>
      <c r="S1696" s="21" t="str">
        <f aca="false">IF(OR($B1696="",N(O1696)=0),"",R1696/O1696)</f>
        <v/>
      </c>
      <c r="T1696" s="14"/>
      <c r="U1696" s="19" t="n">
        <f aca="false">IF(OR($B1696="",$A1696=""),0,IF(COUNTIFS($A$5:$A1696,$A1696,$B$5:$B1696,$B1696)=1,1,0))</f>
        <v>0</v>
      </c>
    </row>
    <row r="1697" customFormat="false" ht="15" hidden="false" customHeight="false" outlineLevel="0" collapsed="false">
      <c r="A1697" s="17"/>
      <c r="B1697" s="13"/>
      <c r="C1697" s="20" t="str">
        <f aca="false">IF($B1697="","",IFERROR(INDEX(고객사!$B$5:$B$104,MATCH($B1697,고객사!$A$5:$A$104,0)),"코드 확인"))</f>
        <v/>
      </c>
      <c r="D1697" s="15"/>
      <c r="E1697" s="15"/>
      <c r="F1697" s="16"/>
      <c r="G1697" s="16"/>
      <c r="H1697" s="21" t="str">
        <f aca="false">IF(OR($B1697="",F1697=0),"",G1697/F1697)</f>
        <v/>
      </c>
      <c r="I1697" s="22" t="str">
        <f aca="false">IF($B1697="","",MAX(F1697-G1697,0))</f>
        <v/>
      </c>
      <c r="J1697" s="23" t="str">
        <f aca="false">IF($B1697="","",IFERROR(INDEX(고객사!$G$5:$G$104,MATCH($B1697,고객사!$A$5:$A$104,0)),""))</f>
        <v/>
      </c>
      <c r="K1697" s="16"/>
      <c r="L1697" s="22" t="str">
        <f aca="false">IF($B1697="","",K1697*IFERROR(INDEX(고객사!$L$5:$L$104,MATCH($B1697,고객사!$A$5:$A$104,0)),0))</f>
        <v/>
      </c>
      <c r="M1697" s="23" t="str">
        <f aca="false">IF($B1697="","",IF(AND(J1697="N",G1697&gt;0,K1697=0,IFERROR(INDEX(고객사!$H$5:$H$104,MATCH($B1697,고객사!$A$5:$A$104,0)),"")="자사 차량 운행"),"차량 미배정",""))</f>
        <v/>
      </c>
      <c r="N1697" s="22" t="str">
        <f aca="false">IF($B1697="","",IFERROR(INDEX(고객사!$J$5:$J$104,MATCH($B1697,고객사!$A$5:$A$104,0)),0))</f>
        <v/>
      </c>
      <c r="O1697" s="22" t="str">
        <f aca="false">IF($B1697="","",G1697*N1697)</f>
        <v/>
      </c>
      <c r="P1697" s="22" t="str">
        <f aca="false">IF($B1697="","",IFERROR(INDEX(고객사!$K$5:$K$104,MATCH($B1697,고객사!$A$5:$A$104,0)),0))</f>
        <v/>
      </c>
      <c r="Q1697" s="22" t="str">
        <f aca="false">IF($B1697="","",G1697*P1697)</f>
        <v/>
      </c>
      <c r="R1697" s="22" t="str">
        <f aca="false">IF($B1697="","",O1697-Q1697-L1697)</f>
        <v/>
      </c>
      <c r="S1697" s="21" t="str">
        <f aca="false">IF(OR($B1697="",N(O1697)=0),"",R1697/O1697)</f>
        <v/>
      </c>
      <c r="T1697" s="14"/>
      <c r="U1697" s="19" t="n">
        <f aca="false">IF(OR($B1697="",$A1697=""),0,IF(COUNTIFS($A$5:$A1697,$A1697,$B$5:$B1697,$B1697)=1,1,0))</f>
        <v>0</v>
      </c>
    </row>
    <row r="1698" customFormat="false" ht="15" hidden="false" customHeight="false" outlineLevel="0" collapsed="false">
      <c r="A1698" s="17"/>
      <c r="B1698" s="13"/>
      <c r="C1698" s="20" t="str">
        <f aca="false">IF($B1698="","",IFERROR(INDEX(고객사!$B$5:$B$104,MATCH($B1698,고객사!$A$5:$A$104,0)),"코드 확인"))</f>
        <v/>
      </c>
      <c r="D1698" s="15"/>
      <c r="E1698" s="15"/>
      <c r="F1698" s="16"/>
      <c r="G1698" s="16"/>
      <c r="H1698" s="21" t="str">
        <f aca="false">IF(OR($B1698="",F1698=0),"",G1698/F1698)</f>
        <v/>
      </c>
      <c r="I1698" s="22" t="str">
        <f aca="false">IF($B1698="","",MAX(F1698-G1698,0))</f>
        <v/>
      </c>
      <c r="J1698" s="23" t="str">
        <f aca="false">IF($B1698="","",IFERROR(INDEX(고객사!$G$5:$G$104,MATCH($B1698,고객사!$A$5:$A$104,0)),""))</f>
        <v/>
      </c>
      <c r="K1698" s="16"/>
      <c r="L1698" s="22" t="str">
        <f aca="false">IF($B1698="","",K1698*IFERROR(INDEX(고객사!$L$5:$L$104,MATCH($B1698,고객사!$A$5:$A$104,0)),0))</f>
        <v/>
      </c>
      <c r="M1698" s="23" t="str">
        <f aca="false">IF($B1698="","",IF(AND(J1698="N",G1698&gt;0,K1698=0,IFERROR(INDEX(고객사!$H$5:$H$104,MATCH($B1698,고객사!$A$5:$A$104,0)),"")="자사 차량 운행"),"차량 미배정",""))</f>
        <v/>
      </c>
      <c r="N1698" s="22" t="str">
        <f aca="false">IF($B1698="","",IFERROR(INDEX(고객사!$J$5:$J$104,MATCH($B1698,고객사!$A$5:$A$104,0)),0))</f>
        <v/>
      </c>
      <c r="O1698" s="22" t="str">
        <f aca="false">IF($B1698="","",G1698*N1698)</f>
        <v/>
      </c>
      <c r="P1698" s="22" t="str">
        <f aca="false">IF($B1698="","",IFERROR(INDEX(고객사!$K$5:$K$104,MATCH($B1698,고객사!$A$5:$A$104,0)),0))</f>
        <v/>
      </c>
      <c r="Q1698" s="22" t="str">
        <f aca="false">IF($B1698="","",G1698*P1698)</f>
        <v/>
      </c>
      <c r="R1698" s="22" t="str">
        <f aca="false">IF($B1698="","",O1698-Q1698-L1698)</f>
        <v/>
      </c>
      <c r="S1698" s="21" t="str">
        <f aca="false">IF(OR($B1698="",N(O1698)=0),"",R1698/O1698)</f>
        <v/>
      </c>
      <c r="T1698" s="14"/>
      <c r="U1698" s="19" t="n">
        <f aca="false">IF(OR($B1698="",$A1698=""),0,IF(COUNTIFS($A$5:$A1698,$A1698,$B$5:$B1698,$B1698)=1,1,0))</f>
        <v>0</v>
      </c>
    </row>
    <row r="1699" customFormat="false" ht="15" hidden="false" customHeight="false" outlineLevel="0" collapsed="false">
      <c r="A1699" s="17"/>
      <c r="B1699" s="13"/>
      <c r="C1699" s="20" t="str">
        <f aca="false">IF($B1699="","",IFERROR(INDEX(고객사!$B$5:$B$104,MATCH($B1699,고객사!$A$5:$A$104,0)),"코드 확인"))</f>
        <v/>
      </c>
      <c r="D1699" s="15"/>
      <c r="E1699" s="15"/>
      <c r="F1699" s="16"/>
      <c r="G1699" s="16"/>
      <c r="H1699" s="21" t="str">
        <f aca="false">IF(OR($B1699="",F1699=0),"",G1699/F1699)</f>
        <v/>
      </c>
      <c r="I1699" s="22" t="str">
        <f aca="false">IF($B1699="","",MAX(F1699-G1699,0))</f>
        <v/>
      </c>
      <c r="J1699" s="23" t="str">
        <f aca="false">IF($B1699="","",IFERROR(INDEX(고객사!$G$5:$G$104,MATCH($B1699,고객사!$A$5:$A$104,0)),""))</f>
        <v/>
      </c>
      <c r="K1699" s="16"/>
      <c r="L1699" s="22" t="str">
        <f aca="false">IF($B1699="","",K1699*IFERROR(INDEX(고객사!$L$5:$L$104,MATCH($B1699,고객사!$A$5:$A$104,0)),0))</f>
        <v/>
      </c>
      <c r="M1699" s="23" t="str">
        <f aca="false">IF($B1699="","",IF(AND(J1699="N",G1699&gt;0,K1699=0,IFERROR(INDEX(고객사!$H$5:$H$104,MATCH($B1699,고객사!$A$5:$A$104,0)),"")="자사 차량 운행"),"차량 미배정",""))</f>
        <v/>
      </c>
      <c r="N1699" s="22" t="str">
        <f aca="false">IF($B1699="","",IFERROR(INDEX(고객사!$J$5:$J$104,MATCH($B1699,고객사!$A$5:$A$104,0)),0))</f>
        <v/>
      </c>
      <c r="O1699" s="22" t="str">
        <f aca="false">IF($B1699="","",G1699*N1699)</f>
        <v/>
      </c>
      <c r="P1699" s="22" t="str">
        <f aca="false">IF($B1699="","",IFERROR(INDEX(고객사!$K$5:$K$104,MATCH($B1699,고객사!$A$5:$A$104,0)),0))</f>
        <v/>
      </c>
      <c r="Q1699" s="22" t="str">
        <f aca="false">IF($B1699="","",G1699*P1699)</f>
        <v/>
      </c>
      <c r="R1699" s="22" t="str">
        <f aca="false">IF($B1699="","",O1699-Q1699-L1699)</f>
        <v/>
      </c>
      <c r="S1699" s="21" t="str">
        <f aca="false">IF(OR($B1699="",N(O1699)=0),"",R1699/O1699)</f>
        <v/>
      </c>
      <c r="T1699" s="14"/>
      <c r="U1699" s="19" t="n">
        <f aca="false">IF(OR($B1699="",$A1699=""),0,IF(COUNTIFS($A$5:$A1699,$A1699,$B$5:$B1699,$B1699)=1,1,0))</f>
        <v>0</v>
      </c>
    </row>
    <row r="1700" customFormat="false" ht="15" hidden="false" customHeight="false" outlineLevel="0" collapsed="false">
      <c r="A1700" s="17"/>
      <c r="B1700" s="13"/>
      <c r="C1700" s="20" t="str">
        <f aca="false">IF($B1700="","",IFERROR(INDEX(고객사!$B$5:$B$104,MATCH($B1700,고객사!$A$5:$A$104,0)),"코드 확인"))</f>
        <v/>
      </c>
      <c r="D1700" s="15"/>
      <c r="E1700" s="15"/>
      <c r="F1700" s="16"/>
      <c r="G1700" s="16"/>
      <c r="H1700" s="21" t="str">
        <f aca="false">IF(OR($B1700="",F1700=0),"",G1700/F1700)</f>
        <v/>
      </c>
      <c r="I1700" s="22" t="str">
        <f aca="false">IF($B1700="","",MAX(F1700-G1700,0))</f>
        <v/>
      </c>
      <c r="J1700" s="23" t="str">
        <f aca="false">IF($B1700="","",IFERROR(INDEX(고객사!$G$5:$G$104,MATCH($B1700,고객사!$A$5:$A$104,0)),""))</f>
        <v/>
      </c>
      <c r="K1700" s="16"/>
      <c r="L1700" s="22" t="str">
        <f aca="false">IF($B1700="","",K1700*IFERROR(INDEX(고객사!$L$5:$L$104,MATCH($B1700,고객사!$A$5:$A$104,0)),0))</f>
        <v/>
      </c>
      <c r="M1700" s="23" t="str">
        <f aca="false">IF($B1700="","",IF(AND(J1700="N",G1700&gt;0,K1700=0,IFERROR(INDEX(고객사!$H$5:$H$104,MATCH($B1700,고객사!$A$5:$A$104,0)),"")="자사 차량 운행"),"차량 미배정",""))</f>
        <v/>
      </c>
      <c r="N1700" s="22" t="str">
        <f aca="false">IF($B1700="","",IFERROR(INDEX(고객사!$J$5:$J$104,MATCH($B1700,고객사!$A$5:$A$104,0)),0))</f>
        <v/>
      </c>
      <c r="O1700" s="22" t="str">
        <f aca="false">IF($B1700="","",G1700*N1700)</f>
        <v/>
      </c>
      <c r="P1700" s="22" t="str">
        <f aca="false">IF($B1700="","",IFERROR(INDEX(고객사!$K$5:$K$104,MATCH($B1700,고객사!$A$5:$A$104,0)),0))</f>
        <v/>
      </c>
      <c r="Q1700" s="22" t="str">
        <f aca="false">IF($B1700="","",G1700*P1700)</f>
        <v/>
      </c>
      <c r="R1700" s="22" t="str">
        <f aca="false">IF($B1700="","",O1700-Q1700-L1700)</f>
        <v/>
      </c>
      <c r="S1700" s="21" t="str">
        <f aca="false">IF(OR($B1700="",N(O1700)=0),"",R1700/O1700)</f>
        <v/>
      </c>
      <c r="T1700" s="14"/>
      <c r="U1700" s="19" t="n">
        <f aca="false">IF(OR($B1700="",$A1700=""),0,IF(COUNTIFS($A$5:$A1700,$A1700,$B$5:$B1700,$B1700)=1,1,0))</f>
        <v>0</v>
      </c>
    </row>
    <row r="1701" customFormat="false" ht="15" hidden="false" customHeight="false" outlineLevel="0" collapsed="false">
      <c r="A1701" s="17"/>
      <c r="B1701" s="13"/>
      <c r="C1701" s="20" t="str">
        <f aca="false">IF($B1701="","",IFERROR(INDEX(고객사!$B$5:$B$104,MATCH($B1701,고객사!$A$5:$A$104,0)),"코드 확인"))</f>
        <v/>
      </c>
      <c r="D1701" s="15"/>
      <c r="E1701" s="15"/>
      <c r="F1701" s="16"/>
      <c r="G1701" s="16"/>
      <c r="H1701" s="21" t="str">
        <f aca="false">IF(OR($B1701="",F1701=0),"",G1701/F1701)</f>
        <v/>
      </c>
      <c r="I1701" s="22" t="str">
        <f aca="false">IF($B1701="","",MAX(F1701-G1701,0))</f>
        <v/>
      </c>
      <c r="J1701" s="23" t="str">
        <f aca="false">IF($B1701="","",IFERROR(INDEX(고객사!$G$5:$G$104,MATCH($B1701,고객사!$A$5:$A$104,0)),""))</f>
        <v/>
      </c>
      <c r="K1701" s="16"/>
      <c r="L1701" s="22" t="str">
        <f aca="false">IF($B1701="","",K1701*IFERROR(INDEX(고객사!$L$5:$L$104,MATCH($B1701,고객사!$A$5:$A$104,0)),0))</f>
        <v/>
      </c>
      <c r="M1701" s="23" t="str">
        <f aca="false">IF($B1701="","",IF(AND(J1701="N",G1701&gt;0,K1701=0,IFERROR(INDEX(고객사!$H$5:$H$104,MATCH($B1701,고객사!$A$5:$A$104,0)),"")="자사 차량 운행"),"차량 미배정",""))</f>
        <v/>
      </c>
      <c r="N1701" s="22" t="str">
        <f aca="false">IF($B1701="","",IFERROR(INDEX(고객사!$J$5:$J$104,MATCH($B1701,고객사!$A$5:$A$104,0)),0))</f>
        <v/>
      </c>
      <c r="O1701" s="22" t="str">
        <f aca="false">IF($B1701="","",G1701*N1701)</f>
        <v/>
      </c>
      <c r="P1701" s="22" t="str">
        <f aca="false">IF($B1701="","",IFERROR(INDEX(고객사!$K$5:$K$104,MATCH($B1701,고객사!$A$5:$A$104,0)),0))</f>
        <v/>
      </c>
      <c r="Q1701" s="22" t="str">
        <f aca="false">IF($B1701="","",G1701*P1701)</f>
        <v/>
      </c>
      <c r="R1701" s="22" t="str">
        <f aca="false">IF($B1701="","",O1701-Q1701-L1701)</f>
        <v/>
      </c>
      <c r="S1701" s="21" t="str">
        <f aca="false">IF(OR($B1701="",N(O1701)=0),"",R1701/O1701)</f>
        <v/>
      </c>
      <c r="T1701" s="14"/>
      <c r="U1701" s="19" t="n">
        <f aca="false">IF(OR($B1701="",$A1701=""),0,IF(COUNTIFS($A$5:$A1701,$A1701,$B$5:$B1701,$B1701)=1,1,0))</f>
        <v>0</v>
      </c>
    </row>
    <row r="1702" customFormat="false" ht="15" hidden="false" customHeight="false" outlineLevel="0" collapsed="false">
      <c r="A1702" s="17"/>
      <c r="B1702" s="13"/>
      <c r="C1702" s="20" t="str">
        <f aca="false">IF($B1702="","",IFERROR(INDEX(고객사!$B$5:$B$104,MATCH($B1702,고객사!$A$5:$A$104,0)),"코드 확인"))</f>
        <v/>
      </c>
      <c r="D1702" s="15"/>
      <c r="E1702" s="15"/>
      <c r="F1702" s="16"/>
      <c r="G1702" s="16"/>
      <c r="H1702" s="21" t="str">
        <f aca="false">IF(OR($B1702="",F1702=0),"",G1702/F1702)</f>
        <v/>
      </c>
      <c r="I1702" s="22" t="str">
        <f aca="false">IF($B1702="","",MAX(F1702-G1702,0))</f>
        <v/>
      </c>
      <c r="J1702" s="23" t="str">
        <f aca="false">IF($B1702="","",IFERROR(INDEX(고객사!$G$5:$G$104,MATCH($B1702,고객사!$A$5:$A$104,0)),""))</f>
        <v/>
      </c>
      <c r="K1702" s="16"/>
      <c r="L1702" s="22" t="str">
        <f aca="false">IF($B1702="","",K1702*IFERROR(INDEX(고객사!$L$5:$L$104,MATCH($B1702,고객사!$A$5:$A$104,0)),0))</f>
        <v/>
      </c>
      <c r="M1702" s="23" t="str">
        <f aca="false">IF($B1702="","",IF(AND(J1702="N",G1702&gt;0,K1702=0,IFERROR(INDEX(고객사!$H$5:$H$104,MATCH($B1702,고객사!$A$5:$A$104,0)),"")="자사 차량 운행"),"차량 미배정",""))</f>
        <v/>
      </c>
      <c r="N1702" s="22" t="str">
        <f aca="false">IF($B1702="","",IFERROR(INDEX(고객사!$J$5:$J$104,MATCH($B1702,고객사!$A$5:$A$104,0)),0))</f>
        <v/>
      </c>
      <c r="O1702" s="22" t="str">
        <f aca="false">IF($B1702="","",G1702*N1702)</f>
        <v/>
      </c>
      <c r="P1702" s="22" t="str">
        <f aca="false">IF($B1702="","",IFERROR(INDEX(고객사!$K$5:$K$104,MATCH($B1702,고객사!$A$5:$A$104,0)),0))</f>
        <v/>
      </c>
      <c r="Q1702" s="22" t="str">
        <f aca="false">IF($B1702="","",G1702*P1702)</f>
        <v/>
      </c>
      <c r="R1702" s="22" t="str">
        <f aca="false">IF($B1702="","",O1702-Q1702-L1702)</f>
        <v/>
      </c>
      <c r="S1702" s="21" t="str">
        <f aca="false">IF(OR($B1702="",N(O1702)=0),"",R1702/O1702)</f>
        <v/>
      </c>
      <c r="T1702" s="14"/>
      <c r="U1702" s="19" t="n">
        <f aca="false">IF(OR($B1702="",$A1702=""),0,IF(COUNTIFS($A$5:$A1702,$A1702,$B$5:$B1702,$B1702)=1,1,0))</f>
        <v>0</v>
      </c>
    </row>
    <row r="1703" customFormat="false" ht="15" hidden="false" customHeight="false" outlineLevel="0" collapsed="false">
      <c r="A1703" s="17"/>
      <c r="B1703" s="13"/>
      <c r="C1703" s="20" t="str">
        <f aca="false">IF($B1703="","",IFERROR(INDEX(고객사!$B$5:$B$104,MATCH($B1703,고객사!$A$5:$A$104,0)),"코드 확인"))</f>
        <v/>
      </c>
      <c r="D1703" s="15"/>
      <c r="E1703" s="15"/>
      <c r="F1703" s="16"/>
      <c r="G1703" s="16"/>
      <c r="H1703" s="21" t="str">
        <f aca="false">IF(OR($B1703="",F1703=0),"",G1703/F1703)</f>
        <v/>
      </c>
      <c r="I1703" s="22" t="str">
        <f aca="false">IF($B1703="","",MAX(F1703-G1703,0))</f>
        <v/>
      </c>
      <c r="J1703" s="23" t="str">
        <f aca="false">IF($B1703="","",IFERROR(INDEX(고객사!$G$5:$G$104,MATCH($B1703,고객사!$A$5:$A$104,0)),""))</f>
        <v/>
      </c>
      <c r="K1703" s="16"/>
      <c r="L1703" s="22" t="str">
        <f aca="false">IF($B1703="","",K1703*IFERROR(INDEX(고객사!$L$5:$L$104,MATCH($B1703,고객사!$A$5:$A$104,0)),0))</f>
        <v/>
      </c>
      <c r="M1703" s="23" t="str">
        <f aca="false">IF($B1703="","",IF(AND(J1703="N",G1703&gt;0,K1703=0,IFERROR(INDEX(고객사!$H$5:$H$104,MATCH($B1703,고객사!$A$5:$A$104,0)),"")="자사 차량 운행"),"차량 미배정",""))</f>
        <v/>
      </c>
      <c r="N1703" s="22" t="str">
        <f aca="false">IF($B1703="","",IFERROR(INDEX(고객사!$J$5:$J$104,MATCH($B1703,고객사!$A$5:$A$104,0)),0))</f>
        <v/>
      </c>
      <c r="O1703" s="22" t="str">
        <f aca="false">IF($B1703="","",G1703*N1703)</f>
        <v/>
      </c>
      <c r="P1703" s="22" t="str">
        <f aca="false">IF($B1703="","",IFERROR(INDEX(고객사!$K$5:$K$104,MATCH($B1703,고객사!$A$5:$A$104,0)),0))</f>
        <v/>
      </c>
      <c r="Q1703" s="22" t="str">
        <f aca="false">IF($B1703="","",G1703*P1703)</f>
        <v/>
      </c>
      <c r="R1703" s="22" t="str">
        <f aca="false">IF($B1703="","",O1703-Q1703-L1703)</f>
        <v/>
      </c>
      <c r="S1703" s="21" t="str">
        <f aca="false">IF(OR($B1703="",N(O1703)=0),"",R1703/O1703)</f>
        <v/>
      </c>
      <c r="T1703" s="14"/>
      <c r="U1703" s="19" t="n">
        <f aca="false">IF(OR($B1703="",$A1703=""),0,IF(COUNTIFS($A$5:$A1703,$A1703,$B$5:$B1703,$B1703)=1,1,0))</f>
        <v>0</v>
      </c>
    </row>
    <row r="1704" customFormat="false" ht="15" hidden="false" customHeight="false" outlineLevel="0" collapsed="false">
      <c r="A1704" s="17"/>
      <c r="B1704" s="13"/>
      <c r="C1704" s="20" t="str">
        <f aca="false">IF($B1704="","",IFERROR(INDEX(고객사!$B$5:$B$104,MATCH($B1704,고객사!$A$5:$A$104,0)),"코드 확인"))</f>
        <v/>
      </c>
      <c r="D1704" s="15"/>
      <c r="E1704" s="15"/>
      <c r="F1704" s="16"/>
      <c r="G1704" s="16"/>
      <c r="H1704" s="21" t="str">
        <f aca="false">IF(OR($B1704="",F1704=0),"",G1704/F1704)</f>
        <v/>
      </c>
      <c r="I1704" s="22" t="str">
        <f aca="false">IF($B1704="","",MAX(F1704-G1704,0))</f>
        <v/>
      </c>
      <c r="J1704" s="23" t="str">
        <f aca="false">IF($B1704="","",IFERROR(INDEX(고객사!$G$5:$G$104,MATCH($B1704,고객사!$A$5:$A$104,0)),""))</f>
        <v/>
      </c>
      <c r="K1704" s="16"/>
      <c r="L1704" s="22" t="str">
        <f aca="false">IF($B1704="","",K1704*IFERROR(INDEX(고객사!$L$5:$L$104,MATCH($B1704,고객사!$A$5:$A$104,0)),0))</f>
        <v/>
      </c>
      <c r="M1704" s="23" t="str">
        <f aca="false">IF($B1704="","",IF(AND(J1704="N",G1704&gt;0,K1704=0,IFERROR(INDEX(고객사!$H$5:$H$104,MATCH($B1704,고객사!$A$5:$A$104,0)),"")="자사 차량 운행"),"차량 미배정",""))</f>
        <v/>
      </c>
      <c r="N1704" s="22" t="str">
        <f aca="false">IF($B1704="","",IFERROR(INDEX(고객사!$J$5:$J$104,MATCH($B1704,고객사!$A$5:$A$104,0)),0))</f>
        <v/>
      </c>
      <c r="O1704" s="22" t="str">
        <f aca="false">IF($B1704="","",G1704*N1704)</f>
        <v/>
      </c>
      <c r="P1704" s="22" t="str">
        <f aca="false">IF($B1704="","",IFERROR(INDEX(고객사!$K$5:$K$104,MATCH($B1704,고객사!$A$5:$A$104,0)),0))</f>
        <v/>
      </c>
      <c r="Q1704" s="22" t="str">
        <f aca="false">IF($B1704="","",G1704*P1704)</f>
        <v/>
      </c>
      <c r="R1704" s="22" t="str">
        <f aca="false">IF($B1704="","",O1704-Q1704-L1704)</f>
        <v/>
      </c>
      <c r="S1704" s="21" t="str">
        <f aca="false">IF(OR($B1704="",N(O1704)=0),"",R1704/O1704)</f>
        <v/>
      </c>
      <c r="T1704" s="14"/>
      <c r="U1704" s="19" t="n">
        <f aca="false">IF(OR($B1704="",$A1704=""),0,IF(COUNTIFS($A$5:$A1704,$A1704,$B$5:$B1704,$B1704)=1,1,0))</f>
        <v>0</v>
      </c>
    </row>
    <row r="1705" customFormat="false" ht="15" hidden="false" customHeight="false" outlineLevel="0" collapsed="false">
      <c r="A1705" s="17"/>
      <c r="B1705" s="13"/>
      <c r="C1705" s="20" t="str">
        <f aca="false">IF($B1705="","",IFERROR(INDEX(고객사!$B$5:$B$104,MATCH($B1705,고객사!$A$5:$A$104,0)),"코드 확인"))</f>
        <v/>
      </c>
      <c r="D1705" s="15"/>
      <c r="E1705" s="15"/>
      <c r="F1705" s="16"/>
      <c r="G1705" s="16"/>
      <c r="H1705" s="21" t="str">
        <f aca="false">IF(OR($B1705="",F1705=0),"",G1705/F1705)</f>
        <v/>
      </c>
      <c r="I1705" s="22" t="str">
        <f aca="false">IF($B1705="","",MAX(F1705-G1705,0))</f>
        <v/>
      </c>
      <c r="J1705" s="23" t="str">
        <f aca="false">IF($B1705="","",IFERROR(INDEX(고객사!$G$5:$G$104,MATCH($B1705,고객사!$A$5:$A$104,0)),""))</f>
        <v/>
      </c>
      <c r="K1705" s="16"/>
      <c r="L1705" s="22" t="str">
        <f aca="false">IF($B1705="","",K1705*IFERROR(INDEX(고객사!$L$5:$L$104,MATCH($B1705,고객사!$A$5:$A$104,0)),0))</f>
        <v/>
      </c>
      <c r="M1705" s="23" t="str">
        <f aca="false">IF($B1705="","",IF(AND(J1705="N",G1705&gt;0,K1705=0,IFERROR(INDEX(고객사!$H$5:$H$104,MATCH($B1705,고객사!$A$5:$A$104,0)),"")="자사 차량 운행"),"차량 미배정",""))</f>
        <v/>
      </c>
      <c r="N1705" s="22" t="str">
        <f aca="false">IF($B1705="","",IFERROR(INDEX(고객사!$J$5:$J$104,MATCH($B1705,고객사!$A$5:$A$104,0)),0))</f>
        <v/>
      </c>
      <c r="O1705" s="22" t="str">
        <f aca="false">IF($B1705="","",G1705*N1705)</f>
        <v/>
      </c>
      <c r="P1705" s="22" t="str">
        <f aca="false">IF($B1705="","",IFERROR(INDEX(고객사!$K$5:$K$104,MATCH($B1705,고객사!$A$5:$A$104,0)),0))</f>
        <v/>
      </c>
      <c r="Q1705" s="22" t="str">
        <f aca="false">IF($B1705="","",G1705*P1705)</f>
        <v/>
      </c>
      <c r="R1705" s="22" t="str">
        <f aca="false">IF($B1705="","",O1705-Q1705-L1705)</f>
        <v/>
      </c>
      <c r="S1705" s="21" t="str">
        <f aca="false">IF(OR($B1705="",N(O1705)=0),"",R1705/O1705)</f>
        <v/>
      </c>
      <c r="T1705" s="14"/>
      <c r="U1705" s="19" t="n">
        <f aca="false">IF(OR($B1705="",$A1705=""),0,IF(COUNTIFS($A$5:$A1705,$A1705,$B$5:$B1705,$B1705)=1,1,0))</f>
        <v>0</v>
      </c>
    </row>
    <row r="1706" customFormat="false" ht="15" hidden="false" customHeight="false" outlineLevel="0" collapsed="false">
      <c r="A1706" s="17"/>
      <c r="B1706" s="13"/>
      <c r="C1706" s="20" t="str">
        <f aca="false">IF($B1706="","",IFERROR(INDEX(고객사!$B$5:$B$104,MATCH($B1706,고객사!$A$5:$A$104,0)),"코드 확인"))</f>
        <v/>
      </c>
      <c r="D1706" s="15"/>
      <c r="E1706" s="15"/>
      <c r="F1706" s="16"/>
      <c r="G1706" s="16"/>
      <c r="H1706" s="21" t="str">
        <f aca="false">IF(OR($B1706="",F1706=0),"",G1706/F1706)</f>
        <v/>
      </c>
      <c r="I1706" s="22" t="str">
        <f aca="false">IF($B1706="","",MAX(F1706-G1706,0))</f>
        <v/>
      </c>
      <c r="J1706" s="23" t="str">
        <f aca="false">IF($B1706="","",IFERROR(INDEX(고객사!$G$5:$G$104,MATCH($B1706,고객사!$A$5:$A$104,0)),""))</f>
        <v/>
      </c>
      <c r="K1706" s="16"/>
      <c r="L1706" s="22" t="str">
        <f aca="false">IF($B1706="","",K1706*IFERROR(INDEX(고객사!$L$5:$L$104,MATCH($B1706,고객사!$A$5:$A$104,0)),0))</f>
        <v/>
      </c>
      <c r="M1706" s="23" t="str">
        <f aca="false">IF($B1706="","",IF(AND(J1706="N",G1706&gt;0,K1706=0,IFERROR(INDEX(고객사!$H$5:$H$104,MATCH($B1706,고객사!$A$5:$A$104,0)),"")="자사 차량 운행"),"차량 미배정",""))</f>
        <v/>
      </c>
      <c r="N1706" s="22" t="str">
        <f aca="false">IF($B1706="","",IFERROR(INDEX(고객사!$J$5:$J$104,MATCH($B1706,고객사!$A$5:$A$104,0)),0))</f>
        <v/>
      </c>
      <c r="O1706" s="22" t="str">
        <f aca="false">IF($B1706="","",G1706*N1706)</f>
        <v/>
      </c>
      <c r="P1706" s="22" t="str">
        <f aca="false">IF($B1706="","",IFERROR(INDEX(고객사!$K$5:$K$104,MATCH($B1706,고객사!$A$5:$A$104,0)),0))</f>
        <v/>
      </c>
      <c r="Q1706" s="22" t="str">
        <f aca="false">IF($B1706="","",G1706*P1706)</f>
        <v/>
      </c>
      <c r="R1706" s="22" t="str">
        <f aca="false">IF($B1706="","",O1706-Q1706-L1706)</f>
        <v/>
      </c>
      <c r="S1706" s="21" t="str">
        <f aca="false">IF(OR($B1706="",N(O1706)=0),"",R1706/O1706)</f>
        <v/>
      </c>
      <c r="T1706" s="14"/>
      <c r="U1706" s="19" t="n">
        <f aca="false">IF(OR($B1706="",$A1706=""),0,IF(COUNTIFS($A$5:$A1706,$A1706,$B$5:$B1706,$B1706)=1,1,0))</f>
        <v>0</v>
      </c>
    </row>
    <row r="1707" customFormat="false" ht="15" hidden="false" customHeight="false" outlineLevel="0" collapsed="false">
      <c r="A1707" s="17"/>
      <c r="B1707" s="13"/>
      <c r="C1707" s="20" t="str">
        <f aca="false">IF($B1707="","",IFERROR(INDEX(고객사!$B$5:$B$104,MATCH($B1707,고객사!$A$5:$A$104,0)),"코드 확인"))</f>
        <v/>
      </c>
      <c r="D1707" s="15"/>
      <c r="E1707" s="15"/>
      <c r="F1707" s="16"/>
      <c r="G1707" s="16"/>
      <c r="H1707" s="21" t="str">
        <f aca="false">IF(OR($B1707="",F1707=0),"",G1707/F1707)</f>
        <v/>
      </c>
      <c r="I1707" s="22" t="str">
        <f aca="false">IF($B1707="","",MAX(F1707-G1707,0))</f>
        <v/>
      </c>
      <c r="J1707" s="23" t="str">
        <f aca="false">IF($B1707="","",IFERROR(INDEX(고객사!$G$5:$G$104,MATCH($B1707,고객사!$A$5:$A$104,0)),""))</f>
        <v/>
      </c>
      <c r="K1707" s="16"/>
      <c r="L1707" s="22" t="str">
        <f aca="false">IF($B1707="","",K1707*IFERROR(INDEX(고객사!$L$5:$L$104,MATCH($B1707,고객사!$A$5:$A$104,0)),0))</f>
        <v/>
      </c>
      <c r="M1707" s="23" t="str">
        <f aca="false">IF($B1707="","",IF(AND(J1707="N",G1707&gt;0,K1707=0,IFERROR(INDEX(고객사!$H$5:$H$104,MATCH($B1707,고객사!$A$5:$A$104,0)),"")="자사 차량 운행"),"차량 미배정",""))</f>
        <v/>
      </c>
      <c r="N1707" s="22" t="str">
        <f aca="false">IF($B1707="","",IFERROR(INDEX(고객사!$J$5:$J$104,MATCH($B1707,고객사!$A$5:$A$104,0)),0))</f>
        <v/>
      </c>
      <c r="O1707" s="22" t="str">
        <f aca="false">IF($B1707="","",G1707*N1707)</f>
        <v/>
      </c>
      <c r="P1707" s="22" t="str">
        <f aca="false">IF($B1707="","",IFERROR(INDEX(고객사!$K$5:$K$104,MATCH($B1707,고객사!$A$5:$A$104,0)),0))</f>
        <v/>
      </c>
      <c r="Q1707" s="22" t="str">
        <f aca="false">IF($B1707="","",G1707*P1707)</f>
        <v/>
      </c>
      <c r="R1707" s="22" t="str">
        <f aca="false">IF($B1707="","",O1707-Q1707-L1707)</f>
        <v/>
      </c>
      <c r="S1707" s="21" t="str">
        <f aca="false">IF(OR($B1707="",N(O1707)=0),"",R1707/O1707)</f>
        <v/>
      </c>
      <c r="T1707" s="14"/>
      <c r="U1707" s="19" t="n">
        <f aca="false">IF(OR($B1707="",$A1707=""),0,IF(COUNTIFS($A$5:$A1707,$A1707,$B$5:$B1707,$B1707)=1,1,0))</f>
        <v>0</v>
      </c>
    </row>
    <row r="1708" customFormat="false" ht="15" hidden="false" customHeight="false" outlineLevel="0" collapsed="false">
      <c r="A1708" s="17"/>
      <c r="B1708" s="13"/>
      <c r="C1708" s="20" t="str">
        <f aca="false">IF($B1708="","",IFERROR(INDEX(고객사!$B$5:$B$104,MATCH($B1708,고객사!$A$5:$A$104,0)),"코드 확인"))</f>
        <v/>
      </c>
      <c r="D1708" s="15"/>
      <c r="E1708" s="15"/>
      <c r="F1708" s="16"/>
      <c r="G1708" s="16"/>
      <c r="H1708" s="21" t="str">
        <f aca="false">IF(OR($B1708="",F1708=0),"",G1708/F1708)</f>
        <v/>
      </c>
      <c r="I1708" s="22" t="str">
        <f aca="false">IF($B1708="","",MAX(F1708-G1708,0))</f>
        <v/>
      </c>
      <c r="J1708" s="23" t="str">
        <f aca="false">IF($B1708="","",IFERROR(INDEX(고객사!$G$5:$G$104,MATCH($B1708,고객사!$A$5:$A$104,0)),""))</f>
        <v/>
      </c>
      <c r="K1708" s="16"/>
      <c r="L1708" s="22" t="str">
        <f aca="false">IF($B1708="","",K1708*IFERROR(INDEX(고객사!$L$5:$L$104,MATCH($B1708,고객사!$A$5:$A$104,0)),0))</f>
        <v/>
      </c>
      <c r="M1708" s="23" t="str">
        <f aca="false">IF($B1708="","",IF(AND(J1708="N",G1708&gt;0,K1708=0,IFERROR(INDEX(고객사!$H$5:$H$104,MATCH($B1708,고객사!$A$5:$A$104,0)),"")="자사 차량 운행"),"차량 미배정",""))</f>
        <v/>
      </c>
      <c r="N1708" s="22" t="str">
        <f aca="false">IF($B1708="","",IFERROR(INDEX(고객사!$J$5:$J$104,MATCH($B1708,고객사!$A$5:$A$104,0)),0))</f>
        <v/>
      </c>
      <c r="O1708" s="22" t="str">
        <f aca="false">IF($B1708="","",G1708*N1708)</f>
        <v/>
      </c>
      <c r="P1708" s="22" t="str">
        <f aca="false">IF($B1708="","",IFERROR(INDEX(고객사!$K$5:$K$104,MATCH($B1708,고객사!$A$5:$A$104,0)),0))</f>
        <v/>
      </c>
      <c r="Q1708" s="22" t="str">
        <f aca="false">IF($B1708="","",G1708*P1708)</f>
        <v/>
      </c>
      <c r="R1708" s="22" t="str">
        <f aca="false">IF($B1708="","",O1708-Q1708-L1708)</f>
        <v/>
      </c>
      <c r="S1708" s="21" t="str">
        <f aca="false">IF(OR($B1708="",N(O1708)=0),"",R1708/O1708)</f>
        <v/>
      </c>
      <c r="T1708" s="14"/>
      <c r="U1708" s="19" t="n">
        <f aca="false">IF(OR($B1708="",$A1708=""),0,IF(COUNTIFS($A$5:$A1708,$A1708,$B$5:$B1708,$B1708)=1,1,0))</f>
        <v>0</v>
      </c>
    </row>
    <row r="1709" customFormat="false" ht="15" hidden="false" customHeight="false" outlineLevel="0" collapsed="false">
      <c r="A1709" s="17"/>
      <c r="B1709" s="13"/>
      <c r="C1709" s="20" t="str">
        <f aca="false">IF($B1709="","",IFERROR(INDEX(고객사!$B$5:$B$104,MATCH($B1709,고객사!$A$5:$A$104,0)),"코드 확인"))</f>
        <v/>
      </c>
      <c r="D1709" s="15"/>
      <c r="E1709" s="15"/>
      <c r="F1709" s="16"/>
      <c r="G1709" s="16"/>
      <c r="H1709" s="21" t="str">
        <f aca="false">IF(OR($B1709="",F1709=0),"",G1709/F1709)</f>
        <v/>
      </c>
      <c r="I1709" s="22" t="str">
        <f aca="false">IF($B1709="","",MAX(F1709-G1709,0))</f>
        <v/>
      </c>
      <c r="J1709" s="23" t="str">
        <f aca="false">IF($B1709="","",IFERROR(INDEX(고객사!$G$5:$G$104,MATCH($B1709,고객사!$A$5:$A$104,0)),""))</f>
        <v/>
      </c>
      <c r="K1709" s="16"/>
      <c r="L1709" s="22" t="str">
        <f aca="false">IF($B1709="","",K1709*IFERROR(INDEX(고객사!$L$5:$L$104,MATCH($B1709,고객사!$A$5:$A$104,0)),0))</f>
        <v/>
      </c>
      <c r="M1709" s="23" t="str">
        <f aca="false">IF($B1709="","",IF(AND(J1709="N",G1709&gt;0,K1709=0,IFERROR(INDEX(고객사!$H$5:$H$104,MATCH($B1709,고객사!$A$5:$A$104,0)),"")="자사 차량 운행"),"차량 미배정",""))</f>
        <v/>
      </c>
      <c r="N1709" s="22" t="str">
        <f aca="false">IF($B1709="","",IFERROR(INDEX(고객사!$J$5:$J$104,MATCH($B1709,고객사!$A$5:$A$104,0)),0))</f>
        <v/>
      </c>
      <c r="O1709" s="22" t="str">
        <f aca="false">IF($B1709="","",G1709*N1709)</f>
        <v/>
      </c>
      <c r="P1709" s="22" t="str">
        <f aca="false">IF($B1709="","",IFERROR(INDEX(고객사!$K$5:$K$104,MATCH($B1709,고객사!$A$5:$A$104,0)),0))</f>
        <v/>
      </c>
      <c r="Q1709" s="22" t="str">
        <f aca="false">IF($B1709="","",G1709*P1709)</f>
        <v/>
      </c>
      <c r="R1709" s="22" t="str">
        <f aca="false">IF($B1709="","",O1709-Q1709-L1709)</f>
        <v/>
      </c>
      <c r="S1709" s="21" t="str">
        <f aca="false">IF(OR($B1709="",N(O1709)=0),"",R1709/O1709)</f>
        <v/>
      </c>
      <c r="T1709" s="14"/>
      <c r="U1709" s="19" t="n">
        <f aca="false">IF(OR($B1709="",$A1709=""),0,IF(COUNTIFS($A$5:$A1709,$A1709,$B$5:$B1709,$B1709)=1,1,0))</f>
        <v>0</v>
      </c>
    </row>
    <row r="1710" customFormat="false" ht="15" hidden="false" customHeight="false" outlineLevel="0" collapsed="false">
      <c r="A1710" s="17"/>
      <c r="B1710" s="13"/>
      <c r="C1710" s="20" t="str">
        <f aca="false">IF($B1710="","",IFERROR(INDEX(고객사!$B$5:$B$104,MATCH($B1710,고객사!$A$5:$A$104,0)),"코드 확인"))</f>
        <v/>
      </c>
      <c r="D1710" s="15"/>
      <c r="E1710" s="15"/>
      <c r="F1710" s="16"/>
      <c r="G1710" s="16"/>
      <c r="H1710" s="21" t="str">
        <f aca="false">IF(OR($B1710="",F1710=0),"",G1710/F1710)</f>
        <v/>
      </c>
      <c r="I1710" s="22" t="str">
        <f aca="false">IF($B1710="","",MAX(F1710-G1710,0))</f>
        <v/>
      </c>
      <c r="J1710" s="23" t="str">
        <f aca="false">IF($B1710="","",IFERROR(INDEX(고객사!$G$5:$G$104,MATCH($B1710,고객사!$A$5:$A$104,0)),""))</f>
        <v/>
      </c>
      <c r="K1710" s="16"/>
      <c r="L1710" s="22" t="str">
        <f aca="false">IF($B1710="","",K1710*IFERROR(INDEX(고객사!$L$5:$L$104,MATCH($B1710,고객사!$A$5:$A$104,0)),0))</f>
        <v/>
      </c>
      <c r="M1710" s="23" t="str">
        <f aca="false">IF($B1710="","",IF(AND(J1710="N",G1710&gt;0,K1710=0,IFERROR(INDEX(고객사!$H$5:$H$104,MATCH($B1710,고객사!$A$5:$A$104,0)),"")="자사 차량 운행"),"차량 미배정",""))</f>
        <v/>
      </c>
      <c r="N1710" s="22" t="str">
        <f aca="false">IF($B1710="","",IFERROR(INDEX(고객사!$J$5:$J$104,MATCH($B1710,고객사!$A$5:$A$104,0)),0))</f>
        <v/>
      </c>
      <c r="O1710" s="22" t="str">
        <f aca="false">IF($B1710="","",G1710*N1710)</f>
        <v/>
      </c>
      <c r="P1710" s="22" t="str">
        <f aca="false">IF($B1710="","",IFERROR(INDEX(고객사!$K$5:$K$104,MATCH($B1710,고객사!$A$5:$A$104,0)),0))</f>
        <v/>
      </c>
      <c r="Q1710" s="22" t="str">
        <f aca="false">IF($B1710="","",G1710*P1710)</f>
        <v/>
      </c>
      <c r="R1710" s="22" t="str">
        <f aca="false">IF($B1710="","",O1710-Q1710-L1710)</f>
        <v/>
      </c>
      <c r="S1710" s="21" t="str">
        <f aca="false">IF(OR($B1710="",N(O1710)=0),"",R1710/O1710)</f>
        <v/>
      </c>
      <c r="T1710" s="14"/>
      <c r="U1710" s="19" t="n">
        <f aca="false">IF(OR($B1710="",$A1710=""),0,IF(COUNTIFS($A$5:$A1710,$A1710,$B$5:$B1710,$B1710)=1,1,0))</f>
        <v>0</v>
      </c>
    </row>
    <row r="1711" customFormat="false" ht="15" hidden="false" customHeight="false" outlineLevel="0" collapsed="false">
      <c r="A1711" s="17"/>
      <c r="B1711" s="13"/>
      <c r="C1711" s="20" t="str">
        <f aca="false">IF($B1711="","",IFERROR(INDEX(고객사!$B$5:$B$104,MATCH($B1711,고객사!$A$5:$A$104,0)),"코드 확인"))</f>
        <v/>
      </c>
      <c r="D1711" s="15"/>
      <c r="E1711" s="15"/>
      <c r="F1711" s="16"/>
      <c r="G1711" s="16"/>
      <c r="H1711" s="21" t="str">
        <f aca="false">IF(OR($B1711="",F1711=0),"",G1711/F1711)</f>
        <v/>
      </c>
      <c r="I1711" s="22" t="str">
        <f aca="false">IF($B1711="","",MAX(F1711-G1711,0))</f>
        <v/>
      </c>
      <c r="J1711" s="23" t="str">
        <f aca="false">IF($B1711="","",IFERROR(INDEX(고객사!$G$5:$G$104,MATCH($B1711,고객사!$A$5:$A$104,0)),""))</f>
        <v/>
      </c>
      <c r="K1711" s="16"/>
      <c r="L1711" s="22" t="str">
        <f aca="false">IF($B1711="","",K1711*IFERROR(INDEX(고객사!$L$5:$L$104,MATCH($B1711,고객사!$A$5:$A$104,0)),0))</f>
        <v/>
      </c>
      <c r="M1711" s="23" t="str">
        <f aca="false">IF($B1711="","",IF(AND(J1711="N",G1711&gt;0,K1711=0,IFERROR(INDEX(고객사!$H$5:$H$104,MATCH($B1711,고객사!$A$5:$A$104,0)),"")="자사 차량 운행"),"차량 미배정",""))</f>
        <v/>
      </c>
      <c r="N1711" s="22" t="str">
        <f aca="false">IF($B1711="","",IFERROR(INDEX(고객사!$J$5:$J$104,MATCH($B1711,고객사!$A$5:$A$104,0)),0))</f>
        <v/>
      </c>
      <c r="O1711" s="22" t="str">
        <f aca="false">IF($B1711="","",G1711*N1711)</f>
        <v/>
      </c>
      <c r="P1711" s="22" t="str">
        <f aca="false">IF($B1711="","",IFERROR(INDEX(고객사!$K$5:$K$104,MATCH($B1711,고객사!$A$5:$A$104,0)),0))</f>
        <v/>
      </c>
      <c r="Q1711" s="22" t="str">
        <f aca="false">IF($B1711="","",G1711*P1711)</f>
        <v/>
      </c>
      <c r="R1711" s="22" t="str">
        <f aca="false">IF($B1711="","",O1711-Q1711-L1711)</f>
        <v/>
      </c>
      <c r="S1711" s="21" t="str">
        <f aca="false">IF(OR($B1711="",N(O1711)=0),"",R1711/O1711)</f>
        <v/>
      </c>
      <c r="T1711" s="14"/>
      <c r="U1711" s="19" t="n">
        <f aca="false">IF(OR($B1711="",$A1711=""),0,IF(COUNTIFS($A$5:$A1711,$A1711,$B$5:$B1711,$B1711)=1,1,0))</f>
        <v>0</v>
      </c>
    </row>
    <row r="1712" customFormat="false" ht="15" hidden="false" customHeight="false" outlineLevel="0" collapsed="false">
      <c r="A1712" s="17"/>
      <c r="B1712" s="13"/>
      <c r="C1712" s="20" t="str">
        <f aca="false">IF($B1712="","",IFERROR(INDEX(고객사!$B$5:$B$104,MATCH($B1712,고객사!$A$5:$A$104,0)),"코드 확인"))</f>
        <v/>
      </c>
      <c r="D1712" s="15"/>
      <c r="E1712" s="15"/>
      <c r="F1712" s="16"/>
      <c r="G1712" s="16"/>
      <c r="H1712" s="21" t="str">
        <f aca="false">IF(OR($B1712="",F1712=0),"",G1712/F1712)</f>
        <v/>
      </c>
      <c r="I1712" s="22" t="str">
        <f aca="false">IF($B1712="","",MAX(F1712-G1712,0))</f>
        <v/>
      </c>
      <c r="J1712" s="23" t="str">
        <f aca="false">IF($B1712="","",IFERROR(INDEX(고객사!$G$5:$G$104,MATCH($B1712,고객사!$A$5:$A$104,0)),""))</f>
        <v/>
      </c>
      <c r="K1712" s="16"/>
      <c r="L1712" s="22" t="str">
        <f aca="false">IF($B1712="","",K1712*IFERROR(INDEX(고객사!$L$5:$L$104,MATCH($B1712,고객사!$A$5:$A$104,0)),0))</f>
        <v/>
      </c>
      <c r="M1712" s="23" t="str">
        <f aca="false">IF($B1712="","",IF(AND(J1712="N",G1712&gt;0,K1712=0,IFERROR(INDEX(고객사!$H$5:$H$104,MATCH($B1712,고객사!$A$5:$A$104,0)),"")="자사 차량 운행"),"차량 미배정",""))</f>
        <v/>
      </c>
      <c r="N1712" s="22" t="str">
        <f aca="false">IF($B1712="","",IFERROR(INDEX(고객사!$J$5:$J$104,MATCH($B1712,고객사!$A$5:$A$104,0)),0))</f>
        <v/>
      </c>
      <c r="O1712" s="22" t="str">
        <f aca="false">IF($B1712="","",G1712*N1712)</f>
        <v/>
      </c>
      <c r="P1712" s="22" t="str">
        <f aca="false">IF($B1712="","",IFERROR(INDEX(고객사!$K$5:$K$104,MATCH($B1712,고객사!$A$5:$A$104,0)),0))</f>
        <v/>
      </c>
      <c r="Q1712" s="22" t="str">
        <f aca="false">IF($B1712="","",G1712*P1712)</f>
        <v/>
      </c>
      <c r="R1712" s="22" t="str">
        <f aca="false">IF($B1712="","",O1712-Q1712-L1712)</f>
        <v/>
      </c>
      <c r="S1712" s="21" t="str">
        <f aca="false">IF(OR($B1712="",N(O1712)=0),"",R1712/O1712)</f>
        <v/>
      </c>
      <c r="T1712" s="14"/>
      <c r="U1712" s="19" t="n">
        <f aca="false">IF(OR($B1712="",$A1712=""),0,IF(COUNTIFS($A$5:$A1712,$A1712,$B$5:$B1712,$B1712)=1,1,0))</f>
        <v>0</v>
      </c>
    </row>
    <row r="1713" customFormat="false" ht="15" hidden="false" customHeight="false" outlineLevel="0" collapsed="false">
      <c r="A1713" s="17"/>
      <c r="B1713" s="13"/>
      <c r="C1713" s="20" t="str">
        <f aca="false">IF($B1713="","",IFERROR(INDEX(고객사!$B$5:$B$104,MATCH($B1713,고객사!$A$5:$A$104,0)),"코드 확인"))</f>
        <v/>
      </c>
      <c r="D1713" s="15"/>
      <c r="E1713" s="15"/>
      <c r="F1713" s="16"/>
      <c r="G1713" s="16"/>
      <c r="H1713" s="21" t="str">
        <f aca="false">IF(OR($B1713="",F1713=0),"",G1713/F1713)</f>
        <v/>
      </c>
      <c r="I1713" s="22" t="str">
        <f aca="false">IF($B1713="","",MAX(F1713-G1713,0))</f>
        <v/>
      </c>
      <c r="J1713" s="23" t="str">
        <f aca="false">IF($B1713="","",IFERROR(INDEX(고객사!$G$5:$G$104,MATCH($B1713,고객사!$A$5:$A$104,0)),""))</f>
        <v/>
      </c>
      <c r="K1713" s="16"/>
      <c r="L1713" s="22" t="str">
        <f aca="false">IF($B1713="","",K1713*IFERROR(INDEX(고객사!$L$5:$L$104,MATCH($B1713,고객사!$A$5:$A$104,0)),0))</f>
        <v/>
      </c>
      <c r="M1713" s="23" t="str">
        <f aca="false">IF($B1713="","",IF(AND(J1713="N",G1713&gt;0,K1713=0,IFERROR(INDEX(고객사!$H$5:$H$104,MATCH($B1713,고객사!$A$5:$A$104,0)),"")="자사 차량 운행"),"차량 미배정",""))</f>
        <v/>
      </c>
      <c r="N1713" s="22" t="str">
        <f aca="false">IF($B1713="","",IFERROR(INDEX(고객사!$J$5:$J$104,MATCH($B1713,고객사!$A$5:$A$104,0)),0))</f>
        <v/>
      </c>
      <c r="O1713" s="22" t="str">
        <f aca="false">IF($B1713="","",G1713*N1713)</f>
        <v/>
      </c>
      <c r="P1713" s="22" t="str">
        <f aca="false">IF($B1713="","",IFERROR(INDEX(고객사!$K$5:$K$104,MATCH($B1713,고객사!$A$5:$A$104,0)),0))</f>
        <v/>
      </c>
      <c r="Q1713" s="22" t="str">
        <f aca="false">IF($B1713="","",G1713*P1713)</f>
        <v/>
      </c>
      <c r="R1713" s="22" t="str">
        <f aca="false">IF($B1713="","",O1713-Q1713-L1713)</f>
        <v/>
      </c>
      <c r="S1713" s="21" t="str">
        <f aca="false">IF(OR($B1713="",N(O1713)=0),"",R1713/O1713)</f>
        <v/>
      </c>
      <c r="T1713" s="14"/>
      <c r="U1713" s="19" t="n">
        <f aca="false">IF(OR($B1713="",$A1713=""),0,IF(COUNTIFS($A$5:$A1713,$A1713,$B$5:$B1713,$B1713)=1,1,0))</f>
        <v>0</v>
      </c>
    </row>
    <row r="1714" customFormat="false" ht="15" hidden="false" customHeight="false" outlineLevel="0" collapsed="false">
      <c r="A1714" s="17"/>
      <c r="B1714" s="13"/>
      <c r="C1714" s="20" t="str">
        <f aca="false">IF($B1714="","",IFERROR(INDEX(고객사!$B$5:$B$104,MATCH($B1714,고객사!$A$5:$A$104,0)),"코드 확인"))</f>
        <v/>
      </c>
      <c r="D1714" s="15"/>
      <c r="E1714" s="15"/>
      <c r="F1714" s="16"/>
      <c r="G1714" s="16"/>
      <c r="H1714" s="21" t="str">
        <f aca="false">IF(OR($B1714="",F1714=0),"",G1714/F1714)</f>
        <v/>
      </c>
      <c r="I1714" s="22" t="str">
        <f aca="false">IF($B1714="","",MAX(F1714-G1714,0))</f>
        <v/>
      </c>
      <c r="J1714" s="23" t="str">
        <f aca="false">IF($B1714="","",IFERROR(INDEX(고객사!$G$5:$G$104,MATCH($B1714,고객사!$A$5:$A$104,0)),""))</f>
        <v/>
      </c>
      <c r="K1714" s="16"/>
      <c r="L1714" s="22" t="str">
        <f aca="false">IF($B1714="","",K1714*IFERROR(INDEX(고객사!$L$5:$L$104,MATCH($B1714,고객사!$A$5:$A$104,0)),0))</f>
        <v/>
      </c>
      <c r="M1714" s="23" t="str">
        <f aca="false">IF($B1714="","",IF(AND(J1714="N",G1714&gt;0,K1714=0,IFERROR(INDEX(고객사!$H$5:$H$104,MATCH($B1714,고객사!$A$5:$A$104,0)),"")="자사 차량 운행"),"차량 미배정",""))</f>
        <v/>
      </c>
      <c r="N1714" s="22" t="str">
        <f aca="false">IF($B1714="","",IFERROR(INDEX(고객사!$J$5:$J$104,MATCH($B1714,고객사!$A$5:$A$104,0)),0))</f>
        <v/>
      </c>
      <c r="O1714" s="22" t="str">
        <f aca="false">IF($B1714="","",G1714*N1714)</f>
        <v/>
      </c>
      <c r="P1714" s="22" t="str">
        <f aca="false">IF($B1714="","",IFERROR(INDEX(고객사!$K$5:$K$104,MATCH($B1714,고객사!$A$5:$A$104,0)),0))</f>
        <v/>
      </c>
      <c r="Q1714" s="22" t="str">
        <f aca="false">IF($B1714="","",G1714*P1714)</f>
        <v/>
      </c>
      <c r="R1714" s="22" t="str">
        <f aca="false">IF($B1714="","",O1714-Q1714-L1714)</f>
        <v/>
      </c>
      <c r="S1714" s="21" t="str">
        <f aca="false">IF(OR($B1714="",N(O1714)=0),"",R1714/O1714)</f>
        <v/>
      </c>
      <c r="T1714" s="14"/>
      <c r="U1714" s="19" t="n">
        <f aca="false">IF(OR($B1714="",$A1714=""),0,IF(COUNTIFS($A$5:$A1714,$A1714,$B$5:$B1714,$B1714)=1,1,0))</f>
        <v>0</v>
      </c>
    </row>
    <row r="1715" customFormat="false" ht="15" hidden="false" customHeight="false" outlineLevel="0" collapsed="false">
      <c r="A1715" s="17"/>
      <c r="B1715" s="13"/>
      <c r="C1715" s="20" t="str">
        <f aca="false">IF($B1715="","",IFERROR(INDEX(고객사!$B$5:$B$104,MATCH($B1715,고객사!$A$5:$A$104,0)),"코드 확인"))</f>
        <v/>
      </c>
      <c r="D1715" s="15"/>
      <c r="E1715" s="15"/>
      <c r="F1715" s="16"/>
      <c r="G1715" s="16"/>
      <c r="H1715" s="21" t="str">
        <f aca="false">IF(OR($B1715="",F1715=0),"",G1715/F1715)</f>
        <v/>
      </c>
      <c r="I1715" s="22" t="str">
        <f aca="false">IF($B1715="","",MAX(F1715-G1715,0))</f>
        <v/>
      </c>
      <c r="J1715" s="23" t="str">
        <f aca="false">IF($B1715="","",IFERROR(INDEX(고객사!$G$5:$G$104,MATCH($B1715,고객사!$A$5:$A$104,0)),""))</f>
        <v/>
      </c>
      <c r="K1715" s="16"/>
      <c r="L1715" s="22" t="str">
        <f aca="false">IF($B1715="","",K1715*IFERROR(INDEX(고객사!$L$5:$L$104,MATCH($B1715,고객사!$A$5:$A$104,0)),0))</f>
        <v/>
      </c>
      <c r="M1715" s="23" t="str">
        <f aca="false">IF($B1715="","",IF(AND(J1715="N",G1715&gt;0,K1715=0,IFERROR(INDEX(고객사!$H$5:$H$104,MATCH($B1715,고객사!$A$5:$A$104,0)),"")="자사 차량 운행"),"차량 미배정",""))</f>
        <v/>
      </c>
      <c r="N1715" s="22" t="str">
        <f aca="false">IF($B1715="","",IFERROR(INDEX(고객사!$J$5:$J$104,MATCH($B1715,고객사!$A$5:$A$104,0)),0))</f>
        <v/>
      </c>
      <c r="O1715" s="22" t="str">
        <f aca="false">IF($B1715="","",G1715*N1715)</f>
        <v/>
      </c>
      <c r="P1715" s="22" t="str">
        <f aca="false">IF($B1715="","",IFERROR(INDEX(고객사!$K$5:$K$104,MATCH($B1715,고객사!$A$5:$A$104,0)),0))</f>
        <v/>
      </c>
      <c r="Q1715" s="22" t="str">
        <f aca="false">IF($B1715="","",G1715*P1715)</f>
        <v/>
      </c>
      <c r="R1715" s="22" t="str">
        <f aca="false">IF($B1715="","",O1715-Q1715-L1715)</f>
        <v/>
      </c>
      <c r="S1715" s="21" t="str">
        <f aca="false">IF(OR($B1715="",N(O1715)=0),"",R1715/O1715)</f>
        <v/>
      </c>
      <c r="T1715" s="14"/>
      <c r="U1715" s="19" t="n">
        <f aca="false">IF(OR($B1715="",$A1715=""),0,IF(COUNTIFS($A$5:$A1715,$A1715,$B$5:$B1715,$B1715)=1,1,0))</f>
        <v>0</v>
      </c>
    </row>
    <row r="1716" customFormat="false" ht="15" hidden="false" customHeight="false" outlineLevel="0" collapsed="false">
      <c r="A1716" s="17"/>
      <c r="B1716" s="13"/>
      <c r="C1716" s="20" t="str">
        <f aca="false">IF($B1716="","",IFERROR(INDEX(고객사!$B$5:$B$104,MATCH($B1716,고객사!$A$5:$A$104,0)),"코드 확인"))</f>
        <v/>
      </c>
      <c r="D1716" s="15"/>
      <c r="E1716" s="15"/>
      <c r="F1716" s="16"/>
      <c r="G1716" s="16"/>
      <c r="H1716" s="21" t="str">
        <f aca="false">IF(OR($B1716="",F1716=0),"",G1716/F1716)</f>
        <v/>
      </c>
      <c r="I1716" s="22" t="str">
        <f aca="false">IF($B1716="","",MAX(F1716-G1716,0))</f>
        <v/>
      </c>
      <c r="J1716" s="23" t="str">
        <f aca="false">IF($B1716="","",IFERROR(INDEX(고객사!$G$5:$G$104,MATCH($B1716,고객사!$A$5:$A$104,0)),""))</f>
        <v/>
      </c>
      <c r="K1716" s="16"/>
      <c r="L1716" s="22" t="str">
        <f aca="false">IF($B1716="","",K1716*IFERROR(INDEX(고객사!$L$5:$L$104,MATCH($B1716,고객사!$A$5:$A$104,0)),0))</f>
        <v/>
      </c>
      <c r="M1716" s="23" t="str">
        <f aca="false">IF($B1716="","",IF(AND(J1716="N",G1716&gt;0,K1716=0,IFERROR(INDEX(고객사!$H$5:$H$104,MATCH($B1716,고객사!$A$5:$A$104,0)),"")="자사 차량 운행"),"차량 미배정",""))</f>
        <v/>
      </c>
      <c r="N1716" s="22" t="str">
        <f aca="false">IF($B1716="","",IFERROR(INDEX(고객사!$J$5:$J$104,MATCH($B1716,고객사!$A$5:$A$104,0)),0))</f>
        <v/>
      </c>
      <c r="O1716" s="22" t="str">
        <f aca="false">IF($B1716="","",G1716*N1716)</f>
        <v/>
      </c>
      <c r="P1716" s="22" t="str">
        <f aca="false">IF($B1716="","",IFERROR(INDEX(고객사!$K$5:$K$104,MATCH($B1716,고객사!$A$5:$A$104,0)),0))</f>
        <v/>
      </c>
      <c r="Q1716" s="22" t="str">
        <f aca="false">IF($B1716="","",G1716*P1716)</f>
        <v/>
      </c>
      <c r="R1716" s="22" t="str">
        <f aca="false">IF($B1716="","",O1716-Q1716-L1716)</f>
        <v/>
      </c>
      <c r="S1716" s="21" t="str">
        <f aca="false">IF(OR($B1716="",N(O1716)=0),"",R1716/O1716)</f>
        <v/>
      </c>
      <c r="T1716" s="14"/>
      <c r="U1716" s="19" t="n">
        <f aca="false">IF(OR($B1716="",$A1716=""),0,IF(COUNTIFS($A$5:$A1716,$A1716,$B$5:$B1716,$B1716)=1,1,0))</f>
        <v>0</v>
      </c>
    </row>
    <row r="1717" customFormat="false" ht="15" hidden="false" customHeight="false" outlineLevel="0" collapsed="false">
      <c r="A1717" s="17"/>
      <c r="B1717" s="13"/>
      <c r="C1717" s="20" t="str">
        <f aca="false">IF($B1717="","",IFERROR(INDEX(고객사!$B$5:$B$104,MATCH($B1717,고객사!$A$5:$A$104,0)),"코드 확인"))</f>
        <v/>
      </c>
      <c r="D1717" s="15"/>
      <c r="E1717" s="15"/>
      <c r="F1717" s="16"/>
      <c r="G1717" s="16"/>
      <c r="H1717" s="21" t="str">
        <f aca="false">IF(OR($B1717="",F1717=0),"",G1717/F1717)</f>
        <v/>
      </c>
      <c r="I1717" s="22" t="str">
        <f aca="false">IF($B1717="","",MAX(F1717-G1717,0))</f>
        <v/>
      </c>
      <c r="J1717" s="23" t="str">
        <f aca="false">IF($B1717="","",IFERROR(INDEX(고객사!$G$5:$G$104,MATCH($B1717,고객사!$A$5:$A$104,0)),""))</f>
        <v/>
      </c>
      <c r="K1717" s="16"/>
      <c r="L1717" s="22" t="str">
        <f aca="false">IF($B1717="","",K1717*IFERROR(INDEX(고객사!$L$5:$L$104,MATCH($B1717,고객사!$A$5:$A$104,0)),0))</f>
        <v/>
      </c>
      <c r="M1717" s="23" t="str">
        <f aca="false">IF($B1717="","",IF(AND(J1717="N",G1717&gt;0,K1717=0,IFERROR(INDEX(고객사!$H$5:$H$104,MATCH($B1717,고객사!$A$5:$A$104,0)),"")="자사 차량 운행"),"차량 미배정",""))</f>
        <v/>
      </c>
      <c r="N1717" s="22" t="str">
        <f aca="false">IF($B1717="","",IFERROR(INDEX(고객사!$J$5:$J$104,MATCH($B1717,고객사!$A$5:$A$104,0)),0))</f>
        <v/>
      </c>
      <c r="O1717" s="22" t="str">
        <f aca="false">IF($B1717="","",G1717*N1717)</f>
        <v/>
      </c>
      <c r="P1717" s="22" t="str">
        <f aca="false">IF($B1717="","",IFERROR(INDEX(고객사!$K$5:$K$104,MATCH($B1717,고객사!$A$5:$A$104,0)),0))</f>
        <v/>
      </c>
      <c r="Q1717" s="22" t="str">
        <f aca="false">IF($B1717="","",G1717*P1717)</f>
        <v/>
      </c>
      <c r="R1717" s="22" t="str">
        <f aca="false">IF($B1717="","",O1717-Q1717-L1717)</f>
        <v/>
      </c>
      <c r="S1717" s="21" t="str">
        <f aca="false">IF(OR($B1717="",N(O1717)=0),"",R1717/O1717)</f>
        <v/>
      </c>
      <c r="T1717" s="14"/>
      <c r="U1717" s="19" t="n">
        <f aca="false">IF(OR($B1717="",$A1717=""),0,IF(COUNTIFS($A$5:$A1717,$A1717,$B$5:$B1717,$B1717)=1,1,0))</f>
        <v>0</v>
      </c>
    </row>
    <row r="1718" customFormat="false" ht="15" hidden="false" customHeight="false" outlineLevel="0" collapsed="false">
      <c r="A1718" s="17"/>
      <c r="B1718" s="13"/>
      <c r="C1718" s="20" t="str">
        <f aca="false">IF($B1718="","",IFERROR(INDEX(고객사!$B$5:$B$104,MATCH($B1718,고객사!$A$5:$A$104,0)),"코드 확인"))</f>
        <v/>
      </c>
      <c r="D1718" s="15"/>
      <c r="E1718" s="15"/>
      <c r="F1718" s="16"/>
      <c r="G1718" s="16"/>
      <c r="H1718" s="21" t="str">
        <f aca="false">IF(OR($B1718="",F1718=0),"",G1718/F1718)</f>
        <v/>
      </c>
      <c r="I1718" s="22" t="str">
        <f aca="false">IF($B1718="","",MAX(F1718-G1718,0))</f>
        <v/>
      </c>
      <c r="J1718" s="23" t="str">
        <f aca="false">IF($B1718="","",IFERROR(INDEX(고객사!$G$5:$G$104,MATCH($B1718,고객사!$A$5:$A$104,0)),""))</f>
        <v/>
      </c>
      <c r="K1718" s="16"/>
      <c r="L1718" s="22" t="str">
        <f aca="false">IF($B1718="","",K1718*IFERROR(INDEX(고객사!$L$5:$L$104,MATCH($B1718,고객사!$A$5:$A$104,0)),0))</f>
        <v/>
      </c>
      <c r="M1718" s="23" t="str">
        <f aca="false">IF($B1718="","",IF(AND(J1718="N",G1718&gt;0,K1718=0,IFERROR(INDEX(고객사!$H$5:$H$104,MATCH($B1718,고객사!$A$5:$A$104,0)),"")="자사 차량 운행"),"차량 미배정",""))</f>
        <v/>
      </c>
      <c r="N1718" s="22" t="str">
        <f aca="false">IF($B1718="","",IFERROR(INDEX(고객사!$J$5:$J$104,MATCH($B1718,고객사!$A$5:$A$104,0)),0))</f>
        <v/>
      </c>
      <c r="O1718" s="22" t="str">
        <f aca="false">IF($B1718="","",G1718*N1718)</f>
        <v/>
      </c>
      <c r="P1718" s="22" t="str">
        <f aca="false">IF($B1718="","",IFERROR(INDEX(고객사!$K$5:$K$104,MATCH($B1718,고객사!$A$5:$A$104,0)),0))</f>
        <v/>
      </c>
      <c r="Q1718" s="22" t="str">
        <f aca="false">IF($B1718="","",G1718*P1718)</f>
        <v/>
      </c>
      <c r="R1718" s="22" t="str">
        <f aca="false">IF($B1718="","",O1718-Q1718-L1718)</f>
        <v/>
      </c>
      <c r="S1718" s="21" t="str">
        <f aca="false">IF(OR($B1718="",N(O1718)=0),"",R1718/O1718)</f>
        <v/>
      </c>
      <c r="T1718" s="14"/>
      <c r="U1718" s="19" t="n">
        <f aca="false">IF(OR($B1718="",$A1718=""),0,IF(COUNTIFS($A$5:$A1718,$A1718,$B$5:$B1718,$B1718)=1,1,0))</f>
        <v>0</v>
      </c>
    </row>
    <row r="1719" customFormat="false" ht="15" hidden="false" customHeight="false" outlineLevel="0" collapsed="false">
      <c r="A1719" s="17"/>
      <c r="B1719" s="13"/>
      <c r="C1719" s="20" t="str">
        <f aca="false">IF($B1719="","",IFERROR(INDEX(고객사!$B$5:$B$104,MATCH($B1719,고객사!$A$5:$A$104,0)),"코드 확인"))</f>
        <v/>
      </c>
      <c r="D1719" s="15"/>
      <c r="E1719" s="15"/>
      <c r="F1719" s="16"/>
      <c r="G1719" s="16"/>
      <c r="H1719" s="21" t="str">
        <f aca="false">IF(OR($B1719="",F1719=0),"",G1719/F1719)</f>
        <v/>
      </c>
      <c r="I1719" s="22" t="str">
        <f aca="false">IF($B1719="","",MAX(F1719-G1719,0))</f>
        <v/>
      </c>
      <c r="J1719" s="23" t="str">
        <f aca="false">IF($B1719="","",IFERROR(INDEX(고객사!$G$5:$G$104,MATCH($B1719,고객사!$A$5:$A$104,0)),""))</f>
        <v/>
      </c>
      <c r="K1719" s="16"/>
      <c r="L1719" s="22" t="str">
        <f aca="false">IF($B1719="","",K1719*IFERROR(INDEX(고객사!$L$5:$L$104,MATCH($B1719,고객사!$A$5:$A$104,0)),0))</f>
        <v/>
      </c>
      <c r="M1719" s="23" t="str">
        <f aca="false">IF($B1719="","",IF(AND(J1719="N",G1719&gt;0,K1719=0,IFERROR(INDEX(고객사!$H$5:$H$104,MATCH($B1719,고객사!$A$5:$A$104,0)),"")="자사 차량 운행"),"차량 미배정",""))</f>
        <v/>
      </c>
      <c r="N1719" s="22" t="str">
        <f aca="false">IF($B1719="","",IFERROR(INDEX(고객사!$J$5:$J$104,MATCH($B1719,고객사!$A$5:$A$104,0)),0))</f>
        <v/>
      </c>
      <c r="O1719" s="22" t="str">
        <f aca="false">IF($B1719="","",G1719*N1719)</f>
        <v/>
      </c>
      <c r="P1719" s="22" t="str">
        <f aca="false">IF($B1719="","",IFERROR(INDEX(고객사!$K$5:$K$104,MATCH($B1719,고객사!$A$5:$A$104,0)),0))</f>
        <v/>
      </c>
      <c r="Q1719" s="22" t="str">
        <f aca="false">IF($B1719="","",G1719*P1719)</f>
        <v/>
      </c>
      <c r="R1719" s="22" t="str">
        <f aca="false">IF($B1719="","",O1719-Q1719-L1719)</f>
        <v/>
      </c>
      <c r="S1719" s="21" t="str">
        <f aca="false">IF(OR($B1719="",N(O1719)=0),"",R1719/O1719)</f>
        <v/>
      </c>
      <c r="T1719" s="14"/>
      <c r="U1719" s="19" t="n">
        <f aca="false">IF(OR($B1719="",$A1719=""),0,IF(COUNTIFS($A$5:$A1719,$A1719,$B$5:$B1719,$B1719)=1,1,0))</f>
        <v>0</v>
      </c>
    </row>
    <row r="1720" customFormat="false" ht="15" hidden="false" customHeight="false" outlineLevel="0" collapsed="false">
      <c r="A1720" s="17"/>
      <c r="B1720" s="13"/>
      <c r="C1720" s="20" t="str">
        <f aca="false">IF($B1720="","",IFERROR(INDEX(고객사!$B$5:$B$104,MATCH($B1720,고객사!$A$5:$A$104,0)),"코드 확인"))</f>
        <v/>
      </c>
      <c r="D1720" s="15"/>
      <c r="E1720" s="15"/>
      <c r="F1720" s="16"/>
      <c r="G1720" s="16"/>
      <c r="H1720" s="21" t="str">
        <f aca="false">IF(OR($B1720="",F1720=0),"",G1720/F1720)</f>
        <v/>
      </c>
      <c r="I1720" s="22" t="str">
        <f aca="false">IF($B1720="","",MAX(F1720-G1720,0))</f>
        <v/>
      </c>
      <c r="J1720" s="23" t="str">
        <f aca="false">IF($B1720="","",IFERROR(INDEX(고객사!$G$5:$G$104,MATCH($B1720,고객사!$A$5:$A$104,0)),""))</f>
        <v/>
      </c>
      <c r="K1720" s="16"/>
      <c r="L1720" s="22" t="str">
        <f aca="false">IF($B1720="","",K1720*IFERROR(INDEX(고객사!$L$5:$L$104,MATCH($B1720,고객사!$A$5:$A$104,0)),0))</f>
        <v/>
      </c>
      <c r="M1720" s="23" t="str">
        <f aca="false">IF($B1720="","",IF(AND(J1720="N",G1720&gt;0,K1720=0,IFERROR(INDEX(고객사!$H$5:$H$104,MATCH($B1720,고객사!$A$5:$A$104,0)),"")="자사 차량 운행"),"차량 미배정",""))</f>
        <v/>
      </c>
      <c r="N1720" s="22" t="str">
        <f aca="false">IF($B1720="","",IFERROR(INDEX(고객사!$J$5:$J$104,MATCH($B1720,고객사!$A$5:$A$104,0)),0))</f>
        <v/>
      </c>
      <c r="O1720" s="22" t="str">
        <f aca="false">IF($B1720="","",G1720*N1720)</f>
        <v/>
      </c>
      <c r="P1720" s="22" t="str">
        <f aca="false">IF($B1720="","",IFERROR(INDEX(고객사!$K$5:$K$104,MATCH($B1720,고객사!$A$5:$A$104,0)),0))</f>
        <v/>
      </c>
      <c r="Q1720" s="22" t="str">
        <f aca="false">IF($B1720="","",G1720*P1720)</f>
        <v/>
      </c>
      <c r="R1720" s="22" t="str">
        <f aca="false">IF($B1720="","",O1720-Q1720-L1720)</f>
        <v/>
      </c>
      <c r="S1720" s="21" t="str">
        <f aca="false">IF(OR($B1720="",N(O1720)=0),"",R1720/O1720)</f>
        <v/>
      </c>
      <c r="T1720" s="14"/>
      <c r="U1720" s="19" t="n">
        <f aca="false">IF(OR($B1720="",$A1720=""),0,IF(COUNTIFS($A$5:$A1720,$A1720,$B$5:$B1720,$B1720)=1,1,0))</f>
        <v>0</v>
      </c>
    </row>
    <row r="1721" customFormat="false" ht="15" hidden="false" customHeight="false" outlineLevel="0" collapsed="false">
      <c r="A1721" s="17"/>
      <c r="B1721" s="13"/>
      <c r="C1721" s="20" t="str">
        <f aca="false">IF($B1721="","",IFERROR(INDEX(고객사!$B$5:$B$104,MATCH($B1721,고객사!$A$5:$A$104,0)),"코드 확인"))</f>
        <v/>
      </c>
      <c r="D1721" s="15"/>
      <c r="E1721" s="15"/>
      <c r="F1721" s="16"/>
      <c r="G1721" s="16"/>
      <c r="H1721" s="21" t="str">
        <f aca="false">IF(OR($B1721="",F1721=0),"",G1721/F1721)</f>
        <v/>
      </c>
      <c r="I1721" s="22" t="str">
        <f aca="false">IF($B1721="","",MAX(F1721-G1721,0))</f>
        <v/>
      </c>
      <c r="J1721" s="23" t="str">
        <f aca="false">IF($B1721="","",IFERROR(INDEX(고객사!$G$5:$G$104,MATCH($B1721,고객사!$A$5:$A$104,0)),""))</f>
        <v/>
      </c>
      <c r="K1721" s="16"/>
      <c r="L1721" s="22" t="str">
        <f aca="false">IF($B1721="","",K1721*IFERROR(INDEX(고객사!$L$5:$L$104,MATCH($B1721,고객사!$A$5:$A$104,0)),0))</f>
        <v/>
      </c>
      <c r="M1721" s="23" t="str">
        <f aca="false">IF($B1721="","",IF(AND(J1721="N",G1721&gt;0,K1721=0,IFERROR(INDEX(고객사!$H$5:$H$104,MATCH($B1721,고객사!$A$5:$A$104,0)),"")="자사 차량 운행"),"차량 미배정",""))</f>
        <v/>
      </c>
      <c r="N1721" s="22" t="str">
        <f aca="false">IF($B1721="","",IFERROR(INDEX(고객사!$J$5:$J$104,MATCH($B1721,고객사!$A$5:$A$104,0)),0))</f>
        <v/>
      </c>
      <c r="O1721" s="22" t="str">
        <f aca="false">IF($B1721="","",G1721*N1721)</f>
        <v/>
      </c>
      <c r="P1721" s="22" t="str">
        <f aca="false">IF($B1721="","",IFERROR(INDEX(고객사!$K$5:$K$104,MATCH($B1721,고객사!$A$5:$A$104,0)),0))</f>
        <v/>
      </c>
      <c r="Q1721" s="22" t="str">
        <f aca="false">IF($B1721="","",G1721*P1721)</f>
        <v/>
      </c>
      <c r="R1721" s="22" t="str">
        <f aca="false">IF($B1721="","",O1721-Q1721-L1721)</f>
        <v/>
      </c>
      <c r="S1721" s="21" t="str">
        <f aca="false">IF(OR($B1721="",N(O1721)=0),"",R1721/O1721)</f>
        <v/>
      </c>
      <c r="T1721" s="14"/>
      <c r="U1721" s="19" t="n">
        <f aca="false">IF(OR($B1721="",$A1721=""),0,IF(COUNTIFS($A$5:$A1721,$A1721,$B$5:$B1721,$B1721)=1,1,0))</f>
        <v>0</v>
      </c>
    </row>
    <row r="1722" customFormat="false" ht="15" hidden="false" customHeight="false" outlineLevel="0" collapsed="false">
      <c r="A1722" s="17"/>
      <c r="B1722" s="13"/>
      <c r="C1722" s="20" t="str">
        <f aca="false">IF($B1722="","",IFERROR(INDEX(고객사!$B$5:$B$104,MATCH($B1722,고객사!$A$5:$A$104,0)),"코드 확인"))</f>
        <v/>
      </c>
      <c r="D1722" s="15"/>
      <c r="E1722" s="15"/>
      <c r="F1722" s="16"/>
      <c r="G1722" s="16"/>
      <c r="H1722" s="21" t="str">
        <f aca="false">IF(OR($B1722="",F1722=0),"",G1722/F1722)</f>
        <v/>
      </c>
      <c r="I1722" s="22" t="str">
        <f aca="false">IF($B1722="","",MAX(F1722-G1722,0))</f>
        <v/>
      </c>
      <c r="J1722" s="23" t="str">
        <f aca="false">IF($B1722="","",IFERROR(INDEX(고객사!$G$5:$G$104,MATCH($B1722,고객사!$A$5:$A$104,0)),""))</f>
        <v/>
      </c>
      <c r="K1722" s="16"/>
      <c r="L1722" s="22" t="str">
        <f aca="false">IF($B1722="","",K1722*IFERROR(INDEX(고객사!$L$5:$L$104,MATCH($B1722,고객사!$A$5:$A$104,0)),0))</f>
        <v/>
      </c>
      <c r="M1722" s="23" t="str">
        <f aca="false">IF($B1722="","",IF(AND(J1722="N",G1722&gt;0,K1722=0,IFERROR(INDEX(고객사!$H$5:$H$104,MATCH($B1722,고객사!$A$5:$A$104,0)),"")="자사 차량 운행"),"차량 미배정",""))</f>
        <v/>
      </c>
      <c r="N1722" s="22" t="str">
        <f aca="false">IF($B1722="","",IFERROR(INDEX(고객사!$J$5:$J$104,MATCH($B1722,고객사!$A$5:$A$104,0)),0))</f>
        <v/>
      </c>
      <c r="O1722" s="22" t="str">
        <f aca="false">IF($B1722="","",G1722*N1722)</f>
        <v/>
      </c>
      <c r="P1722" s="22" t="str">
        <f aca="false">IF($B1722="","",IFERROR(INDEX(고객사!$K$5:$K$104,MATCH($B1722,고객사!$A$5:$A$104,0)),0))</f>
        <v/>
      </c>
      <c r="Q1722" s="22" t="str">
        <f aca="false">IF($B1722="","",G1722*P1722)</f>
        <v/>
      </c>
      <c r="R1722" s="22" t="str">
        <f aca="false">IF($B1722="","",O1722-Q1722-L1722)</f>
        <v/>
      </c>
      <c r="S1722" s="21" t="str">
        <f aca="false">IF(OR($B1722="",N(O1722)=0),"",R1722/O1722)</f>
        <v/>
      </c>
      <c r="T1722" s="14"/>
      <c r="U1722" s="19" t="n">
        <f aca="false">IF(OR($B1722="",$A1722=""),0,IF(COUNTIFS($A$5:$A1722,$A1722,$B$5:$B1722,$B1722)=1,1,0))</f>
        <v>0</v>
      </c>
    </row>
    <row r="1723" customFormat="false" ht="15" hidden="false" customHeight="false" outlineLevel="0" collapsed="false">
      <c r="A1723" s="17"/>
      <c r="B1723" s="13"/>
      <c r="C1723" s="20" t="str">
        <f aca="false">IF($B1723="","",IFERROR(INDEX(고객사!$B$5:$B$104,MATCH($B1723,고객사!$A$5:$A$104,0)),"코드 확인"))</f>
        <v/>
      </c>
      <c r="D1723" s="15"/>
      <c r="E1723" s="15"/>
      <c r="F1723" s="16"/>
      <c r="G1723" s="16"/>
      <c r="H1723" s="21" t="str">
        <f aca="false">IF(OR($B1723="",F1723=0),"",G1723/F1723)</f>
        <v/>
      </c>
      <c r="I1723" s="22" t="str">
        <f aca="false">IF($B1723="","",MAX(F1723-G1723,0))</f>
        <v/>
      </c>
      <c r="J1723" s="23" t="str">
        <f aca="false">IF($B1723="","",IFERROR(INDEX(고객사!$G$5:$G$104,MATCH($B1723,고객사!$A$5:$A$104,0)),""))</f>
        <v/>
      </c>
      <c r="K1723" s="16"/>
      <c r="L1723" s="22" t="str">
        <f aca="false">IF($B1723="","",K1723*IFERROR(INDEX(고객사!$L$5:$L$104,MATCH($B1723,고객사!$A$5:$A$104,0)),0))</f>
        <v/>
      </c>
      <c r="M1723" s="23" t="str">
        <f aca="false">IF($B1723="","",IF(AND(J1723="N",G1723&gt;0,K1723=0,IFERROR(INDEX(고객사!$H$5:$H$104,MATCH($B1723,고객사!$A$5:$A$104,0)),"")="자사 차량 운행"),"차량 미배정",""))</f>
        <v/>
      </c>
      <c r="N1723" s="22" t="str">
        <f aca="false">IF($B1723="","",IFERROR(INDEX(고객사!$J$5:$J$104,MATCH($B1723,고객사!$A$5:$A$104,0)),0))</f>
        <v/>
      </c>
      <c r="O1723" s="22" t="str">
        <f aca="false">IF($B1723="","",G1723*N1723)</f>
        <v/>
      </c>
      <c r="P1723" s="22" t="str">
        <f aca="false">IF($B1723="","",IFERROR(INDEX(고객사!$K$5:$K$104,MATCH($B1723,고객사!$A$5:$A$104,0)),0))</f>
        <v/>
      </c>
      <c r="Q1723" s="22" t="str">
        <f aca="false">IF($B1723="","",G1723*P1723)</f>
        <v/>
      </c>
      <c r="R1723" s="22" t="str">
        <f aca="false">IF($B1723="","",O1723-Q1723-L1723)</f>
        <v/>
      </c>
      <c r="S1723" s="21" t="str">
        <f aca="false">IF(OR($B1723="",N(O1723)=0),"",R1723/O1723)</f>
        <v/>
      </c>
      <c r="T1723" s="14"/>
      <c r="U1723" s="19" t="n">
        <f aca="false">IF(OR($B1723="",$A1723=""),0,IF(COUNTIFS($A$5:$A1723,$A1723,$B$5:$B1723,$B1723)=1,1,0))</f>
        <v>0</v>
      </c>
    </row>
    <row r="1724" customFormat="false" ht="15" hidden="false" customHeight="false" outlineLevel="0" collapsed="false">
      <c r="A1724" s="17"/>
      <c r="B1724" s="13"/>
      <c r="C1724" s="20" t="str">
        <f aca="false">IF($B1724="","",IFERROR(INDEX(고객사!$B$5:$B$104,MATCH($B1724,고객사!$A$5:$A$104,0)),"코드 확인"))</f>
        <v/>
      </c>
      <c r="D1724" s="15"/>
      <c r="E1724" s="15"/>
      <c r="F1724" s="16"/>
      <c r="G1724" s="16"/>
      <c r="H1724" s="21" t="str">
        <f aca="false">IF(OR($B1724="",F1724=0),"",G1724/F1724)</f>
        <v/>
      </c>
      <c r="I1724" s="22" t="str">
        <f aca="false">IF($B1724="","",MAX(F1724-G1724,0))</f>
        <v/>
      </c>
      <c r="J1724" s="23" t="str">
        <f aca="false">IF($B1724="","",IFERROR(INDEX(고객사!$G$5:$G$104,MATCH($B1724,고객사!$A$5:$A$104,0)),""))</f>
        <v/>
      </c>
      <c r="K1724" s="16"/>
      <c r="L1724" s="22" t="str">
        <f aca="false">IF($B1724="","",K1724*IFERROR(INDEX(고객사!$L$5:$L$104,MATCH($B1724,고객사!$A$5:$A$104,0)),0))</f>
        <v/>
      </c>
      <c r="M1724" s="23" t="str">
        <f aca="false">IF($B1724="","",IF(AND(J1724="N",G1724&gt;0,K1724=0,IFERROR(INDEX(고객사!$H$5:$H$104,MATCH($B1724,고객사!$A$5:$A$104,0)),"")="자사 차량 운행"),"차량 미배정",""))</f>
        <v/>
      </c>
      <c r="N1724" s="22" t="str">
        <f aca="false">IF($B1724="","",IFERROR(INDEX(고객사!$J$5:$J$104,MATCH($B1724,고객사!$A$5:$A$104,0)),0))</f>
        <v/>
      </c>
      <c r="O1724" s="22" t="str">
        <f aca="false">IF($B1724="","",G1724*N1724)</f>
        <v/>
      </c>
      <c r="P1724" s="22" t="str">
        <f aca="false">IF($B1724="","",IFERROR(INDEX(고객사!$K$5:$K$104,MATCH($B1724,고객사!$A$5:$A$104,0)),0))</f>
        <v/>
      </c>
      <c r="Q1724" s="22" t="str">
        <f aca="false">IF($B1724="","",G1724*P1724)</f>
        <v/>
      </c>
      <c r="R1724" s="22" t="str">
        <f aca="false">IF($B1724="","",O1724-Q1724-L1724)</f>
        <v/>
      </c>
      <c r="S1724" s="21" t="str">
        <f aca="false">IF(OR($B1724="",N(O1724)=0),"",R1724/O1724)</f>
        <v/>
      </c>
      <c r="T1724" s="14"/>
      <c r="U1724" s="19" t="n">
        <f aca="false">IF(OR($B1724="",$A1724=""),0,IF(COUNTIFS($A$5:$A1724,$A1724,$B$5:$B1724,$B1724)=1,1,0))</f>
        <v>0</v>
      </c>
    </row>
    <row r="1725" customFormat="false" ht="15" hidden="false" customHeight="false" outlineLevel="0" collapsed="false">
      <c r="A1725" s="17"/>
      <c r="B1725" s="13"/>
      <c r="C1725" s="20" t="str">
        <f aca="false">IF($B1725="","",IFERROR(INDEX(고객사!$B$5:$B$104,MATCH($B1725,고객사!$A$5:$A$104,0)),"코드 확인"))</f>
        <v/>
      </c>
      <c r="D1725" s="15"/>
      <c r="E1725" s="15"/>
      <c r="F1725" s="16"/>
      <c r="G1725" s="16"/>
      <c r="H1725" s="21" t="str">
        <f aca="false">IF(OR($B1725="",F1725=0),"",G1725/F1725)</f>
        <v/>
      </c>
      <c r="I1725" s="22" t="str">
        <f aca="false">IF($B1725="","",MAX(F1725-G1725,0))</f>
        <v/>
      </c>
      <c r="J1725" s="23" t="str">
        <f aca="false">IF($B1725="","",IFERROR(INDEX(고객사!$G$5:$G$104,MATCH($B1725,고객사!$A$5:$A$104,0)),""))</f>
        <v/>
      </c>
      <c r="K1725" s="16"/>
      <c r="L1725" s="22" t="str">
        <f aca="false">IF($B1725="","",K1725*IFERROR(INDEX(고객사!$L$5:$L$104,MATCH($B1725,고객사!$A$5:$A$104,0)),0))</f>
        <v/>
      </c>
      <c r="M1725" s="23" t="str">
        <f aca="false">IF($B1725="","",IF(AND(J1725="N",G1725&gt;0,K1725=0,IFERROR(INDEX(고객사!$H$5:$H$104,MATCH($B1725,고객사!$A$5:$A$104,0)),"")="자사 차량 운행"),"차량 미배정",""))</f>
        <v/>
      </c>
      <c r="N1725" s="22" t="str">
        <f aca="false">IF($B1725="","",IFERROR(INDEX(고객사!$J$5:$J$104,MATCH($B1725,고객사!$A$5:$A$104,0)),0))</f>
        <v/>
      </c>
      <c r="O1725" s="22" t="str">
        <f aca="false">IF($B1725="","",G1725*N1725)</f>
        <v/>
      </c>
      <c r="P1725" s="22" t="str">
        <f aca="false">IF($B1725="","",IFERROR(INDEX(고객사!$K$5:$K$104,MATCH($B1725,고객사!$A$5:$A$104,0)),0))</f>
        <v/>
      </c>
      <c r="Q1725" s="22" t="str">
        <f aca="false">IF($B1725="","",G1725*P1725)</f>
        <v/>
      </c>
      <c r="R1725" s="22" t="str">
        <f aca="false">IF($B1725="","",O1725-Q1725-L1725)</f>
        <v/>
      </c>
      <c r="S1725" s="21" t="str">
        <f aca="false">IF(OR($B1725="",N(O1725)=0),"",R1725/O1725)</f>
        <v/>
      </c>
      <c r="T1725" s="14"/>
      <c r="U1725" s="19" t="n">
        <f aca="false">IF(OR($B1725="",$A1725=""),0,IF(COUNTIFS($A$5:$A1725,$A1725,$B$5:$B1725,$B1725)=1,1,0))</f>
        <v>0</v>
      </c>
    </row>
    <row r="1726" customFormat="false" ht="15" hidden="false" customHeight="false" outlineLevel="0" collapsed="false">
      <c r="A1726" s="17"/>
      <c r="B1726" s="13"/>
      <c r="C1726" s="20" t="str">
        <f aca="false">IF($B1726="","",IFERROR(INDEX(고객사!$B$5:$B$104,MATCH($B1726,고객사!$A$5:$A$104,0)),"코드 확인"))</f>
        <v/>
      </c>
      <c r="D1726" s="15"/>
      <c r="E1726" s="15"/>
      <c r="F1726" s="16"/>
      <c r="G1726" s="16"/>
      <c r="H1726" s="21" t="str">
        <f aca="false">IF(OR($B1726="",F1726=0),"",G1726/F1726)</f>
        <v/>
      </c>
      <c r="I1726" s="22" t="str">
        <f aca="false">IF($B1726="","",MAX(F1726-G1726,0))</f>
        <v/>
      </c>
      <c r="J1726" s="23" t="str">
        <f aca="false">IF($B1726="","",IFERROR(INDEX(고객사!$G$5:$G$104,MATCH($B1726,고객사!$A$5:$A$104,0)),""))</f>
        <v/>
      </c>
      <c r="K1726" s="16"/>
      <c r="L1726" s="22" t="str">
        <f aca="false">IF($B1726="","",K1726*IFERROR(INDEX(고객사!$L$5:$L$104,MATCH($B1726,고객사!$A$5:$A$104,0)),0))</f>
        <v/>
      </c>
      <c r="M1726" s="23" t="str">
        <f aca="false">IF($B1726="","",IF(AND(J1726="N",G1726&gt;0,K1726=0,IFERROR(INDEX(고객사!$H$5:$H$104,MATCH($B1726,고객사!$A$5:$A$104,0)),"")="자사 차량 운행"),"차량 미배정",""))</f>
        <v/>
      </c>
      <c r="N1726" s="22" t="str">
        <f aca="false">IF($B1726="","",IFERROR(INDEX(고객사!$J$5:$J$104,MATCH($B1726,고객사!$A$5:$A$104,0)),0))</f>
        <v/>
      </c>
      <c r="O1726" s="22" t="str">
        <f aca="false">IF($B1726="","",G1726*N1726)</f>
        <v/>
      </c>
      <c r="P1726" s="22" t="str">
        <f aca="false">IF($B1726="","",IFERROR(INDEX(고객사!$K$5:$K$104,MATCH($B1726,고객사!$A$5:$A$104,0)),0))</f>
        <v/>
      </c>
      <c r="Q1726" s="22" t="str">
        <f aca="false">IF($B1726="","",G1726*P1726)</f>
        <v/>
      </c>
      <c r="R1726" s="22" t="str">
        <f aca="false">IF($B1726="","",O1726-Q1726-L1726)</f>
        <v/>
      </c>
      <c r="S1726" s="21" t="str">
        <f aca="false">IF(OR($B1726="",N(O1726)=0),"",R1726/O1726)</f>
        <v/>
      </c>
      <c r="T1726" s="14"/>
      <c r="U1726" s="19" t="n">
        <f aca="false">IF(OR($B1726="",$A1726=""),0,IF(COUNTIFS($A$5:$A1726,$A1726,$B$5:$B1726,$B1726)=1,1,0))</f>
        <v>0</v>
      </c>
    </row>
    <row r="1727" customFormat="false" ht="15" hidden="false" customHeight="false" outlineLevel="0" collapsed="false">
      <c r="A1727" s="17"/>
      <c r="B1727" s="13"/>
      <c r="C1727" s="20" t="str">
        <f aca="false">IF($B1727="","",IFERROR(INDEX(고객사!$B$5:$B$104,MATCH($B1727,고객사!$A$5:$A$104,0)),"코드 확인"))</f>
        <v/>
      </c>
      <c r="D1727" s="15"/>
      <c r="E1727" s="15"/>
      <c r="F1727" s="16"/>
      <c r="G1727" s="16"/>
      <c r="H1727" s="21" t="str">
        <f aca="false">IF(OR($B1727="",F1727=0),"",G1727/F1727)</f>
        <v/>
      </c>
      <c r="I1727" s="22" t="str">
        <f aca="false">IF($B1727="","",MAX(F1727-G1727,0))</f>
        <v/>
      </c>
      <c r="J1727" s="23" t="str">
        <f aca="false">IF($B1727="","",IFERROR(INDEX(고객사!$G$5:$G$104,MATCH($B1727,고객사!$A$5:$A$104,0)),""))</f>
        <v/>
      </c>
      <c r="K1727" s="16"/>
      <c r="L1727" s="22" t="str">
        <f aca="false">IF($B1727="","",K1727*IFERROR(INDEX(고객사!$L$5:$L$104,MATCH($B1727,고객사!$A$5:$A$104,0)),0))</f>
        <v/>
      </c>
      <c r="M1727" s="23" t="str">
        <f aca="false">IF($B1727="","",IF(AND(J1727="N",G1727&gt;0,K1727=0,IFERROR(INDEX(고객사!$H$5:$H$104,MATCH($B1727,고객사!$A$5:$A$104,0)),"")="자사 차량 운행"),"차량 미배정",""))</f>
        <v/>
      </c>
      <c r="N1727" s="22" t="str">
        <f aca="false">IF($B1727="","",IFERROR(INDEX(고객사!$J$5:$J$104,MATCH($B1727,고객사!$A$5:$A$104,0)),0))</f>
        <v/>
      </c>
      <c r="O1727" s="22" t="str">
        <f aca="false">IF($B1727="","",G1727*N1727)</f>
        <v/>
      </c>
      <c r="P1727" s="22" t="str">
        <f aca="false">IF($B1727="","",IFERROR(INDEX(고객사!$K$5:$K$104,MATCH($B1727,고객사!$A$5:$A$104,0)),0))</f>
        <v/>
      </c>
      <c r="Q1727" s="22" t="str">
        <f aca="false">IF($B1727="","",G1727*P1727)</f>
        <v/>
      </c>
      <c r="R1727" s="22" t="str">
        <f aca="false">IF($B1727="","",O1727-Q1727-L1727)</f>
        <v/>
      </c>
      <c r="S1727" s="21" t="str">
        <f aca="false">IF(OR($B1727="",N(O1727)=0),"",R1727/O1727)</f>
        <v/>
      </c>
      <c r="T1727" s="14"/>
      <c r="U1727" s="19" t="n">
        <f aca="false">IF(OR($B1727="",$A1727=""),0,IF(COUNTIFS($A$5:$A1727,$A1727,$B$5:$B1727,$B1727)=1,1,0))</f>
        <v>0</v>
      </c>
    </row>
    <row r="1728" customFormat="false" ht="15" hidden="false" customHeight="false" outlineLevel="0" collapsed="false">
      <c r="A1728" s="17"/>
      <c r="B1728" s="13"/>
      <c r="C1728" s="20" t="str">
        <f aca="false">IF($B1728="","",IFERROR(INDEX(고객사!$B$5:$B$104,MATCH($B1728,고객사!$A$5:$A$104,0)),"코드 확인"))</f>
        <v/>
      </c>
      <c r="D1728" s="15"/>
      <c r="E1728" s="15"/>
      <c r="F1728" s="16"/>
      <c r="G1728" s="16"/>
      <c r="H1728" s="21" t="str">
        <f aca="false">IF(OR($B1728="",F1728=0),"",G1728/F1728)</f>
        <v/>
      </c>
      <c r="I1728" s="22" t="str">
        <f aca="false">IF($B1728="","",MAX(F1728-G1728,0))</f>
        <v/>
      </c>
      <c r="J1728" s="23" t="str">
        <f aca="false">IF($B1728="","",IFERROR(INDEX(고객사!$G$5:$G$104,MATCH($B1728,고객사!$A$5:$A$104,0)),""))</f>
        <v/>
      </c>
      <c r="K1728" s="16"/>
      <c r="L1728" s="22" t="str">
        <f aca="false">IF($B1728="","",K1728*IFERROR(INDEX(고객사!$L$5:$L$104,MATCH($B1728,고객사!$A$5:$A$104,0)),0))</f>
        <v/>
      </c>
      <c r="M1728" s="23" t="str">
        <f aca="false">IF($B1728="","",IF(AND(J1728="N",G1728&gt;0,K1728=0,IFERROR(INDEX(고객사!$H$5:$H$104,MATCH($B1728,고객사!$A$5:$A$104,0)),"")="자사 차량 운행"),"차량 미배정",""))</f>
        <v/>
      </c>
      <c r="N1728" s="22" t="str">
        <f aca="false">IF($B1728="","",IFERROR(INDEX(고객사!$J$5:$J$104,MATCH($B1728,고객사!$A$5:$A$104,0)),0))</f>
        <v/>
      </c>
      <c r="O1728" s="22" t="str">
        <f aca="false">IF($B1728="","",G1728*N1728)</f>
        <v/>
      </c>
      <c r="P1728" s="22" t="str">
        <f aca="false">IF($B1728="","",IFERROR(INDEX(고객사!$K$5:$K$104,MATCH($B1728,고객사!$A$5:$A$104,0)),0))</f>
        <v/>
      </c>
      <c r="Q1728" s="22" t="str">
        <f aca="false">IF($B1728="","",G1728*P1728)</f>
        <v/>
      </c>
      <c r="R1728" s="22" t="str">
        <f aca="false">IF($B1728="","",O1728-Q1728-L1728)</f>
        <v/>
      </c>
      <c r="S1728" s="21" t="str">
        <f aca="false">IF(OR($B1728="",N(O1728)=0),"",R1728/O1728)</f>
        <v/>
      </c>
      <c r="T1728" s="14"/>
      <c r="U1728" s="19" t="n">
        <f aca="false">IF(OR($B1728="",$A1728=""),0,IF(COUNTIFS($A$5:$A1728,$A1728,$B$5:$B1728,$B1728)=1,1,0))</f>
        <v>0</v>
      </c>
    </row>
    <row r="1729" customFormat="false" ht="15" hidden="false" customHeight="false" outlineLevel="0" collapsed="false">
      <c r="A1729" s="17"/>
      <c r="B1729" s="13"/>
      <c r="C1729" s="20" t="str">
        <f aca="false">IF($B1729="","",IFERROR(INDEX(고객사!$B$5:$B$104,MATCH($B1729,고객사!$A$5:$A$104,0)),"코드 확인"))</f>
        <v/>
      </c>
      <c r="D1729" s="15"/>
      <c r="E1729" s="15"/>
      <c r="F1729" s="16"/>
      <c r="G1729" s="16"/>
      <c r="H1729" s="21" t="str">
        <f aca="false">IF(OR($B1729="",F1729=0),"",G1729/F1729)</f>
        <v/>
      </c>
      <c r="I1729" s="22" t="str">
        <f aca="false">IF($B1729="","",MAX(F1729-G1729,0))</f>
        <v/>
      </c>
      <c r="J1729" s="23" t="str">
        <f aca="false">IF($B1729="","",IFERROR(INDEX(고객사!$G$5:$G$104,MATCH($B1729,고객사!$A$5:$A$104,0)),""))</f>
        <v/>
      </c>
      <c r="K1729" s="16"/>
      <c r="L1729" s="22" t="str">
        <f aca="false">IF($B1729="","",K1729*IFERROR(INDEX(고객사!$L$5:$L$104,MATCH($B1729,고객사!$A$5:$A$104,0)),0))</f>
        <v/>
      </c>
      <c r="M1729" s="23" t="str">
        <f aca="false">IF($B1729="","",IF(AND(J1729="N",G1729&gt;0,K1729=0,IFERROR(INDEX(고객사!$H$5:$H$104,MATCH($B1729,고객사!$A$5:$A$104,0)),"")="자사 차량 운행"),"차량 미배정",""))</f>
        <v/>
      </c>
      <c r="N1729" s="22" t="str">
        <f aca="false">IF($B1729="","",IFERROR(INDEX(고객사!$J$5:$J$104,MATCH($B1729,고객사!$A$5:$A$104,0)),0))</f>
        <v/>
      </c>
      <c r="O1729" s="22" t="str">
        <f aca="false">IF($B1729="","",G1729*N1729)</f>
        <v/>
      </c>
      <c r="P1729" s="22" t="str">
        <f aca="false">IF($B1729="","",IFERROR(INDEX(고객사!$K$5:$K$104,MATCH($B1729,고객사!$A$5:$A$104,0)),0))</f>
        <v/>
      </c>
      <c r="Q1729" s="22" t="str">
        <f aca="false">IF($B1729="","",G1729*P1729)</f>
        <v/>
      </c>
      <c r="R1729" s="22" t="str">
        <f aca="false">IF($B1729="","",O1729-Q1729-L1729)</f>
        <v/>
      </c>
      <c r="S1729" s="21" t="str">
        <f aca="false">IF(OR($B1729="",N(O1729)=0),"",R1729/O1729)</f>
        <v/>
      </c>
      <c r="T1729" s="14"/>
      <c r="U1729" s="19" t="n">
        <f aca="false">IF(OR($B1729="",$A1729=""),0,IF(COUNTIFS($A$5:$A1729,$A1729,$B$5:$B1729,$B1729)=1,1,0))</f>
        <v>0</v>
      </c>
    </row>
    <row r="1730" customFormat="false" ht="15" hidden="false" customHeight="false" outlineLevel="0" collapsed="false">
      <c r="A1730" s="17"/>
      <c r="B1730" s="13"/>
      <c r="C1730" s="20" t="str">
        <f aca="false">IF($B1730="","",IFERROR(INDEX(고객사!$B$5:$B$104,MATCH($B1730,고객사!$A$5:$A$104,0)),"코드 확인"))</f>
        <v/>
      </c>
      <c r="D1730" s="15"/>
      <c r="E1730" s="15"/>
      <c r="F1730" s="16"/>
      <c r="G1730" s="16"/>
      <c r="H1730" s="21" t="str">
        <f aca="false">IF(OR($B1730="",F1730=0),"",G1730/F1730)</f>
        <v/>
      </c>
      <c r="I1730" s="22" t="str">
        <f aca="false">IF($B1730="","",MAX(F1730-G1730,0))</f>
        <v/>
      </c>
      <c r="J1730" s="23" t="str">
        <f aca="false">IF($B1730="","",IFERROR(INDEX(고객사!$G$5:$G$104,MATCH($B1730,고객사!$A$5:$A$104,0)),""))</f>
        <v/>
      </c>
      <c r="K1730" s="16"/>
      <c r="L1730" s="22" t="str">
        <f aca="false">IF($B1730="","",K1730*IFERROR(INDEX(고객사!$L$5:$L$104,MATCH($B1730,고객사!$A$5:$A$104,0)),0))</f>
        <v/>
      </c>
      <c r="M1730" s="23" t="str">
        <f aca="false">IF($B1730="","",IF(AND(J1730="N",G1730&gt;0,K1730=0,IFERROR(INDEX(고객사!$H$5:$H$104,MATCH($B1730,고객사!$A$5:$A$104,0)),"")="자사 차량 운행"),"차량 미배정",""))</f>
        <v/>
      </c>
      <c r="N1730" s="22" t="str">
        <f aca="false">IF($B1730="","",IFERROR(INDEX(고객사!$J$5:$J$104,MATCH($B1730,고객사!$A$5:$A$104,0)),0))</f>
        <v/>
      </c>
      <c r="O1730" s="22" t="str">
        <f aca="false">IF($B1730="","",G1730*N1730)</f>
        <v/>
      </c>
      <c r="P1730" s="22" t="str">
        <f aca="false">IF($B1730="","",IFERROR(INDEX(고객사!$K$5:$K$104,MATCH($B1730,고객사!$A$5:$A$104,0)),0))</f>
        <v/>
      </c>
      <c r="Q1730" s="22" t="str">
        <f aca="false">IF($B1730="","",G1730*P1730)</f>
        <v/>
      </c>
      <c r="R1730" s="22" t="str">
        <f aca="false">IF($B1730="","",O1730-Q1730-L1730)</f>
        <v/>
      </c>
      <c r="S1730" s="21" t="str">
        <f aca="false">IF(OR($B1730="",N(O1730)=0),"",R1730/O1730)</f>
        <v/>
      </c>
      <c r="T1730" s="14"/>
      <c r="U1730" s="19" t="n">
        <f aca="false">IF(OR($B1730="",$A1730=""),0,IF(COUNTIFS($A$5:$A1730,$A1730,$B$5:$B1730,$B1730)=1,1,0))</f>
        <v>0</v>
      </c>
    </row>
    <row r="1731" customFormat="false" ht="15" hidden="false" customHeight="false" outlineLevel="0" collapsed="false">
      <c r="A1731" s="17"/>
      <c r="B1731" s="13"/>
      <c r="C1731" s="20" t="str">
        <f aca="false">IF($B1731="","",IFERROR(INDEX(고객사!$B$5:$B$104,MATCH($B1731,고객사!$A$5:$A$104,0)),"코드 확인"))</f>
        <v/>
      </c>
      <c r="D1731" s="15"/>
      <c r="E1731" s="15"/>
      <c r="F1731" s="16"/>
      <c r="G1731" s="16"/>
      <c r="H1731" s="21" t="str">
        <f aca="false">IF(OR($B1731="",F1731=0),"",G1731/F1731)</f>
        <v/>
      </c>
      <c r="I1731" s="22" t="str">
        <f aca="false">IF($B1731="","",MAX(F1731-G1731,0))</f>
        <v/>
      </c>
      <c r="J1731" s="23" t="str">
        <f aca="false">IF($B1731="","",IFERROR(INDEX(고객사!$G$5:$G$104,MATCH($B1731,고객사!$A$5:$A$104,0)),""))</f>
        <v/>
      </c>
      <c r="K1731" s="16"/>
      <c r="L1731" s="22" t="str">
        <f aca="false">IF($B1731="","",K1731*IFERROR(INDEX(고객사!$L$5:$L$104,MATCH($B1731,고객사!$A$5:$A$104,0)),0))</f>
        <v/>
      </c>
      <c r="M1731" s="23" t="str">
        <f aca="false">IF($B1731="","",IF(AND(J1731="N",G1731&gt;0,K1731=0,IFERROR(INDEX(고객사!$H$5:$H$104,MATCH($B1731,고객사!$A$5:$A$104,0)),"")="자사 차량 운행"),"차량 미배정",""))</f>
        <v/>
      </c>
      <c r="N1731" s="22" t="str">
        <f aca="false">IF($B1731="","",IFERROR(INDEX(고객사!$J$5:$J$104,MATCH($B1731,고객사!$A$5:$A$104,0)),0))</f>
        <v/>
      </c>
      <c r="O1731" s="22" t="str">
        <f aca="false">IF($B1731="","",G1731*N1731)</f>
        <v/>
      </c>
      <c r="P1731" s="22" t="str">
        <f aca="false">IF($B1731="","",IFERROR(INDEX(고객사!$K$5:$K$104,MATCH($B1731,고객사!$A$5:$A$104,0)),0))</f>
        <v/>
      </c>
      <c r="Q1731" s="22" t="str">
        <f aca="false">IF($B1731="","",G1731*P1731)</f>
        <v/>
      </c>
      <c r="R1731" s="22" t="str">
        <f aca="false">IF($B1731="","",O1731-Q1731-L1731)</f>
        <v/>
      </c>
      <c r="S1731" s="21" t="str">
        <f aca="false">IF(OR($B1731="",N(O1731)=0),"",R1731/O1731)</f>
        <v/>
      </c>
      <c r="T1731" s="14"/>
      <c r="U1731" s="19" t="n">
        <f aca="false">IF(OR($B1731="",$A1731=""),0,IF(COUNTIFS($A$5:$A1731,$A1731,$B$5:$B1731,$B1731)=1,1,0))</f>
        <v>0</v>
      </c>
    </row>
    <row r="1732" customFormat="false" ht="15" hidden="false" customHeight="false" outlineLevel="0" collapsed="false">
      <c r="A1732" s="17"/>
      <c r="B1732" s="13"/>
      <c r="C1732" s="20" t="str">
        <f aca="false">IF($B1732="","",IFERROR(INDEX(고객사!$B$5:$B$104,MATCH($B1732,고객사!$A$5:$A$104,0)),"코드 확인"))</f>
        <v/>
      </c>
      <c r="D1732" s="15"/>
      <c r="E1732" s="15"/>
      <c r="F1732" s="16"/>
      <c r="G1732" s="16"/>
      <c r="H1732" s="21" t="str">
        <f aca="false">IF(OR($B1732="",F1732=0),"",G1732/F1732)</f>
        <v/>
      </c>
      <c r="I1732" s="22" t="str">
        <f aca="false">IF($B1732="","",MAX(F1732-G1732,0))</f>
        <v/>
      </c>
      <c r="J1732" s="23" t="str">
        <f aca="false">IF($B1732="","",IFERROR(INDEX(고객사!$G$5:$G$104,MATCH($B1732,고객사!$A$5:$A$104,0)),""))</f>
        <v/>
      </c>
      <c r="K1732" s="16"/>
      <c r="L1732" s="22" t="str">
        <f aca="false">IF($B1732="","",K1732*IFERROR(INDEX(고객사!$L$5:$L$104,MATCH($B1732,고객사!$A$5:$A$104,0)),0))</f>
        <v/>
      </c>
      <c r="M1732" s="23" t="str">
        <f aca="false">IF($B1732="","",IF(AND(J1732="N",G1732&gt;0,K1732=0,IFERROR(INDEX(고객사!$H$5:$H$104,MATCH($B1732,고객사!$A$5:$A$104,0)),"")="자사 차량 운행"),"차량 미배정",""))</f>
        <v/>
      </c>
      <c r="N1732" s="22" t="str">
        <f aca="false">IF($B1732="","",IFERROR(INDEX(고객사!$J$5:$J$104,MATCH($B1732,고객사!$A$5:$A$104,0)),0))</f>
        <v/>
      </c>
      <c r="O1732" s="22" t="str">
        <f aca="false">IF($B1732="","",G1732*N1732)</f>
        <v/>
      </c>
      <c r="P1732" s="22" t="str">
        <f aca="false">IF($B1732="","",IFERROR(INDEX(고객사!$K$5:$K$104,MATCH($B1732,고객사!$A$5:$A$104,0)),0))</f>
        <v/>
      </c>
      <c r="Q1732" s="22" t="str">
        <f aca="false">IF($B1732="","",G1732*P1732)</f>
        <v/>
      </c>
      <c r="R1732" s="22" t="str">
        <f aca="false">IF($B1732="","",O1732-Q1732-L1732)</f>
        <v/>
      </c>
      <c r="S1732" s="21" t="str">
        <f aca="false">IF(OR($B1732="",N(O1732)=0),"",R1732/O1732)</f>
        <v/>
      </c>
      <c r="T1732" s="14"/>
      <c r="U1732" s="19" t="n">
        <f aca="false">IF(OR($B1732="",$A1732=""),0,IF(COUNTIFS($A$5:$A1732,$A1732,$B$5:$B1732,$B1732)=1,1,0))</f>
        <v>0</v>
      </c>
    </row>
    <row r="1733" customFormat="false" ht="15" hidden="false" customHeight="false" outlineLevel="0" collapsed="false">
      <c r="A1733" s="17"/>
      <c r="B1733" s="13"/>
      <c r="C1733" s="20" t="str">
        <f aca="false">IF($B1733="","",IFERROR(INDEX(고객사!$B$5:$B$104,MATCH($B1733,고객사!$A$5:$A$104,0)),"코드 확인"))</f>
        <v/>
      </c>
      <c r="D1733" s="15"/>
      <c r="E1733" s="15"/>
      <c r="F1733" s="16"/>
      <c r="G1733" s="16"/>
      <c r="H1733" s="21" t="str">
        <f aca="false">IF(OR($B1733="",F1733=0),"",G1733/F1733)</f>
        <v/>
      </c>
      <c r="I1733" s="22" t="str">
        <f aca="false">IF($B1733="","",MAX(F1733-G1733,0))</f>
        <v/>
      </c>
      <c r="J1733" s="23" t="str">
        <f aca="false">IF($B1733="","",IFERROR(INDEX(고객사!$G$5:$G$104,MATCH($B1733,고객사!$A$5:$A$104,0)),""))</f>
        <v/>
      </c>
      <c r="K1733" s="16"/>
      <c r="L1733" s="22" t="str">
        <f aca="false">IF($B1733="","",K1733*IFERROR(INDEX(고객사!$L$5:$L$104,MATCH($B1733,고객사!$A$5:$A$104,0)),0))</f>
        <v/>
      </c>
      <c r="M1733" s="23" t="str">
        <f aca="false">IF($B1733="","",IF(AND(J1733="N",G1733&gt;0,K1733=0,IFERROR(INDEX(고객사!$H$5:$H$104,MATCH($B1733,고객사!$A$5:$A$104,0)),"")="자사 차량 운행"),"차량 미배정",""))</f>
        <v/>
      </c>
      <c r="N1733" s="22" t="str">
        <f aca="false">IF($B1733="","",IFERROR(INDEX(고객사!$J$5:$J$104,MATCH($B1733,고객사!$A$5:$A$104,0)),0))</f>
        <v/>
      </c>
      <c r="O1733" s="22" t="str">
        <f aca="false">IF($B1733="","",G1733*N1733)</f>
        <v/>
      </c>
      <c r="P1733" s="22" t="str">
        <f aca="false">IF($B1733="","",IFERROR(INDEX(고객사!$K$5:$K$104,MATCH($B1733,고객사!$A$5:$A$104,0)),0))</f>
        <v/>
      </c>
      <c r="Q1733" s="22" t="str">
        <f aca="false">IF($B1733="","",G1733*P1733)</f>
        <v/>
      </c>
      <c r="R1733" s="22" t="str">
        <f aca="false">IF($B1733="","",O1733-Q1733-L1733)</f>
        <v/>
      </c>
      <c r="S1733" s="21" t="str">
        <f aca="false">IF(OR($B1733="",N(O1733)=0),"",R1733/O1733)</f>
        <v/>
      </c>
      <c r="T1733" s="14"/>
      <c r="U1733" s="19" t="n">
        <f aca="false">IF(OR($B1733="",$A1733=""),0,IF(COUNTIFS($A$5:$A1733,$A1733,$B$5:$B1733,$B1733)=1,1,0))</f>
        <v>0</v>
      </c>
    </row>
    <row r="1734" customFormat="false" ht="15" hidden="false" customHeight="false" outlineLevel="0" collapsed="false">
      <c r="A1734" s="17"/>
      <c r="B1734" s="13"/>
      <c r="C1734" s="20" t="str">
        <f aca="false">IF($B1734="","",IFERROR(INDEX(고객사!$B$5:$B$104,MATCH($B1734,고객사!$A$5:$A$104,0)),"코드 확인"))</f>
        <v/>
      </c>
      <c r="D1734" s="15"/>
      <c r="E1734" s="15"/>
      <c r="F1734" s="16"/>
      <c r="G1734" s="16"/>
      <c r="H1734" s="21" t="str">
        <f aca="false">IF(OR($B1734="",F1734=0),"",G1734/F1734)</f>
        <v/>
      </c>
      <c r="I1734" s="22" t="str">
        <f aca="false">IF($B1734="","",MAX(F1734-G1734,0))</f>
        <v/>
      </c>
      <c r="J1734" s="23" t="str">
        <f aca="false">IF($B1734="","",IFERROR(INDEX(고객사!$G$5:$G$104,MATCH($B1734,고객사!$A$5:$A$104,0)),""))</f>
        <v/>
      </c>
      <c r="K1734" s="16"/>
      <c r="L1734" s="22" t="str">
        <f aca="false">IF($B1734="","",K1734*IFERROR(INDEX(고객사!$L$5:$L$104,MATCH($B1734,고객사!$A$5:$A$104,0)),0))</f>
        <v/>
      </c>
      <c r="M1734" s="23" t="str">
        <f aca="false">IF($B1734="","",IF(AND(J1734="N",G1734&gt;0,K1734=0,IFERROR(INDEX(고객사!$H$5:$H$104,MATCH($B1734,고객사!$A$5:$A$104,0)),"")="자사 차량 운행"),"차량 미배정",""))</f>
        <v/>
      </c>
      <c r="N1734" s="22" t="str">
        <f aca="false">IF($B1734="","",IFERROR(INDEX(고객사!$J$5:$J$104,MATCH($B1734,고객사!$A$5:$A$104,0)),0))</f>
        <v/>
      </c>
      <c r="O1734" s="22" t="str">
        <f aca="false">IF($B1734="","",G1734*N1734)</f>
        <v/>
      </c>
      <c r="P1734" s="22" t="str">
        <f aca="false">IF($B1734="","",IFERROR(INDEX(고객사!$K$5:$K$104,MATCH($B1734,고객사!$A$5:$A$104,0)),0))</f>
        <v/>
      </c>
      <c r="Q1734" s="22" t="str">
        <f aca="false">IF($B1734="","",G1734*P1734)</f>
        <v/>
      </c>
      <c r="R1734" s="22" t="str">
        <f aca="false">IF($B1734="","",O1734-Q1734-L1734)</f>
        <v/>
      </c>
      <c r="S1734" s="21" t="str">
        <f aca="false">IF(OR($B1734="",N(O1734)=0),"",R1734/O1734)</f>
        <v/>
      </c>
      <c r="T1734" s="14"/>
      <c r="U1734" s="19" t="n">
        <f aca="false">IF(OR($B1734="",$A1734=""),0,IF(COUNTIFS($A$5:$A1734,$A1734,$B$5:$B1734,$B1734)=1,1,0))</f>
        <v>0</v>
      </c>
    </row>
    <row r="1735" customFormat="false" ht="15" hidden="false" customHeight="false" outlineLevel="0" collapsed="false">
      <c r="A1735" s="17"/>
      <c r="B1735" s="13"/>
      <c r="C1735" s="20" t="str">
        <f aca="false">IF($B1735="","",IFERROR(INDEX(고객사!$B$5:$B$104,MATCH($B1735,고객사!$A$5:$A$104,0)),"코드 확인"))</f>
        <v/>
      </c>
      <c r="D1735" s="15"/>
      <c r="E1735" s="15"/>
      <c r="F1735" s="16"/>
      <c r="G1735" s="16"/>
      <c r="H1735" s="21" t="str">
        <f aca="false">IF(OR($B1735="",F1735=0),"",G1735/F1735)</f>
        <v/>
      </c>
      <c r="I1735" s="22" t="str">
        <f aca="false">IF($B1735="","",MAX(F1735-G1735,0))</f>
        <v/>
      </c>
      <c r="J1735" s="23" t="str">
        <f aca="false">IF($B1735="","",IFERROR(INDEX(고객사!$G$5:$G$104,MATCH($B1735,고객사!$A$5:$A$104,0)),""))</f>
        <v/>
      </c>
      <c r="K1735" s="16"/>
      <c r="L1735" s="22" t="str">
        <f aca="false">IF($B1735="","",K1735*IFERROR(INDEX(고객사!$L$5:$L$104,MATCH($B1735,고객사!$A$5:$A$104,0)),0))</f>
        <v/>
      </c>
      <c r="M1735" s="23" t="str">
        <f aca="false">IF($B1735="","",IF(AND(J1735="N",G1735&gt;0,K1735=0,IFERROR(INDEX(고객사!$H$5:$H$104,MATCH($B1735,고객사!$A$5:$A$104,0)),"")="자사 차량 운행"),"차량 미배정",""))</f>
        <v/>
      </c>
      <c r="N1735" s="22" t="str">
        <f aca="false">IF($B1735="","",IFERROR(INDEX(고객사!$J$5:$J$104,MATCH($B1735,고객사!$A$5:$A$104,0)),0))</f>
        <v/>
      </c>
      <c r="O1735" s="22" t="str">
        <f aca="false">IF($B1735="","",G1735*N1735)</f>
        <v/>
      </c>
      <c r="P1735" s="22" t="str">
        <f aca="false">IF($B1735="","",IFERROR(INDEX(고객사!$K$5:$K$104,MATCH($B1735,고객사!$A$5:$A$104,0)),0))</f>
        <v/>
      </c>
      <c r="Q1735" s="22" t="str">
        <f aca="false">IF($B1735="","",G1735*P1735)</f>
        <v/>
      </c>
      <c r="R1735" s="22" t="str">
        <f aca="false">IF($B1735="","",O1735-Q1735-L1735)</f>
        <v/>
      </c>
      <c r="S1735" s="21" t="str">
        <f aca="false">IF(OR($B1735="",N(O1735)=0),"",R1735/O1735)</f>
        <v/>
      </c>
      <c r="T1735" s="14"/>
      <c r="U1735" s="19" t="n">
        <f aca="false">IF(OR($B1735="",$A1735=""),0,IF(COUNTIFS($A$5:$A1735,$A1735,$B$5:$B1735,$B1735)=1,1,0))</f>
        <v>0</v>
      </c>
    </row>
    <row r="1736" customFormat="false" ht="15" hidden="false" customHeight="false" outlineLevel="0" collapsed="false">
      <c r="A1736" s="17"/>
      <c r="B1736" s="13"/>
      <c r="C1736" s="20" t="str">
        <f aca="false">IF($B1736="","",IFERROR(INDEX(고객사!$B$5:$B$104,MATCH($B1736,고객사!$A$5:$A$104,0)),"코드 확인"))</f>
        <v/>
      </c>
      <c r="D1736" s="15"/>
      <c r="E1736" s="15"/>
      <c r="F1736" s="16"/>
      <c r="G1736" s="16"/>
      <c r="H1736" s="21" t="str">
        <f aca="false">IF(OR($B1736="",F1736=0),"",G1736/F1736)</f>
        <v/>
      </c>
      <c r="I1736" s="22" t="str">
        <f aca="false">IF($B1736="","",MAX(F1736-G1736,0))</f>
        <v/>
      </c>
      <c r="J1736" s="23" t="str">
        <f aca="false">IF($B1736="","",IFERROR(INDEX(고객사!$G$5:$G$104,MATCH($B1736,고객사!$A$5:$A$104,0)),""))</f>
        <v/>
      </c>
      <c r="K1736" s="16"/>
      <c r="L1736" s="22" t="str">
        <f aca="false">IF($B1736="","",K1736*IFERROR(INDEX(고객사!$L$5:$L$104,MATCH($B1736,고객사!$A$5:$A$104,0)),0))</f>
        <v/>
      </c>
      <c r="M1736" s="23" t="str">
        <f aca="false">IF($B1736="","",IF(AND(J1736="N",G1736&gt;0,K1736=0,IFERROR(INDEX(고객사!$H$5:$H$104,MATCH($B1736,고객사!$A$5:$A$104,0)),"")="자사 차량 운행"),"차량 미배정",""))</f>
        <v/>
      </c>
      <c r="N1736" s="22" t="str">
        <f aca="false">IF($B1736="","",IFERROR(INDEX(고객사!$J$5:$J$104,MATCH($B1736,고객사!$A$5:$A$104,0)),0))</f>
        <v/>
      </c>
      <c r="O1736" s="22" t="str">
        <f aca="false">IF($B1736="","",G1736*N1736)</f>
        <v/>
      </c>
      <c r="P1736" s="22" t="str">
        <f aca="false">IF($B1736="","",IFERROR(INDEX(고객사!$K$5:$K$104,MATCH($B1736,고객사!$A$5:$A$104,0)),0))</f>
        <v/>
      </c>
      <c r="Q1736" s="22" t="str">
        <f aca="false">IF($B1736="","",G1736*P1736)</f>
        <v/>
      </c>
      <c r="R1736" s="22" t="str">
        <f aca="false">IF($B1736="","",O1736-Q1736-L1736)</f>
        <v/>
      </c>
      <c r="S1736" s="21" t="str">
        <f aca="false">IF(OR($B1736="",N(O1736)=0),"",R1736/O1736)</f>
        <v/>
      </c>
      <c r="T1736" s="14"/>
      <c r="U1736" s="19" t="n">
        <f aca="false">IF(OR($B1736="",$A1736=""),0,IF(COUNTIFS($A$5:$A1736,$A1736,$B$5:$B1736,$B1736)=1,1,0))</f>
        <v>0</v>
      </c>
    </row>
    <row r="1737" customFormat="false" ht="15" hidden="false" customHeight="false" outlineLevel="0" collapsed="false">
      <c r="A1737" s="17"/>
      <c r="B1737" s="13"/>
      <c r="C1737" s="20" t="str">
        <f aca="false">IF($B1737="","",IFERROR(INDEX(고객사!$B$5:$B$104,MATCH($B1737,고객사!$A$5:$A$104,0)),"코드 확인"))</f>
        <v/>
      </c>
      <c r="D1737" s="15"/>
      <c r="E1737" s="15"/>
      <c r="F1737" s="16"/>
      <c r="G1737" s="16"/>
      <c r="H1737" s="21" t="str">
        <f aca="false">IF(OR($B1737="",F1737=0),"",G1737/F1737)</f>
        <v/>
      </c>
      <c r="I1737" s="22" t="str">
        <f aca="false">IF($B1737="","",MAX(F1737-G1737,0))</f>
        <v/>
      </c>
      <c r="J1737" s="23" t="str">
        <f aca="false">IF($B1737="","",IFERROR(INDEX(고객사!$G$5:$G$104,MATCH($B1737,고객사!$A$5:$A$104,0)),""))</f>
        <v/>
      </c>
      <c r="K1737" s="16"/>
      <c r="L1737" s="22" t="str">
        <f aca="false">IF($B1737="","",K1737*IFERROR(INDEX(고객사!$L$5:$L$104,MATCH($B1737,고객사!$A$5:$A$104,0)),0))</f>
        <v/>
      </c>
      <c r="M1737" s="23" t="str">
        <f aca="false">IF($B1737="","",IF(AND(J1737="N",G1737&gt;0,K1737=0,IFERROR(INDEX(고객사!$H$5:$H$104,MATCH($B1737,고객사!$A$5:$A$104,0)),"")="자사 차량 운행"),"차량 미배정",""))</f>
        <v/>
      </c>
      <c r="N1737" s="22" t="str">
        <f aca="false">IF($B1737="","",IFERROR(INDEX(고객사!$J$5:$J$104,MATCH($B1737,고객사!$A$5:$A$104,0)),0))</f>
        <v/>
      </c>
      <c r="O1737" s="22" t="str">
        <f aca="false">IF($B1737="","",G1737*N1737)</f>
        <v/>
      </c>
      <c r="P1737" s="22" t="str">
        <f aca="false">IF($B1737="","",IFERROR(INDEX(고객사!$K$5:$K$104,MATCH($B1737,고객사!$A$5:$A$104,0)),0))</f>
        <v/>
      </c>
      <c r="Q1737" s="22" t="str">
        <f aca="false">IF($B1737="","",G1737*P1737)</f>
        <v/>
      </c>
      <c r="R1737" s="22" t="str">
        <f aca="false">IF($B1737="","",O1737-Q1737-L1737)</f>
        <v/>
      </c>
      <c r="S1737" s="21" t="str">
        <f aca="false">IF(OR($B1737="",N(O1737)=0),"",R1737/O1737)</f>
        <v/>
      </c>
      <c r="T1737" s="14"/>
      <c r="U1737" s="19" t="n">
        <f aca="false">IF(OR($B1737="",$A1737=""),0,IF(COUNTIFS($A$5:$A1737,$A1737,$B$5:$B1737,$B1737)=1,1,0))</f>
        <v>0</v>
      </c>
    </row>
    <row r="1738" customFormat="false" ht="15" hidden="false" customHeight="false" outlineLevel="0" collapsed="false">
      <c r="A1738" s="17"/>
      <c r="B1738" s="13"/>
      <c r="C1738" s="20" t="str">
        <f aca="false">IF($B1738="","",IFERROR(INDEX(고객사!$B$5:$B$104,MATCH($B1738,고객사!$A$5:$A$104,0)),"코드 확인"))</f>
        <v/>
      </c>
      <c r="D1738" s="15"/>
      <c r="E1738" s="15"/>
      <c r="F1738" s="16"/>
      <c r="G1738" s="16"/>
      <c r="H1738" s="21" t="str">
        <f aca="false">IF(OR($B1738="",F1738=0),"",G1738/F1738)</f>
        <v/>
      </c>
      <c r="I1738" s="22" t="str">
        <f aca="false">IF($B1738="","",MAX(F1738-G1738,0))</f>
        <v/>
      </c>
      <c r="J1738" s="23" t="str">
        <f aca="false">IF($B1738="","",IFERROR(INDEX(고객사!$G$5:$G$104,MATCH($B1738,고객사!$A$5:$A$104,0)),""))</f>
        <v/>
      </c>
      <c r="K1738" s="16"/>
      <c r="L1738" s="22" t="str">
        <f aca="false">IF($B1738="","",K1738*IFERROR(INDEX(고객사!$L$5:$L$104,MATCH($B1738,고객사!$A$5:$A$104,0)),0))</f>
        <v/>
      </c>
      <c r="M1738" s="23" t="str">
        <f aca="false">IF($B1738="","",IF(AND(J1738="N",G1738&gt;0,K1738=0,IFERROR(INDEX(고객사!$H$5:$H$104,MATCH($B1738,고객사!$A$5:$A$104,0)),"")="자사 차량 운행"),"차량 미배정",""))</f>
        <v/>
      </c>
      <c r="N1738" s="22" t="str">
        <f aca="false">IF($B1738="","",IFERROR(INDEX(고객사!$J$5:$J$104,MATCH($B1738,고객사!$A$5:$A$104,0)),0))</f>
        <v/>
      </c>
      <c r="O1738" s="22" t="str">
        <f aca="false">IF($B1738="","",G1738*N1738)</f>
        <v/>
      </c>
      <c r="P1738" s="22" t="str">
        <f aca="false">IF($B1738="","",IFERROR(INDEX(고객사!$K$5:$K$104,MATCH($B1738,고객사!$A$5:$A$104,0)),0))</f>
        <v/>
      </c>
      <c r="Q1738" s="22" t="str">
        <f aca="false">IF($B1738="","",G1738*P1738)</f>
        <v/>
      </c>
      <c r="R1738" s="22" t="str">
        <f aca="false">IF($B1738="","",O1738-Q1738-L1738)</f>
        <v/>
      </c>
      <c r="S1738" s="21" t="str">
        <f aca="false">IF(OR($B1738="",N(O1738)=0),"",R1738/O1738)</f>
        <v/>
      </c>
      <c r="T1738" s="14"/>
      <c r="U1738" s="19" t="n">
        <f aca="false">IF(OR($B1738="",$A1738=""),0,IF(COUNTIFS($A$5:$A1738,$A1738,$B$5:$B1738,$B1738)=1,1,0))</f>
        <v>0</v>
      </c>
    </row>
    <row r="1739" customFormat="false" ht="15" hidden="false" customHeight="false" outlineLevel="0" collapsed="false">
      <c r="A1739" s="17"/>
      <c r="B1739" s="13"/>
      <c r="C1739" s="20" t="str">
        <f aca="false">IF($B1739="","",IFERROR(INDEX(고객사!$B$5:$B$104,MATCH($B1739,고객사!$A$5:$A$104,0)),"코드 확인"))</f>
        <v/>
      </c>
      <c r="D1739" s="15"/>
      <c r="E1739" s="15"/>
      <c r="F1739" s="16"/>
      <c r="G1739" s="16"/>
      <c r="H1739" s="21" t="str">
        <f aca="false">IF(OR($B1739="",F1739=0),"",G1739/F1739)</f>
        <v/>
      </c>
      <c r="I1739" s="22" t="str">
        <f aca="false">IF($B1739="","",MAX(F1739-G1739,0))</f>
        <v/>
      </c>
      <c r="J1739" s="23" t="str">
        <f aca="false">IF($B1739="","",IFERROR(INDEX(고객사!$G$5:$G$104,MATCH($B1739,고객사!$A$5:$A$104,0)),""))</f>
        <v/>
      </c>
      <c r="K1739" s="16"/>
      <c r="L1739" s="22" t="str">
        <f aca="false">IF($B1739="","",K1739*IFERROR(INDEX(고객사!$L$5:$L$104,MATCH($B1739,고객사!$A$5:$A$104,0)),0))</f>
        <v/>
      </c>
      <c r="M1739" s="23" t="str">
        <f aca="false">IF($B1739="","",IF(AND(J1739="N",G1739&gt;0,K1739=0,IFERROR(INDEX(고객사!$H$5:$H$104,MATCH($B1739,고객사!$A$5:$A$104,0)),"")="자사 차량 운행"),"차량 미배정",""))</f>
        <v/>
      </c>
      <c r="N1739" s="22" t="str">
        <f aca="false">IF($B1739="","",IFERROR(INDEX(고객사!$J$5:$J$104,MATCH($B1739,고객사!$A$5:$A$104,0)),0))</f>
        <v/>
      </c>
      <c r="O1739" s="22" t="str">
        <f aca="false">IF($B1739="","",G1739*N1739)</f>
        <v/>
      </c>
      <c r="P1739" s="22" t="str">
        <f aca="false">IF($B1739="","",IFERROR(INDEX(고객사!$K$5:$K$104,MATCH($B1739,고객사!$A$5:$A$104,0)),0))</f>
        <v/>
      </c>
      <c r="Q1739" s="22" t="str">
        <f aca="false">IF($B1739="","",G1739*P1739)</f>
        <v/>
      </c>
      <c r="R1739" s="22" t="str">
        <f aca="false">IF($B1739="","",O1739-Q1739-L1739)</f>
        <v/>
      </c>
      <c r="S1739" s="21" t="str">
        <f aca="false">IF(OR($B1739="",N(O1739)=0),"",R1739/O1739)</f>
        <v/>
      </c>
      <c r="T1739" s="14"/>
      <c r="U1739" s="19" t="n">
        <f aca="false">IF(OR($B1739="",$A1739=""),0,IF(COUNTIFS($A$5:$A1739,$A1739,$B$5:$B1739,$B1739)=1,1,0))</f>
        <v>0</v>
      </c>
    </row>
    <row r="1740" customFormat="false" ht="15" hidden="false" customHeight="false" outlineLevel="0" collapsed="false">
      <c r="A1740" s="17"/>
      <c r="B1740" s="13"/>
      <c r="C1740" s="20" t="str">
        <f aca="false">IF($B1740="","",IFERROR(INDEX(고객사!$B$5:$B$104,MATCH($B1740,고객사!$A$5:$A$104,0)),"코드 확인"))</f>
        <v/>
      </c>
      <c r="D1740" s="15"/>
      <c r="E1740" s="15"/>
      <c r="F1740" s="16"/>
      <c r="G1740" s="16"/>
      <c r="H1740" s="21" t="str">
        <f aca="false">IF(OR($B1740="",F1740=0),"",G1740/F1740)</f>
        <v/>
      </c>
      <c r="I1740" s="22" t="str">
        <f aca="false">IF($B1740="","",MAX(F1740-G1740,0))</f>
        <v/>
      </c>
      <c r="J1740" s="23" t="str">
        <f aca="false">IF($B1740="","",IFERROR(INDEX(고객사!$G$5:$G$104,MATCH($B1740,고객사!$A$5:$A$104,0)),""))</f>
        <v/>
      </c>
      <c r="K1740" s="16"/>
      <c r="L1740" s="22" t="str">
        <f aca="false">IF($B1740="","",K1740*IFERROR(INDEX(고객사!$L$5:$L$104,MATCH($B1740,고객사!$A$5:$A$104,0)),0))</f>
        <v/>
      </c>
      <c r="M1740" s="23" t="str">
        <f aca="false">IF($B1740="","",IF(AND(J1740="N",G1740&gt;0,K1740=0,IFERROR(INDEX(고객사!$H$5:$H$104,MATCH($B1740,고객사!$A$5:$A$104,0)),"")="자사 차량 운행"),"차량 미배정",""))</f>
        <v/>
      </c>
      <c r="N1740" s="22" t="str">
        <f aca="false">IF($B1740="","",IFERROR(INDEX(고객사!$J$5:$J$104,MATCH($B1740,고객사!$A$5:$A$104,0)),0))</f>
        <v/>
      </c>
      <c r="O1740" s="22" t="str">
        <f aca="false">IF($B1740="","",G1740*N1740)</f>
        <v/>
      </c>
      <c r="P1740" s="22" t="str">
        <f aca="false">IF($B1740="","",IFERROR(INDEX(고객사!$K$5:$K$104,MATCH($B1740,고객사!$A$5:$A$104,0)),0))</f>
        <v/>
      </c>
      <c r="Q1740" s="22" t="str">
        <f aca="false">IF($B1740="","",G1740*P1740)</f>
        <v/>
      </c>
      <c r="R1740" s="22" t="str">
        <f aca="false">IF($B1740="","",O1740-Q1740-L1740)</f>
        <v/>
      </c>
      <c r="S1740" s="21" t="str">
        <f aca="false">IF(OR($B1740="",N(O1740)=0),"",R1740/O1740)</f>
        <v/>
      </c>
      <c r="T1740" s="14"/>
      <c r="U1740" s="19" t="n">
        <f aca="false">IF(OR($B1740="",$A1740=""),0,IF(COUNTIFS($A$5:$A1740,$A1740,$B$5:$B1740,$B1740)=1,1,0))</f>
        <v>0</v>
      </c>
    </row>
    <row r="1741" customFormat="false" ht="15" hidden="false" customHeight="false" outlineLevel="0" collapsed="false">
      <c r="A1741" s="17"/>
      <c r="B1741" s="13"/>
      <c r="C1741" s="20" t="str">
        <f aca="false">IF($B1741="","",IFERROR(INDEX(고객사!$B$5:$B$104,MATCH($B1741,고객사!$A$5:$A$104,0)),"코드 확인"))</f>
        <v/>
      </c>
      <c r="D1741" s="15"/>
      <c r="E1741" s="15"/>
      <c r="F1741" s="16"/>
      <c r="G1741" s="16"/>
      <c r="H1741" s="21" t="str">
        <f aca="false">IF(OR($B1741="",F1741=0),"",G1741/F1741)</f>
        <v/>
      </c>
      <c r="I1741" s="22" t="str">
        <f aca="false">IF($B1741="","",MAX(F1741-G1741,0))</f>
        <v/>
      </c>
      <c r="J1741" s="23" t="str">
        <f aca="false">IF($B1741="","",IFERROR(INDEX(고객사!$G$5:$G$104,MATCH($B1741,고객사!$A$5:$A$104,0)),""))</f>
        <v/>
      </c>
      <c r="K1741" s="16"/>
      <c r="L1741" s="22" t="str">
        <f aca="false">IF($B1741="","",K1741*IFERROR(INDEX(고객사!$L$5:$L$104,MATCH($B1741,고객사!$A$5:$A$104,0)),0))</f>
        <v/>
      </c>
      <c r="M1741" s="23" t="str">
        <f aca="false">IF($B1741="","",IF(AND(J1741="N",G1741&gt;0,K1741=0,IFERROR(INDEX(고객사!$H$5:$H$104,MATCH($B1741,고객사!$A$5:$A$104,0)),"")="자사 차량 운행"),"차량 미배정",""))</f>
        <v/>
      </c>
      <c r="N1741" s="22" t="str">
        <f aca="false">IF($B1741="","",IFERROR(INDEX(고객사!$J$5:$J$104,MATCH($B1741,고객사!$A$5:$A$104,0)),0))</f>
        <v/>
      </c>
      <c r="O1741" s="22" t="str">
        <f aca="false">IF($B1741="","",G1741*N1741)</f>
        <v/>
      </c>
      <c r="P1741" s="22" t="str">
        <f aca="false">IF($B1741="","",IFERROR(INDEX(고객사!$K$5:$K$104,MATCH($B1741,고객사!$A$5:$A$104,0)),0))</f>
        <v/>
      </c>
      <c r="Q1741" s="22" t="str">
        <f aca="false">IF($B1741="","",G1741*P1741)</f>
        <v/>
      </c>
      <c r="R1741" s="22" t="str">
        <f aca="false">IF($B1741="","",O1741-Q1741-L1741)</f>
        <v/>
      </c>
      <c r="S1741" s="21" t="str">
        <f aca="false">IF(OR($B1741="",N(O1741)=0),"",R1741/O1741)</f>
        <v/>
      </c>
      <c r="T1741" s="14"/>
      <c r="U1741" s="19" t="n">
        <f aca="false">IF(OR($B1741="",$A1741=""),0,IF(COUNTIFS($A$5:$A1741,$A1741,$B$5:$B1741,$B1741)=1,1,0))</f>
        <v>0</v>
      </c>
    </row>
    <row r="1742" customFormat="false" ht="15" hidden="false" customHeight="false" outlineLevel="0" collapsed="false">
      <c r="A1742" s="17"/>
      <c r="B1742" s="13"/>
      <c r="C1742" s="20" t="str">
        <f aca="false">IF($B1742="","",IFERROR(INDEX(고객사!$B$5:$B$104,MATCH($B1742,고객사!$A$5:$A$104,0)),"코드 확인"))</f>
        <v/>
      </c>
      <c r="D1742" s="15"/>
      <c r="E1742" s="15"/>
      <c r="F1742" s="16"/>
      <c r="G1742" s="16"/>
      <c r="H1742" s="21" t="str">
        <f aca="false">IF(OR($B1742="",F1742=0),"",G1742/F1742)</f>
        <v/>
      </c>
      <c r="I1742" s="22" t="str">
        <f aca="false">IF($B1742="","",MAX(F1742-G1742,0))</f>
        <v/>
      </c>
      <c r="J1742" s="23" t="str">
        <f aca="false">IF($B1742="","",IFERROR(INDEX(고객사!$G$5:$G$104,MATCH($B1742,고객사!$A$5:$A$104,0)),""))</f>
        <v/>
      </c>
      <c r="K1742" s="16"/>
      <c r="L1742" s="22" t="str">
        <f aca="false">IF($B1742="","",K1742*IFERROR(INDEX(고객사!$L$5:$L$104,MATCH($B1742,고객사!$A$5:$A$104,0)),0))</f>
        <v/>
      </c>
      <c r="M1742" s="23" t="str">
        <f aca="false">IF($B1742="","",IF(AND(J1742="N",G1742&gt;0,K1742=0,IFERROR(INDEX(고객사!$H$5:$H$104,MATCH($B1742,고객사!$A$5:$A$104,0)),"")="자사 차량 운행"),"차량 미배정",""))</f>
        <v/>
      </c>
      <c r="N1742" s="22" t="str">
        <f aca="false">IF($B1742="","",IFERROR(INDEX(고객사!$J$5:$J$104,MATCH($B1742,고객사!$A$5:$A$104,0)),0))</f>
        <v/>
      </c>
      <c r="O1742" s="22" t="str">
        <f aca="false">IF($B1742="","",G1742*N1742)</f>
        <v/>
      </c>
      <c r="P1742" s="22" t="str">
        <f aca="false">IF($B1742="","",IFERROR(INDEX(고객사!$K$5:$K$104,MATCH($B1742,고객사!$A$5:$A$104,0)),0))</f>
        <v/>
      </c>
      <c r="Q1742" s="22" t="str">
        <f aca="false">IF($B1742="","",G1742*P1742)</f>
        <v/>
      </c>
      <c r="R1742" s="22" t="str">
        <f aca="false">IF($B1742="","",O1742-Q1742-L1742)</f>
        <v/>
      </c>
      <c r="S1742" s="21" t="str">
        <f aca="false">IF(OR($B1742="",N(O1742)=0),"",R1742/O1742)</f>
        <v/>
      </c>
      <c r="T1742" s="14"/>
      <c r="U1742" s="19" t="n">
        <f aca="false">IF(OR($B1742="",$A1742=""),0,IF(COUNTIFS($A$5:$A1742,$A1742,$B$5:$B1742,$B1742)=1,1,0))</f>
        <v>0</v>
      </c>
    </row>
    <row r="1743" customFormat="false" ht="15" hidden="false" customHeight="false" outlineLevel="0" collapsed="false">
      <c r="A1743" s="17"/>
      <c r="B1743" s="13"/>
      <c r="C1743" s="20" t="str">
        <f aca="false">IF($B1743="","",IFERROR(INDEX(고객사!$B$5:$B$104,MATCH($B1743,고객사!$A$5:$A$104,0)),"코드 확인"))</f>
        <v/>
      </c>
      <c r="D1743" s="15"/>
      <c r="E1743" s="15"/>
      <c r="F1743" s="16"/>
      <c r="G1743" s="16"/>
      <c r="H1743" s="21" t="str">
        <f aca="false">IF(OR($B1743="",F1743=0),"",G1743/F1743)</f>
        <v/>
      </c>
      <c r="I1743" s="22" t="str">
        <f aca="false">IF($B1743="","",MAX(F1743-G1743,0))</f>
        <v/>
      </c>
      <c r="J1743" s="23" t="str">
        <f aca="false">IF($B1743="","",IFERROR(INDEX(고객사!$G$5:$G$104,MATCH($B1743,고객사!$A$5:$A$104,0)),""))</f>
        <v/>
      </c>
      <c r="K1743" s="16"/>
      <c r="L1743" s="22" t="str">
        <f aca="false">IF($B1743="","",K1743*IFERROR(INDEX(고객사!$L$5:$L$104,MATCH($B1743,고객사!$A$5:$A$104,0)),0))</f>
        <v/>
      </c>
      <c r="M1743" s="23" t="str">
        <f aca="false">IF($B1743="","",IF(AND(J1743="N",G1743&gt;0,K1743=0,IFERROR(INDEX(고객사!$H$5:$H$104,MATCH($B1743,고객사!$A$5:$A$104,0)),"")="자사 차량 운행"),"차량 미배정",""))</f>
        <v/>
      </c>
      <c r="N1743" s="22" t="str">
        <f aca="false">IF($B1743="","",IFERROR(INDEX(고객사!$J$5:$J$104,MATCH($B1743,고객사!$A$5:$A$104,0)),0))</f>
        <v/>
      </c>
      <c r="O1743" s="22" t="str">
        <f aca="false">IF($B1743="","",G1743*N1743)</f>
        <v/>
      </c>
      <c r="P1743" s="22" t="str">
        <f aca="false">IF($B1743="","",IFERROR(INDEX(고객사!$K$5:$K$104,MATCH($B1743,고객사!$A$5:$A$104,0)),0))</f>
        <v/>
      </c>
      <c r="Q1743" s="22" t="str">
        <f aca="false">IF($B1743="","",G1743*P1743)</f>
        <v/>
      </c>
      <c r="R1743" s="22" t="str">
        <f aca="false">IF($B1743="","",O1743-Q1743-L1743)</f>
        <v/>
      </c>
      <c r="S1743" s="21" t="str">
        <f aca="false">IF(OR($B1743="",N(O1743)=0),"",R1743/O1743)</f>
        <v/>
      </c>
      <c r="T1743" s="14"/>
      <c r="U1743" s="19" t="n">
        <f aca="false">IF(OR($B1743="",$A1743=""),0,IF(COUNTIFS($A$5:$A1743,$A1743,$B$5:$B1743,$B1743)=1,1,0))</f>
        <v>0</v>
      </c>
    </row>
    <row r="1744" customFormat="false" ht="15" hidden="false" customHeight="false" outlineLevel="0" collapsed="false">
      <c r="A1744" s="17"/>
      <c r="B1744" s="13"/>
      <c r="C1744" s="20" t="str">
        <f aca="false">IF($B1744="","",IFERROR(INDEX(고객사!$B$5:$B$104,MATCH($B1744,고객사!$A$5:$A$104,0)),"코드 확인"))</f>
        <v/>
      </c>
      <c r="D1744" s="15"/>
      <c r="E1744" s="15"/>
      <c r="F1744" s="16"/>
      <c r="G1744" s="16"/>
      <c r="H1744" s="21" t="str">
        <f aca="false">IF(OR($B1744="",F1744=0),"",G1744/F1744)</f>
        <v/>
      </c>
      <c r="I1744" s="22" t="str">
        <f aca="false">IF($B1744="","",MAX(F1744-G1744,0))</f>
        <v/>
      </c>
      <c r="J1744" s="23" t="str">
        <f aca="false">IF($B1744="","",IFERROR(INDEX(고객사!$G$5:$G$104,MATCH($B1744,고객사!$A$5:$A$104,0)),""))</f>
        <v/>
      </c>
      <c r="K1744" s="16"/>
      <c r="L1744" s="22" t="str">
        <f aca="false">IF($B1744="","",K1744*IFERROR(INDEX(고객사!$L$5:$L$104,MATCH($B1744,고객사!$A$5:$A$104,0)),0))</f>
        <v/>
      </c>
      <c r="M1744" s="23" t="str">
        <f aca="false">IF($B1744="","",IF(AND(J1744="N",G1744&gt;0,K1744=0,IFERROR(INDEX(고객사!$H$5:$H$104,MATCH($B1744,고객사!$A$5:$A$104,0)),"")="자사 차량 운행"),"차량 미배정",""))</f>
        <v/>
      </c>
      <c r="N1744" s="22" t="str">
        <f aca="false">IF($B1744="","",IFERROR(INDEX(고객사!$J$5:$J$104,MATCH($B1744,고객사!$A$5:$A$104,0)),0))</f>
        <v/>
      </c>
      <c r="O1744" s="22" t="str">
        <f aca="false">IF($B1744="","",G1744*N1744)</f>
        <v/>
      </c>
      <c r="P1744" s="22" t="str">
        <f aca="false">IF($B1744="","",IFERROR(INDEX(고객사!$K$5:$K$104,MATCH($B1744,고객사!$A$5:$A$104,0)),0))</f>
        <v/>
      </c>
      <c r="Q1744" s="22" t="str">
        <f aca="false">IF($B1744="","",G1744*P1744)</f>
        <v/>
      </c>
      <c r="R1744" s="22" t="str">
        <f aca="false">IF($B1744="","",O1744-Q1744-L1744)</f>
        <v/>
      </c>
      <c r="S1744" s="21" t="str">
        <f aca="false">IF(OR($B1744="",N(O1744)=0),"",R1744/O1744)</f>
        <v/>
      </c>
      <c r="T1744" s="14"/>
      <c r="U1744" s="19" t="n">
        <f aca="false">IF(OR($B1744="",$A1744=""),0,IF(COUNTIFS($A$5:$A1744,$A1744,$B$5:$B1744,$B1744)=1,1,0))</f>
        <v>0</v>
      </c>
    </row>
    <row r="1745" customFormat="false" ht="15" hidden="false" customHeight="false" outlineLevel="0" collapsed="false">
      <c r="A1745" s="17"/>
      <c r="B1745" s="13"/>
      <c r="C1745" s="20" t="str">
        <f aca="false">IF($B1745="","",IFERROR(INDEX(고객사!$B$5:$B$104,MATCH($B1745,고객사!$A$5:$A$104,0)),"코드 확인"))</f>
        <v/>
      </c>
      <c r="D1745" s="15"/>
      <c r="E1745" s="15"/>
      <c r="F1745" s="16"/>
      <c r="G1745" s="16"/>
      <c r="H1745" s="21" t="str">
        <f aca="false">IF(OR($B1745="",F1745=0),"",G1745/F1745)</f>
        <v/>
      </c>
      <c r="I1745" s="22" t="str">
        <f aca="false">IF($B1745="","",MAX(F1745-G1745,0))</f>
        <v/>
      </c>
      <c r="J1745" s="23" t="str">
        <f aca="false">IF($B1745="","",IFERROR(INDEX(고객사!$G$5:$G$104,MATCH($B1745,고객사!$A$5:$A$104,0)),""))</f>
        <v/>
      </c>
      <c r="K1745" s="16"/>
      <c r="L1745" s="22" t="str">
        <f aca="false">IF($B1745="","",K1745*IFERROR(INDEX(고객사!$L$5:$L$104,MATCH($B1745,고객사!$A$5:$A$104,0)),0))</f>
        <v/>
      </c>
      <c r="M1745" s="23" t="str">
        <f aca="false">IF($B1745="","",IF(AND(J1745="N",G1745&gt;0,K1745=0,IFERROR(INDEX(고객사!$H$5:$H$104,MATCH($B1745,고객사!$A$5:$A$104,0)),"")="자사 차량 운행"),"차량 미배정",""))</f>
        <v/>
      </c>
      <c r="N1745" s="22" t="str">
        <f aca="false">IF($B1745="","",IFERROR(INDEX(고객사!$J$5:$J$104,MATCH($B1745,고객사!$A$5:$A$104,0)),0))</f>
        <v/>
      </c>
      <c r="O1745" s="22" t="str">
        <f aca="false">IF($B1745="","",G1745*N1745)</f>
        <v/>
      </c>
      <c r="P1745" s="22" t="str">
        <f aca="false">IF($B1745="","",IFERROR(INDEX(고객사!$K$5:$K$104,MATCH($B1745,고객사!$A$5:$A$104,0)),0))</f>
        <v/>
      </c>
      <c r="Q1745" s="22" t="str">
        <f aca="false">IF($B1745="","",G1745*P1745)</f>
        <v/>
      </c>
      <c r="R1745" s="22" t="str">
        <f aca="false">IF($B1745="","",O1745-Q1745-L1745)</f>
        <v/>
      </c>
      <c r="S1745" s="21" t="str">
        <f aca="false">IF(OR($B1745="",N(O1745)=0),"",R1745/O1745)</f>
        <v/>
      </c>
      <c r="T1745" s="14"/>
      <c r="U1745" s="19" t="n">
        <f aca="false">IF(OR($B1745="",$A1745=""),0,IF(COUNTIFS($A$5:$A1745,$A1745,$B$5:$B1745,$B1745)=1,1,0))</f>
        <v>0</v>
      </c>
    </row>
    <row r="1746" customFormat="false" ht="15" hidden="false" customHeight="false" outlineLevel="0" collapsed="false">
      <c r="A1746" s="17"/>
      <c r="B1746" s="13"/>
      <c r="C1746" s="20" t="str">
        <f aca="false">IF($B1746="","",IFERROR(INDEX(고객사!$B$5:$B$104,MATCH($B1746,고객사!$A$5:$A$104,0)),"코드 확인"))</f>
        <v/>
      </c>
      <c r="D1746" s="15"/>
      <c r="E1746" s="15"/>
      <c r="F1746" s="16"/>
      <c r="G1746" s="16"/>
      <c r="H1746" s="21" t="str">
        <f aca="false">IF(OR($B1746="",F1746=0),"",G1746/F1746)</f>
        <v/>
      </c>
      <c r="I1746" s="22" t="str">
        <f aca="false">IF($B1746="","",MAX(F1746-G1746,0))</f>
        <v/>
      </c>
      <c r="J1746" s="23" t="str">
        <f aca="false">IF($B1746="","",IFERROR(INDEX(고객사!$G$5:$G$104,MATCH($B1746,고객사!$A$5:$A$104,0)),""))</f>
        <v/>
      </c>
      <c r="K1746" s="16"/>
      <c r="L1746" s="22" t="str">
        <f aca="false">IF($B1746="","",K1746*IFERROR(INDEX(고객사!$L$5:$L$104,MATCH($B1746,고객사!$A$5:$A$104,0)),0))</f>
        <v/>
      </c>
      <c r="M1746" s="23" t="str">
        <f aca="false">IF($B1746="","",IF(AND(J1746="N",G1746&gt;0,K1746=0,IFERROR(INDEX(고객사!$H$5:$H$104,MATCH($B1746,고객사!$A$5:$A$104,0)),"")="자사 차량 운행"),"차량 미배정",""))</f>
        <v/>
      </c>
      <c r="N1746" s="22" t="str">
        <f aca="false">IF($B1746="","",IFERROR(INDEX(고객사!$J$5:$J$104,MATCH($B1746,고객사!$A$5:$A$104,0)),0))</f>
        <v/>
      </c>
      <c r="O1746" s="22" t="str">
        <f aca="false">IF($B1746="","",G1746*N1746)</f>
        <v/>
      </c>
      <c r="P1746" s="22" t="str">
        <f aca="false">IF($B1746="","",IFERROR(INDEX(고객사!$K$5:$K$104,MATCH($B1746,고객사!$A$5:$A$104,0)),0))</f>
        <v/>
      </c>
      <c r="Q1746" s="22" t="str">
        <f aca="false">IF($B1746="","",G1746*P1746)</f>
        <v/>
      </c>
      <c r="R1746" s="22" t="str">
        <f aca="false">IF($B1746="","",O1746-Q1746-L1746)</f>
        <v/>
      </c>
      <c r="S1746" s="21" t="str">
        <f aca="false">IF(OR($B1746="",N(O1746)=0),"",R1746/O1746)</f>
        <v/>
      </c>
      <c r="T1746" s="14"/>
      <c r="U1746" s="19" t="n">
        <f aca="false">IF(OR($B1746="",$A1746=""),0,IF(COUNTIFS($A$5:$A1746,$A1746,$B$5:$B1746,$B1746)=1,1,0))</f>
        <v>0</v>
      </c>
    </row>
    <row r="1747" customFormat="false" ht="15" hidden="false" customHeight="false" outlineLevel="0" collapsed="false">
      <c r="A1747" s="17"/>
      <c r="B1747" s="13"/>
      <c r="C1747" s="20" t="str">
        <f aca="false">IF($B1747="","",IFERROR(INDEX(고객사!$B$5:$B$104,MATCH($B1747,고객사!$A$5:$A$104,0)),"코드 확인"))</f>
        <v/>
      </c>
      <c r="D1747" s="15"/>
      <c r="E1747" s="15"/>
      <c r="F1747" s="16"/>
      <c r="G1747" s="16"/>
      <c r="H1747" s="21" t="str">
        <f aca="false">IF(OR($B1747="",F1747=0),"",G1747/F1747)</f>
        <v/>
      </c>
      <c r="I1747" s="22" t="str">
        <f aca="false">IF($B1747="","",MAX(F1747-G1747,0))</f>
        <v/>
      </c>
      <c r="J1747" s="23" t="str">
        <f aca="false">IF($B1747="","",IFERROR(INDEX(고객사!$G$5:$G$104,MATCH($B1747,고객사!$A$5:$A$104,0)),""))</f>
        <v/>
      </c>
      <c r="K1747" s="16"/>
      <c r="L1747" s="22" t="str">
        <f aca="false">IF($B1747="","",K1747*IFERROR(INDEX(고객사!$L$5:$L$104,MATCH($B1747,고객사!$A$5:$A$104,0)),0))</f>
        <v/>
      </c>
      <c r="M1747" s="23" t="str">
        <f aca="false">IF($B1747="","",IF(AND(J1747="N",G1747&gt;0,K1747=0,IFERROR(INDEX(고객사!$H$5:$H$104,MATCH($B1747,고객사!$A$5:$A$104,0)),"")="자사 차량 운행"),"차량 미배정",""))</f>
        <v/>
      </c>
      <c r="N1747" s="22" t="str">
        <f aca="false">IF($B1747="","",IFERROR(INDEX(고객사!$J$5:$J$104,MATCH($B1747,고객사!$A$5:$A$104,0)),0))</f>
        <v/>
      </c>
      <c r="O1747" s="22" t="str">
        <f aca="false">IF($B1747="","",G1747*N1747)</f>
        <v/>
      </c>
      <c r="P1747" s="22" t="str">
        <f aca="false">IF($B1747="","",IFERROR(INDEX(고객사!$K$5:$K$104,MATCH($B1747,고객사!$A$5:$A$104,0)),0))</f>
        <v/>
      </c>
      <c r="Q1747" s="22" t="str">
        <f aca="false">IF($B1747="","",G1747*P1747)</f>
        <v/>
      </c>
      <c r="R1747" s="22" t="str">
        <f aca="false">IF($B1747="","",O1747-Q1747-L1747)</f>
        <v/>
      </c>
      <c r="S1747" s="21" t="str">
        <f aca="false">IF(OR($B1747="",N(O1747)=0),"",R1747/O1747)</f>
        <v/>
      </c>
      <c r="T1747" s="14"/>
      <c r="U1747" s="19" t="n">
        <f aca="false">IF(OR($B1747="",$A1747=""),0,IF(COUNTIFS($A$5:$A1747,$A1747,$B$5:$B1747,$B1747)=1,1,0))</f>
        <v>0</v>
      </c>
    </row>
    <row r="1748" customFormat="false" ht="15" hidden="false" customHeight="false" outlineLevel="0" collapsed="false">
      <c r="A1748" s="17"/>
      <c r="B1748" s="13"/>
      <c r="C1748" s="20" t="str">
        <f aca="false">IF($B1748="","",IFERROR(INDEX(고객사!$B$5:$B$104,MATCH($B1748,고객사!$A$5:$A$104,0)),"코드 확인"))</f>
        <v/>
      </c>
      <c r="D1748" s="15"/>
      <c r="E1748" s="15"/>
      <c r="F1748" s="16"/>
      <c r="G1748" s="16"/>
      <c r="H1748" s="21" t="str">
        <f aca="false">IF(OR($B1748="",F1748=0),"",G1748/F1748)</f>
        <v/>
      </c>
      <c r="I1748" s="22" t="str">
        <f aca="false">IF($B1748="","",MAX(F1748-G1748,0))</f>
        <v/>
      </c>
      <c r="J1748" s="23" t="str">
        <f aca="false">IF($B1748="","",IFERROR(INDEX(고객사!$G$5:$G$104,MATCH($B1748,고객사!$A$5:$A$104,0)),""))</f>
        <v/>
      </c>
      <c r="K1748" s="16"/>
      <c r="L1748" s="22" t="str">
        <f aca="false">IF($B1748="","",K1748*IFERROR(INDEX(고객사!$L$5:$L$104,MATCH($B1748,고객사!$A$5:$A$104,0)),0))</f>
        <v/>
      </c>
      <c r="M1748" s="23" t="str">
        <f aca="false">IF($B1748="","",IF(AND(J1748="N",G1748&gt;0,K1748=0,IFERROR(INDEX(고객사!$H$5:$H$104,MATCH($B1748,고객사!$A$5:$A$104,0)),"")="자사 차량 운행"),"차량 미배정",""))</f>
        <v/>
      </c>
      <c r="N1748" s="22" t="str">
        <f aca="false">IF($B1748="","",IFERROR(INDEX(고객사!$J$5:$J$104,MATCH($B1748,고객사!$A$5:$A$104,0)),0))</f>
        <v/>
      </c>
      <c r="O1748" s="22" t="str">
        <f aca="false">IF($B1748="","",G1748*N1748)</f>
        <v/>
      </c>
      <c r="P1748" s="22" t="str">
        <f aca="false">IF($B1748="","",IFERROR(INDEX(고객사!$K$5:$K$104,MATCH($B1748,고객사!$A$5:$A$104,0)),0))</f>
        <v/>
      </c>
      <c r="Q1748" s="22" t="str">
        <f aca="false">IF($B1748="","",G1748*P1748)</f>
        <v/>
      </c>
      <c r="R1748" s="22" t="str">
        <f aca="false">IF($B1748="","",O1748-Q1748-L1748)</f>
        <v/>
      </c>
      <c r="S1748" s="21" t="str">
        <f aca="false">IF(OR($B1748="",N(O1748)=0),"",R1748/O1748)</f>
        <v/>
      </c>
      <c r="T1748" s="14"/>
      <c r="U1748" s="19" t="n">
        <f aca="false">IF(OR($B1748="",$A1748=""),0,IF(COUNTIFS($A$5:$A1748,$A1748,$B$5:$B1748,$B1748)=1,1,0))</f>
        <v>0</v>
      </c>
    </row>
    <row r="1749" customFormat="false" ht="15" hidden="false" customHeight="false" outlineLevel="0" collapsed="false">
      <c r="A1749" s="17"/>
      <c r="B1749" s="13"/>
      <c r="C1749" s="20" t="str">
        <f aca="false">IF($B1749="","",IFERROR(INDEX(고객사!$B$5:$B$104,MATCH($B1749,고객사!$A$5:$A$104,0)),"코드 확인"))</f>
        <v/>
      </c>
      <c r="D1749" s="15"/>
      <c r="E1749" s="15"/>
      <c r="F1749" s="16"/>
      <c r="G1749" s="16"/>
      <c r="H1749" s="21" t="str">
        <f aca="false">IF(OR($B1749="",F1749=0),"",G1749/F1749)</f>
        <v/>
      </c>
      <c r="I1749" s="22" t="str">
        <f aca="false">IF($B1749="","",MAX(F1749-G1749,0))</f>
        <v/>
      </c>
      <c r="J1749" s="23" t="str">
        <f aca="false">IF($B1749="","",IFERROR(INDEX(고객사!$G$5:$G$104,MATCH($B1749,고객사!$A$5:$A$104,0)),""))</f>
        <v/>
      </c>
      <c r="K1749" s="16"/>
      <c r="L1749" s="22" t="str">
        <f aca="false">IF($B1749="","",K1749*IFERROR(INDEX(고객사!$L$5:$L$104,MATCH($B1749,고객사!$A$5:$A$104,0)),0))</f>
        <v/>
      </c>
      <c r="M1749" s="23" t="str">
        <f aca="false">IF($B1749="","",IF(AND(J1749="N",G1749&gt;0,K1749=0,IFERROR(INDEX(고객사!$H$5:$H$104,MATCH($B1749,고객사!$A$5:$A$104,0)),"")="자사 차량 운행"),"차량 미배정",""))</f>
        <v/>
      </c>
      <c r="N1749" s="22" t="str">
        <f aca="false">IF($B1749="","",IFERROR(INDEX(고객사!$J$5:$J$104,MATCH($B1749,고객사!$A$5:$A$104,0)),0))</f>
        <v/>
      </c>
      <c r="O1749" s="22" t="str">
        <f aca="false">IF($B1749="","",G1749*N1749)</f>
        <v/>
      </c>
      <c r="P1749" s="22" t="str">
        <f aca="false">IF($B1749="","",IFERROR(INDEX(고객사!$K$5:$K$104,MATCH($B1749,고객사!$A$5:$A$104,0)),0))</f>
        <v/>
      </c>
      <c r="Q1749" s="22" t="str">
        <f aca="false">IF($B1749="","",G1749*P1749)</f>
        <v/>
      </c>
      <c r="R1749" s="22" t="str">
        <f aca="false">IF($B1749="","",O1749-Q1749-L1749)</f>
        <v/>
      </c>
      <c r="S1749" s="21" t="str">
        <f aca="false">IF(OR($B1749="",N(O1749)=0),"",R1749/O1749)</f>
        <v/>
      </c>
      <c r="T1749" s="14"/>
      <c r="U1749" s="19" t="n">
        <f aca="false">IF(OR($B1749="",$A1749=""),0,IF(COUNTIFS($A$5:$A1749,$A1749,$B$5:$B1749,$B1749)=1,1,0))</f>
        <v>0</v>
      </c>
    </row>
    <row r="1750" customFormat="false" ht="15" hidden="false" customHeight="false" outlineLevel="0" collapsed="false">
      <c r="A1750" s="17"/>
      <c r="B1750" s="13"/>
      <c r="C1750" s="20" t="str">
        <f aca="false">IF($B1750="","",IFERROR(INDEX(고객사!$B$5:$B$104,MATCH($B1750,고객사!$A$5:$A$104,0)),"코드 확인"))</f>
        <v/>
      </c>
      <c r="D1750" s="15"/>
      <c r="E1750" s="15"/>
      <c r="F1750" s="16"/>
      <c r="G1750" s="16"/>
      <c r="H1750" s="21" t="str">
        <f aca="false">IF(OR($B1750="",F1750=0),"",G1750/F1750)</f>
        <v/>
      </c>
      <c r="I1750" s="22" t="str">
        <f aca="false">IF($B1750="","",MAX(F1750-G1750,0))</f>
        <v/>
      </c>
      <c r="J1750" s="23" t="str">
        <f aca="false">IF($B1750="","",IFERROR(INDEX(고객사!$G$5:$G$104,MATCH($B1750,고객사!$A$5:$A$104,0)),""))</f>
        <v/>
      </c>
      <c r="K1750" s="16"/>
      <c r="L1750" s="22" t="str">
        <f aca="false">IF($B1750="","",K1750*IFERROR(INDEX(고객사!$L$5:$L$104,MATCH($B1750,고객사!$A$5:$A$104,0)),0))</f>
        <v/>
      </c>
      <c r="M1750" s="23" t="str">
        <f aca="false">IF($B1750="","",IF(AND(J1750="N",G1750&gt;0,K1750=0,IFERROR(INDEX(고객사!$H$5:$H$104,MATCH($B1750,고객사!$A$5:$A$104,0)),"")="자사 차량 운행"),"차량 미배정",""))</f>
        <v/>
      </c>
      <c r="N1750" s="22" t="str">
        <f aca="false">IF($B1750="","",IFERROR(INDEX(고객사!$J$5:$J$104,MATCH($B1750,고객사!$A$5:$A$104,0)),0))</f>
        <v/>
      </c>
      <c r="O1750" s="22" t="str">
        <f aca="false">IF($B1750="","",G1750*N1750)</f>
        <v/>
      </c>
      <c r="P1750" s="22" t="str">
        <f aca="false">IF($B1750="","",IFERROR(INDEX(고객사!$K$5:$K$104,MATCH($B1750,고객사!$A$5:$A$104,0)),0))</f>
        <v/>
      </c>
      <c r="Q1750" s="22" t="str">
        <f aca="false">IF($B1750="","",G1750*P1750)</f>
        <v/>
      </c>
      <c r="R1750" s="22" t="str">
        <f aca="false">IF($B1750="","",O1750-Q1750-L1750)</f>
        <v/>
      </c>
      <c r="S1750" s="21" t="str">
        <f aca="false">IF(OR($B1750="",N(O1750)=0),"",R1750/O1750)</f>
        <v/>
      </c>
      <c r="T1750" s="14"/>
      <c r="U1750" s="19" t="n">
        <f aca="false">IF(OR($B1750="",$A1750=""),0,IF(COUNTIFS($A$5:$A1750,$A1750,$B$5:$B1750,$B1750)=1,1,0))</f>
        <v>0</v>
      </c>
    </row>
    <row r="1751" customFormat="false" ht="15" hidden="false" customHeight="false" outlineLevel="0" collapsed="false">
      <c r="A1751" s="17"/>
      <c r="B1751" s="13"/>
      <c r="C1751" s="20" t="str">
        <f aca="false">IF($B1751="","",IFERROR(INDEX(고객사!$B$5:$B$104,MATCH($B1751,고객사!$A$5:$A$104,0)),"코드 확인"))</f>
        <v/>
      </c>
      <c r="D1751" s="15"/>
      <c r="E1751" s="15"/>
      <c r="F1751" s="16"/>
      <c r="G1751" s="16"/>
      <c r="H1751" s="21" t="str">
        <f aca="false">IF(OR($B1751="",F1751=0),"",G1751/F1751)</f>
        <v/>
      </c>
      <c r="I1751" s="22" t="str">
        <f aca="false">IF($B1751="","",MAX(F1751-G1751,0))</f>
        <v/>
      </c>
      <c r="J1751" s="23" t="str">
        <f aca="false">IF($B1751="","",IFERROR(INDEX(고객사!$G$5:$G$104,MATCH($B1751,고객사!$A$5:$A$104,0)),""))</f>
        <v/>
      </c>
      <c r="K1751" s="16"/>
      <c r="L1751" s="22" t="str">
        <f aca="false">IF($B1751="","",K1751*IFERROR(INDEX(고객사!$L$5:$L$104,MATCH($B1751,고객사!$A$5:$A$104,0)),0))</f>
        <v/>
      </c>
      <c r="M1751" s="23" t="str">
        <f aca="false">IF($B1751="","",IF(AND(J1751="N",G1751&gt;0,K1751=0,IFERROR(INDEX(고객사!$H$5:$H$104,MATCH($B1751,고객사!$A$5:$A$104,0)),"")="자사 차량 운행"),"차량 미배정",""))</f>
        <v/>
      </c>
      <c r="N1751" s="22" t="str">
        <f aca="false">IF($B1751="","",IFERROR(INDEX(고객사!$J$5:$J$104,MATCH($B1751,고객사!$A$5:$A$104,0)),0))</f>
        <v/>
      </c>
      <c r="O1751" s="22" t="str">
        <f aca="false">IF($B1751="","",G1751*N1751)</f>
        <v/>
      </c>
      <c r="P1751" s="22" t="str">
        <f aca="false">IF($B1751="","",IFERROR(INDEX(고객사!$K$5:$K$104,MATCH($B1751,고객사!$A$5:$A$104,0)),0))</f>
        <v/>
      </c>
      <c r="Q1751" s="22" t="str">
        <f aca="false">IF($B1751="","",G1751*P1751)</f>
        <v/>
      </c>
      <c r="R1751" s="22" t="str">
        <f aca="false">IF($B1751="","",O1751-Q1751-L1751)</f>
        <v/>
      </c>
      <c r="S1751" s="21" t="str">
        <f aca="false">IF(OR($B1751="",N(O1751)=0),"",R1751/O1751)</f>
        <v/>
      </c>
      <c r="T1751" s="14"/>
      <c r="U1751" s="19" t="n">
        <f aca="false">IF(OR($B1751="",$A1751=""),0,IF(COUNTIFS($A$5:$A1751,$A1751,$B$5:$B1751,$B1751)=1,1,0))</f>
        <v>0</v>
      </c>
    </row>
    <row r="1752" customFormat="false" ht="15" hidden="false" customHeight="false" outlineLevel="0" collapsed="false">
      <c r="A1752" s="17"/>
      <c r="B1752" s="13"/>
      <c r="C1752" s="20" t="str">
        <f aca="false">IF($B1752="","",IFERROR(INDEX(고객사!$B$5:$B$104,MATCH($B1752,고객사!$A$5:$A$104,0)),"코드 확인"))</f>
        <v/>
      </c>
      <c r="D1752" s="15"/>
      <c r="E1752" s="15"/>
      <c r="F1752" s="16"/>
      <c r="G1752" s="16"/>
      <c r="H1752" s="21" t="str">
        <f aca="false">IF(OR($B1752="",F1752=0),"",G1752/F1752)</f>
        <v/>
      </c>
      <c r="I1752" s="22" t="str">
        <f aca="false">IF($B1752="","",MAX(F1752-G1752,0))</f>
        <v/>
      </c>
      <c r="J1752" s="23" t="str">
        <f aca="false">IF($B1752="","",IFERROR(INDEX(고객사!$G$5:$G$104,MATCH($B1752,고객사!$A$5:$A$104,0)),""))</f>
        <v/>
      </c>
      <c r="K1752" s="16"/>
      <c r="L1752" s="22" t="str">
        <f aca="false">IF($B1752="","",K1752*IFERROR(INDEX(고객사!$L$5:$L$104,MATCH($B1752,고객사!$A$5:$A$104,0)),0))</f>
        <v/>
      </c>
      <c r="M1752" s="23" t="str">
        <f aca="false">IF($B1752="","",IF(AND(J1752="N",G1752&gt;0,K1752=0,IFERROR(INDEX(고객사!$H$5:$H$104,MATCH($B1752,고객사!$A$5:$A$104,0)),"")="자사 차량 운행"),"차량 미배정",""))</f>
        <v/>
      </c>
      <c r="N1752" s="22" t="str">
        <f aca="false">IF($B1752="","",IFERROR(INDEX(고객사!$J$5:$J$104,MATCH($B1752,고객사!$A$5:$A$104,0)),0))</f>
        <v/>
      </c>
      <c r="O1752" s="22" t="str">
        <f aca="false">IF($B1752="","",G1752*N1752)</f>
        <v/>
      </c>
      <c r="P1752" s="22" t="str">
        <f aca="false">IF($B1752="","",IFERROR(INDEX(고객사!$K$5:$K$104,MATCH($B1752,고객사!$A$5:$A$104,0)),0))</f>
        <v/>
      </c>
      <c r="Q1752" s="22" t="str">
        <f aca="false">IF($B1752="","",G1752*P1752)</f>
        <v/>
      </c>
      <c r="R1752" s="22" t="str">
        <f aca="false">IF($B1752="","",O1752-Q1752-L1752)</f>
        <v/>
      </c>
      <c r="S1752" s="21" t="str">
        <f aca="false">IF(OR($B1752="",N(O1752)=0),"",R1752/O1752)</f>
        <v/>
      </c>
      <c r="T1752" s="14"/>
      <c r="U1752" s="19" t="n">
        <f aca="false">IF(OR($B1752="",$A1752=""),0,IF(COUNTIFS($A$5:$A1752,$A1752,$B$5:$B1752,$B1752)=1,1,0))</f>
        <v>0</v>
      </c>
    </row>
    <row r="1753" customFormat="false" ht="15" hidden="false" customHeight="false" outlineLevel="0" collapsed="false">
      <c r="A1753" s="17"/>
      <c r="B1753" s="13"/>
      <c r="C1753" s="20" t="str">
        <f aca="false">IF($B1753="","",IFERROR(INDEX(고객사!$B$5:$B$104,MATCH($B1753,고객사!$A$5:$A$104,0)),"코드 확인"))</f>
        <v/>
      </c>
      <c r="D1753" s="15"/>
      <c r="E1753" s="15"/>
      <c r="F1753" s="16"/>
      <c r="G1753" s="16"/>
      <c r="H1753" s="21" t="str">
        <f aca="false">IF(OR($B1753="",F1753=0),"",G1753/F1753)</f>
        <v/>
      </c>
      <c r="I1753" s="22" t="str">
        <f aca="false">IF($B1753="","",MAX(F1753-G1753,0))</f>
        <v/>
      </c>
      <c r="J1753" s="23" t="str">
        <f aca="false">IF($B1753="","",IFERROR(INDEX(고객사!$G$5:$G$104,MATCH($B1753,고객사!$A$5:$A$104,0)),""))</f>
        <v/>
      </c>
      <c r="K1753" s="16"/>
      <c r="L1753" s="22" t="str">
        <f aca="false">IF($B1753="","",K1753*IFERROR(INDEX(고객사!$L$5:$L$104,MATCH($B1753,고객사!$A$5:$A$104,0)),0))</f>
        <v/>
      </c>
      <c r="M1753" s="23" t="str">
        <f aca="false">IF($B1753="","",IF(AND(J1753="N",G1753&gt;0,K1753=0,IFERROR(INDEX(고객사!$H$5:$H$104,MATCH($B1753,고객사!$A$5:$A$104,0)),"")="자사 차량 운행"),"차량 미배정",""))</f>
        <v/>
      </c>
      <c r="N1753" s="22" t="str">
        <f aca="false">IF($B1753="","",IFERROR(INDEX(고객사!$J$5:$J$104,MATCH($B1753,고객사!$A$5:$A$104,0)),0))</f>
        <v/>
      </c>
      <c r="O1753" s="22" t="str">
        <f aca="false">IF($B1753="","",G1753*N1753)</f>
        <v/>
      </c>
      <c r="P1753" s="22" t="str">
        <f aca="false">IF($B1753="","",IFERROR(INDEX(고객사!$K$5:$K$104,MATCH($B1753,고객사!$A$5:$A$104,0)),0))</f>
        <v/>
      </c>
      <c r="Q1753" s="22" t="str">
        <f aca="false">IF($B1753="","",G1753*P1753)</f>
        <v/>
      </c>
      <c r="R1753" s="22" t="str">
        <f aca="false">IF($B1753="","",O1753-Q1753-L1753)</f>
        <v/>
      </c>
      <c r="S1753" s="21" t="str">
        <f aca="false">IF(OR($B1753="",N(O1753)=0),"",R1753/O1753)</f>
        <v/>
      </c>
      <c r="T1753" s="14"/>
      <c r="U1753" s="19" t="n">
        <f aca="false">IF(OR($B1753="",$A1753=""),0,IF(COUNTIFS($A$5:$A1753,$A1753,$B$5:$B1753,$B1753)=1,1,0))</f>
        <v>0</v>
      </c>
    </row>
    <row r="1754" customFormat="false" ht="15" hidden="false" customHeight="false" outlineLevel="0" collapsed="false">
      <c r="A1754" s="17"/>
      <c r="B1754" s="13"/>
      <c r="C1754" s="20" t="str">
        <f aca="false">IF($B1754="","",IFERROR(INDEX(고객사!$B$5:$B$104,MATCH($B1754,고객사!$A$5:$A$104,0)),"코드 확인"))</f>
        <v/>
      </c>
      <c r="D1754" s="15"/>
      <c r="E1754" s="15"/>
      <c r="F1754" s="16"/>
      <c r="G1754" s="16"/>
      <c r="H1754" s="21" t="str">
        <f aca="false">IF(OR($B1754="",F1754=0),"",G1754/F1754)</f>
        <v/>
      </c>
      <c r="I1754" s="22" t="str">
        <f aca="false">IF($B1754="","",MAX(F1754-G1754,0))</f>
        <v/>
      </c>
      <c r="J1754" s="23" t="str">
        <f aca="false">IF($B1754="","",IFERROR(INDEX(고객사!$G$5:$G$104,MATCH($B1754,고객사!$A$5:$A$104,0)),""))</f>
        <v/>
      </c>
      <c r="K1754" s="16"/>
      <c r="L1754" s="22" t="str">
        <f aca="false">IF($B1754="","",K1754*IFERROR(INDEX(고객사!$L$5:$L$104,MATCH($B1754,고객사!$A$5:$A$104,0)),0))</f>
        <v/>
      </c>
      <c r="M1754" s="23" t="str">
        <f aca="false">IF($B1754="","",IF(AND(J1754="N",G1754&gt;0,K1754=0,IFERROR(INDEX(고객사!$H$5:$H$104,MATCH($B1754,고객사!$A$5:$A$104,0)),"")="자사 차량 운행"),"차량 미배정",""))</f>
        <v/>
      </c>
      <c r="N1754" s="22" t="str">
        <f aca="false">IF($B1754="","",IFERROR(INDEX(고객사!$J$5:$J$104,MATCH($B1754,고객사!$A$5:$A$104,0)),0))</f>
        <v/>
      </c>
      <c r="O1754" s="22" t="str">
        <f aca="false">IF($B1754="","",G1754*N1754)</f>
        <v/>
      </c>
      <c r="P1754" s="22" t="str">
        <f aca="false">IF($B1754="","",IFERROR(INDEX(고객사!$K$5:$K$104,MATCH($B1754,고객사!$A$5:$A$104,0)),0))</f>
        <v/>
      </c>
      <c r="Q1754" s="22" t="str">
        <f aca="false">IF($B1754="","",G1754*P1754)</f>
        <v/>
      </c>
      <c r="R1754" s="22" t="str">
        <f aca="false">IF($B1754="","",O1754-Q1754-L1754)</f>
        <v/>
      </c>
      <c r="S1754" s="21" t="str">
        <f aca="false">IF(OR($B1754="",N(O1754)=0),"",R1754/O1754)</f>
        <v/>
      </c>
      <c r="T1754" s="14"/>
      <c r="U1754" s="19" t="n">
        <f aca="false">IF(OR($B1754="",$A1754=""),0,IF(COUNTIFS($A$5:$A1754,$A1754,$B$5:$B1754,$B1754)=1,1,0))</f>
        <v>0</v>
      </c>
    </row>
    <row r="1755" customFormat="false" ht="15" hidden="false" customHeight="false" outlineLevel="0" collapsed="false">
      <c r="A1755" s="17"/>
      <c r="B1755" s="13"/>
      <c r="C1755" s="20" t="str">
        <f aca="false">IF($B1755="","",IFERROR(INDEX(고객사!$B$5:$B$104,MATCH($B1755,고객사!$A$5:$A$104,0)),"코드 확인"))</f>
        <v/>
      </c>
      <c r="D1755" s="15"/>
      <c r="E1755" s="15"/>
      <c r="F1755" s="16"/>
      <c r="G1755" s="16"/>
      <c r="H1755" s="21" t="str">
        <f aca="false">IF(OR($B1755="",F1755=0),"",G1755/F1755)</f>
        <v/>
      </c>
      <c r="I1755" s="22" t="str">
        <f aca="false">IF($B1755="","",MAX(F1755-G1755,0))</f>
        <v/>
      </c>
      <c r="J1755" s="23" t="str">
        <f aca="false">IF($B1755="","",IFERROR(INDEX(고객사!$G$5:$G$104,MATCH($B1755,고객사!$A$5:$A$104,0)),""))</f>
        <v/>
      </c>
      <c r="K1755" s="16"/>
      <c r="L1755" s="22" t="str">
        <f aca="false">IF($B1755="","",K1755*IFERROR(INDEX(고객사!$L$5:$L$104,MATCH($B1755,고객사!$A$5:$A$104,0)),0))</f>
        <v/>
      </c>
      <c r="M1755" s="23" t="str">
        <f aca="false">IF($B1755="","",IF(AND(J1755="N",G1755&gt;0,K1755=0,IFERROR(INDEX(고객사!$H$5:$H$104,MATCH($B1755,고객사!$A$5:$A$104,0)),"")="자사 차량 운행"),"차량 미배정",""))</f>
        <v/>
      </c>
      <c r="N1755" s="22" t="str">
        <f aca="false">IF($B1755="","",IFERROR(INDEX(고객사!$J$5:$J$104,MATCH($B1755,고객사!$A$5:$A$104,0)),0))</f>
        <v/>
      </c>
      <c r="O1755" s="22" t="str">
        <f aca="false">IF($B1755="","",G1755*N1755)</f>
        <v/>
      </c>
      <c r="P1755" s="22" t="str">
        <f aca="false">IF($B1755="","",IFERROR(INDEX(고객사!$K$5:$K$104,MATCH($B1755,고객사!$A$5:$A$104,0)),0))</f>
        <v/>
      </c>
      <c r="Q1755" s="22" t="str">
        <f aca="false">IF($B1755="","",G1755*P1755)</f>
        <v/>
      </c>
      <c r="R1755" s="22" t="str">
        <f aca="false">IF($B1755="","",O1755-Q1755-L1755)</f>
        <v/>
      </c>
      <c r="S1755" s="21" t="str">
        <f aca="false">IF(OR($B1755="",N(O1755)=0),"",R1755/O1755)</f>
        <v/>
      </c>
      <c r="T1755" s="14"/>
      <c r="U1755" s="19" t="n">
        <f aca="false">IF(OR($B1755="",$A1755=""),0,IF(COUNTIFS($A$5:$A1755,$A1755,$B$5:$B1755,$B1755)=1,1,0))</f>
        <v>0</v>
      </c>
    </row>
    <row r="1756" customFormat="false" ht="15" hidden="false" customHeight="false" outlineLevel="0" collapsed="false">
      <c r="A1756" s="17"/>
      <c r="B1756" s="13"/>
      <c r="C1756" s="20" t="str">
        <f aca="false">IF($B1756="","",IFERROR(INDEX(고객사!$B$5:$B$104,MATCH($B1756,고객사!$A$5:$A$104,0)),"코드 확인"))</f>
        <v/>
      </c>
      <c r="D1756" s="15"/>
      <c r="E1756" s="15"/>
      <c r="F1756" s="16"/>
      <c r="G1756" s="16"/>
      <c r="H1756" s="21" t="str">
        <f aca="false">IF(OR($B1756="",F1756=0),"",G1756/F1756)</f>
        <v/>
      </c>
      <c r="I1756" s="22" t="str">
        <f aca="false">IF($B1756="","",MAX(F1756-G1756,0))</f>
        <v/>
      </c>
      <c r="J1756" s="23" t="str">
        <f aca="false">IF($B1756="","",IFERROR(INDEX(고객사!$G$5:$G$104,MATCH($B1756,고객사!$A$5:$A$104,0)),""))</f>
        <v/>
      </c>
      <c r="K1756" s="16"/>
      <c r="L1756" s="22" t="str">
        <f aca="false">IF($B1756="","",K1756*IFERROR(INDEX(고객사!$L$5:$L$104,MATCH($B1756,고객사!$A$5:$A$104,0)),0))</f>
        <v/>
      </c>
      <c r="M1756" s="23" t="str">
        <f aca="false">IF($B1756="","",IF(AND(J1756="N",G1756&gt;0,K1756=0,IFERROR(INDEX(고객사!$H$5:$H$104,MATCH($B1756,고객사!$A$5:$A$104,0)),"")="자사 차량 운행"),"차량 미배정",""))</f>
        <v/>
      </c>
      <c r="N1756" s="22" t="str">
        <f aca="false">IF($B1756="","",IFERROR(INDEX(고객사!$J$5:$J$104,MATCH($B1756,고객사!$A$5:$A$104,0)),0))</f>
        <v/>
      </c>
      <c r="O1756" s="22" t="str">
        <f aca="false">IF($B1756="","",G1756*N1756)</f>
        <v/>
      </c>
      <c r="P1756" s="22" t="str">
        <f aca="false">IF($B1756="","",IFERROR(INDEX(고객사!$K$5:$K$104,MATCH($B1756,고객사!$A$5:$A$104,0)),0))</f>
        <v/>
      </c>
      <c r="Q1756" s="22" t="str">
        <f aca="false">IF($B1756="","",G1756*P1756)</f>
        <v/>
      </c>
      <c r="R1756" s="22" t="str">
        <f aca="false">IF($B1756="","",O1756-Q1756-L1756)</f>
        <v/>
      </c>
      <c r="S1756" s="21" t="str">
        <f aca="false">IF(OR($B1756="",N(O1756)=0),"",R1756/O1756)</f>
        <v/>
      </c>
      <c r="T1756" s="14"/>
      <c r="U1756" s="19" t="n">
        <f aca="false">IF(OR($B1756="",$A1756=""),0,IF(COUNTIFS($A$5:$A1756,$A1756,$B$5:$B1756,$B1756)=1,1,0))</f>
        <v>0</v>
      </c>
    </row>
    <row r="1757" customFormat="false" ht="15" hidden="false" customHeight="false" outlineLevel="0" collapsed="false">
      <c r="A1757" s="17"/>
      <c r="B1757" s="13"/>
      <c r="C1757" s="20" t="str">
        <f aca="false">IF($B1757="","",IFERROR(INDEX(고객사!$B$5:$B$104,MATCH($B1757,고객사!$A$5:$A$104,0)),"코드 확인"))</f>
        <v/>
      </c>
      <c r="D1757" s="15"/>
      <c r="E1757" s="15"/>
      <c r="F1757" s="16"/>
      <c r="G1757" s="16"/>
      <c r="H1757" s="21" t="str">
        <f aca="false">IF(OR($B1757="",F1757=0),"",G1757/F1757)</f>
        <v/>
      </c>
      <c r="I1757" s="22" t="str">
        <f aca="false">IF($B1757="","",MAX(F1757-G1757,0))</f>
        <v/>
      </c>
      <c r="J1757" s="23" t="str">
        <f aca="false">IF($B1757="","",IFERROR(INDEX(고객사!$G$5:$G$104,MATCH($B1757,고객사!$A$5:$A$104,0)),""))</f>
        <v/>
      </c>
      <c r="K1757" s="16"/>
      <c r="L1757" s="22" t="str">
        <f aca="false">IF($B1757="","",K1757*IFERROR(INDEX(고객사!$L$5:$L$104,MATCH($B1757,고객사!$A$5:$A$104,0)),0))</f>
        <v/>
      </c>
      <c r="M1757" s="23" t="str">
        <f aca="false">IF($B1757="","",IF(AND(J1757="N",G1757&gt;0,K1757=0,IFERROR(INDEX(고객사!$H$5:$H$104,MATCH($B1757,고객사!$A$5:$A$104,0)),"")="자사 차량 운행"),"차량 미배정",""))</f>
        <v/>
      </c>
      <c r="N1757" s="22" t="str">
        <f aca="false">IF($B1757="","",IFERROR(INDEX(고객사!$J$5:$J$104,MATCH($B1757,고객사!$A$5:$A$104,0)),0))</f>
        <v/>
      </c>
      <c r="O1757" s="22" t="str">
        <f aca="false">IF($B1757="","",G1757*N1757)</f>
        <v/>
      </c>
      <c r="P1757" s="22" t="str">
        <f aca="false">IF($B1757="","",IFERROR(INDEX(고객사!$K$5:$K$104,MATCH($B1757,고객사!$A$5:$A$104,0)),0))</f>
        <v/>
      </c>
      <c r="Q1757" s="22" t="str">
        <f aca="false">IF($B1757="","",G1757*P1757)</f>
        <v/>
      </c>
      <c r="R1757" s="22" t="str">
        <f aca="false">IF($B1757="","",O1757-Q1757-L1757)</f>
        <v/>
      </c>
      <c r="S1757" s="21" t="str">
        <f aca="false">IF(OR($B1757="",N(O1757)=0),"",R1757/O1757)</f>
        <v/>
      </c>
      <c r="T1757" s="14"/>
      <c r="U1757" s="19" t="n">
        <f aca="false">IF(OR($B1757="",$A1757=""),0,IF(COUNTIFS($A$5:$A1757,$A1757,$B$5:$B1757,$B1757)=1,1,0))</f>
        <v>0</v>
      </c>
    </row>
    <row r="1758" customFormat="false" ht="15" hidden="false" customHeight="false" outlineLevel="0" collapsed="false">
      <c r="A1758" s="17"/>
      <c r="B1758" s="13"/>
      <c r="C1758" s="20" t="str">
        <f aca="false">IF($B1758="","",IFERROR(INDEX(고객사!$B$5:$B$104,MATCH($B1758,고객사!$A$5:$A$104,0)),"코드 확인"))</f>
        <v/>
      </c>
      <c r="D1758" s="15"/>
      <c r="E1758" s="15"/>
      <c r="F1758" s="16"/>
      <c r="G1758" s="16"/>
      <c r="H1758" s="21" t="str">
        <f aca="false">IF(OR($B1758="",F1758=0),"",G1758/F1758)</f>
        <v/>
      </c>
      <c r="I1758" s="22" t="str">
        <f aca="false">IF($B1758="","",MAX(F1758-G1758,0))</f>
        <v/>
      </c>
      <c r="J1758" s="23" t="str">
        <f aca="false">IF($B1758="","",IFERROR(INDEX(고객사!$G$5:$G$104,MATCH($B1758,고객사!$A$5:$A$104,0)),""))</f>
        <v/>
      </c>
      <c r="K1758" s="16"/>
      <c r="L1758" s="22" t="str">
        <f aca="false">IF($B1758="","",K1758*IFERROR(INDEX(고객사!$L$5:$L$104,MATCH($B1758,고객사!$A$5:$A$104,0)),0))</f>
        <v/>
      </c>
      <c r="M1758" s="23" t="str">
        <f aca="false">IF($B1758="","",IF(AND(J1758="N",G1758&gt;0,K1758=0,IFERROR(INDEX(고객사!$H$5:$H$104,MATCH($B1758,고객사!$A$5:$A$104,0)),"")="자사 차량 운행"),"차량 미배정",""))</f>
        <v/>
      </c>
      <c r="N1758" s="22" t="str">
        <f aca="false">IF($B1758="","",IFERROR(INDEX(고객사!$J$5:$J$104,MATCH($B1758,고객사!$A$5:$A$104,0)),0))</f>
        <v/>
      </c>
      <c r="O1758" s="22" t="str">
        <f aca="false">IF($B1758="","",G1758*N1758)</f>
        <v/>
      </c>
      <c r="P1758" s="22" t="str">
        <f aca="false">IF($B1758="","",IFERROR(INDEX(고객사!$K$5:$K$104,MATCH($B1758,고객사!$A$5:$A$104,0)),0))</f>
        <v/>
      </c>
      <c r="Q1758" s="22" t="str">
        <f aca="false">IF($B1758="","",G1758*P1758)</f>
        <v/>
      </c>
      <c r="R1758" s="22" t="str">
        <f aca="false">IF($B1758="","",O1758-Q1758-L1758)</f>
        <v/>
      </c>
      <c r="S1758" s="21" t="str">
        <f aca="false">IF(OR($B1758="",N(O1758)=0),"",R1758/O1758)</f>
        <v/>
      </c>
      <c r="T1758" s="14"/>
      <c r="U1758" s="19" t="n">
        <f aca="false">IF(OR($B1758="",$A1758=""),0,IF(COUNTIFS($A$5:$A1758,$A1758,$B$5:$B1758,$B1758)=1,1,0))</f>
        <v>0</v>
      </c>
    </row>
    <row r="1759" customFormat="false" ht="15" hidden="false" customHeight="false" outlineLevel="0" collapsed="false">
      <c r="A1759" s="17"/>
      <c r="B1759" s="13"/>
      <c r="C1759" s="20" t="str">
        <f aca="false">IF($B1759="","",IFERROR(INDEX(고객사!$B$5:$B$104,MATCH($B1759,고객사!$A$5:$A$104,0)),"코드 확인"))</f>
        <v/>
      </c>
      <c r="D1759" s="15"/>
      <c r="E1759" s="15"/>
      <c r="F1759" s="16"/>
      <c r="G1759" s="16"/>
      <c r="H1759" s="21" t="str">
        <f aca="false">IF(OR($B1759="",F1759=0),"",G1759/F1759)</f>
        <v/>
      </c>
      <c r="I1759" s="22" t="str">
        <f aca="false">IF($B1759="","",MAX(F1759-G1759,0))</f>
        <v/>
      </c>
      <c r="J1759" s="23" t="str">
        <f aca="false">IF($B1759="","",IFERROR(INDEX(고객사!$G$5:$G$104,MATCH($B1759,고객사!$A$5:$A$104,0)),""))</f>
        <v/>
      </c>
      <c r="K1759" s="16"/>
      <c r="L1759" s="22" t="str">
        <f aca="false">IF($B1759="","",K1759*IFERROR(INDEX(고객사!$L$5:$L$104,MATCH($B1759,고객사!$A$5:$A$104,0)),0))</f>
        <v/>
      </c>
      <c r="M1759" s="23" t="str">
        <f aca="false">IF($B1759="","",IF(AND(J1759="N",G1759&gt;0,K1759=0,IFERROR(INDEX(고객사!$H$5:$H$104,MATCH($B1759,고객사!$A$5:$A$104,0)),"")="자사 차량 운행"),"차량 미배정",""))</f>
        <v/>
      </c>
      <c r="N1759" s="22" t="str">
        <f aca="false">IF($B1759="","",IFERROR(INDEX(고객사!$J$5:$J$104,MATCH($B1759,고객사!$A$5:$A$104,0)),0))</f>
        <v/>
      </c>
      <c r="O1759" s="22" t="str">
        <f aca="false">IF($B1759="","",G1759*N1759)</f>
        <v/>
      </c>
      <c r="P1759" s="22" t="str">
        <f aca="false">IF($B1759="","",IFERROR(INDEX(고객사!$K$5:$K$104,MATCH($B1759,고객사!$A$5:$A$104,0)),0))</f>
        <v/>
      </c>
      <c r="Q1759" s="22" t="str">
        <f aca="false">IF($B1759="","",G1759*P1759)</f>
        <v/>
      </c>
      <c r="R1759" s="22" t="str">
        <f aca="false">IF($B1759="","",O1759-Q1759-L1759)</f>
        <v/>
      </c>
      <c r="S1759" s="21" t="str">
        <f aca="false">IF(OR($B1759="",N(O1759)=0),"",R1759/O1759)</f>
        <v/>
      </c>
      <c r="T1759" s="14"/>
      <c r="U1759" s="19" t="n">
        <f aca="false">IF(OR($B1759="",$A1759=""),0,IF(COUNTIFS($A$5:$A1759,$A1759,$B$5:$B1759,$B1759)=1,1,0))</f>
        <v>0</v>
      </c>
    </row>
    <row r="1760" customFormat="false" ht="15" hidden="false" customHeight="false" outlineLevel="0" collapsed="false">
      <c r="A1760" s="17"/>
      <c r="B1760" s="13"/>
      <c r="C1760" s="20" t="str">
        <f aca="false">IF($B1760="","",IFERROR(INDEX(고객사!$B$5:$B$104,MATCH($B1760,고객사!$A$5:$A$104,0)),"코드 확인"))</f>
        <v/>
      </c>
      <c r="D1760" s="15"/>
      <c r="E1760" s="15"/>
      <c r="F1760" s="16"/>
      <c r="G1760" s="16"/>
      <c r="H1760" s="21" t="str">
        <f aca="false">IF(OR($B1760="",F1760=0),"",G1760/F1760)</f>
        <v/>
      </c>
      <c r="I1760" s="22" t="str">
        <f aca="false">IF($B1760="","",MAX(F1760-G1760,0))</f>
        <v/>
      </c>
      <c r="J1760" s="23" t="str">
        <f aca="false">IF($B1760="","",IFERROR(INDEX(고객사!$G$5:$G$104,MATCH($B1760,고객사!$A$5:$A$104,0)),""))</f>
        <v/>
      </c>
      <c r="K1760" s="16"/>
      <c r="L1760" s="22" t="str">
        <f aca="false">IF($B1760="","",K1760*IFERROR(INDEX(고객사!$L$5:$L$104,MATCH($B1760,고객사!$A$5:$A$104,0)),0))</f>
        <v/>
      </c>
      <c r="M1760" s="23" t="str">
        <f aca="false">IF($B1760="","",IF(AND(J1760="N",G1760&gt;0,K1760=0,IFERROR(INDEX(고객사!$H$5:$H$104,MATCH($B1760,고객사!$A$5:$A$104,0)),"")="자사 차량 운행"),"차량 미배정",""))</f>
        <v/>
      </c>
      <c r="N1760" s="22" t="str">
        <f aca="false">IF($B1760="","",IFERROR(INDEX(고객사!$J$5:$J$104,MATCH($B1760,고객사!$A$5:$A$104,0)),0))</f>
        <v/>
      </c>
      <c r="O1760" s="22" t="str">
        <f aca="false">IF($B1760="","",G1760*N1760)</f>
        <v/>
      </c>
      <c r="P1760" s="22" t="str">
        <f aca="false">IF($B1760="","",IFERROR(INDEX(고객사!$K$5:$K$104,MATCH($B1760,고객사!$A$5:$A$104,0)),0))</f>
        <v/>
      </c>
      <c r="Q1760" s="22" t="str">
        <f aca="false">IF($B1760="","",G1760*P1760)</f>
        <v/>
      </c>
      <c r="R1760" s="22" t="str">
        <f aca="false">IF($B1760="","",O1760-Q1760-L1760)</f>
        <v/>
      </c>
      <c r="S1760" s="21" t="str">
        <f aca="false">IF(OR($B1760="",N(O1760)=0),"",R1760/O1760)</f>
        <v/>
      </c>
      <c r="T1760" s="14"/>
      <c r="U1760" s="19" t="n">
        <f aca="false">IF(OR($B1760="",$A1760=""),0,IF(COUNTIFS($A$5:$A1760,$A1760,$B$5:$B1760,$B1760)=1,1,0))</f>
        <v>0</v>
      </c>
    </row>
    <row r="1761" customFormat="false" ht="15" hidden="false" customHeight="false" outlineLevel="0" collapsed="false">
      <c r="A1761" s="17"/>
      <c r="B1761" s="13"/>
      <c r="C1761" s="20" t="str">
        <f aca="false">IF($B1761="","",IFERROR(INDEX(고객사!$B$5:$B$104,MATCH($B1761,고객사!$A$5:$A$104,0)),"코드 확인"))</f>
        <v/>
      </c>
      <c r="D1761" s="15"/>
      <c r="E1761" s="15"/>
      <c r="F1761" s="16"/>
      <c r="G1761" s="16"/>
      <c r="H1761" s="21" t="str">
        <f aca="false">IF(OR($B1761="",F1761=0),"",G1761/F1761)</f>
        <v/>
      </c>
      <c r="I1761" s="22" t="str">
        <f aca="false">IF($B1761="","",MAX(F1761-G1761,0))</f>
        <v/>
      </c>
      <c r="J1761" s="23" t="str">
        <f aca="false">IF($B1761="","",IFERROR(INDEX(고객사!$G$5:$G$104,MATCH($B1761,고객사!$A$5:$A$104,0)),""))</f>
        <v/>
      </c>
      <c r="K1761" s="16"/>
      <c r="L1761" s="22" t="str">
        <f aca="false">IF($B1761="","",K1761*IFERROR(INDEX(고객사!$L$5:$L$104,MATCH($B1761,고객사!$A$5:$A$104,0)),0))</f>
        <v/>
      </c>
      <c r="M1761" s="23" t="str">
        <f aca="false">IF($B1761="","",IF(AND(J1761="N",G1761&gt;0,K1761=0,IFERROR(INDEX(고객사!$H$5:$H$104,MATCH($B1761,고객사!$A$5:$A$104,0)),"")="자사 차량 운행"),"차량 미배정",""))</f>
        <v/>
      </c>
      <c r="N1761" s="22" t="str">
        <f aca="false">IF($B1761="","",IFERROR(INDEX(고객사!$J$5:$J$104,MATCH($B1761,고객사!$A$5:$A$104,0)),0))</f>
        <v/>
      </c>
      <c r="O1761" s="22" t="str">
        <f aca="false">IF($B1761="","",G1761*N1761)</f>
        <v/>
      </c>
      <c r="P1761" s="22" t="str">
        <f aca="false">IF($B1761="","",IFERROR(INDEX(고객사!$K$5:$K$104,MATCH($B1761,고객사!$A$5:$A$104,0)),0))</f>
        <v/>
      </c>
      <c r="Q1761" s="22" t="str">
        <f aca="false">IF($B1761="","",G1761*P1761)</f>
        <v/>
      </c>
      <c r="R1761" s="22" t="str">
        <f aca="false">IF($B1761="","",O1761-Q1761-L1761)</f>
        <v/>
      </c>
      <c r="S1761" s="21" t="str">
        <f aca="false">IF(OR($B1761="",N(O1761)=0),"",R1761/O1761)</f>
        <v/>
      </c>
      <c r="T1761" s="14"/>
      <c r="U1761" s="19" t="n">
        <f aca="false">IF(OR($B1761="",$A1761=""),0,IF(COUNTIFS($A$5:$A1761,$A1761,$B$5:$B1761,$B1761)=1,1,0))</f>
        <v>0</v>
      </c>
    </row>
    <row r="1762" customFormat="false" ht="15" hidden="false" customHeight="false" outlineLevel="0" collapsed="false">
      <c r="A1762" s="17"/>
      <c r="B1762" s="13"/>
      <c r="C1762" s="20" t="str">
        <f aca="false">IF($B1762="","",IFERROR(INDEX(고객사!$B$5:$B$104,MATCH($B1762,고객사!$A$5:$A$104,0)),"코드 확인"))</f>
        <v/>
      </c>
      <c r="D1762" s="15"/>
      <c r="E1762" s="15"/>
      <c r="F1762" s="16"/>
      <c r="G1762" s="16"/>
      <c r="H1762" s="21" t="str">
        <f aca="false">IF(OR($B1762="",F1762=0),"",G1762/F1762)</f>
        <v/>
      </c>
      <c r="I1762" s="22" t="str">
        <f aca="false">IF($B1762="","",MAX(F1762-G1762,0))</f>
        <v/>
      </c>
      <c r="J1762" s="23" t="str">
        <f aca="false">IF($B1762="","",IFERROR(INDEX(고객사!$G$5:$G$104,MATCH($B1762,고객사!$A$5:$A$104,0)),""))</f>
        <v/>
      </c>
      <c r="K1762" s="16"/>
      <c r="L1762" s="22" t="str">
        <f aca="false">IF($B1762="","",K1762*IFERROR(INDEX(고객사!$L$5:$L$104,MATCH($B1762,고객사!$A$5:$A$104,0)),0))</f>
        <v/>
      </c>
      <c r="M1762" s="23" t="str">
        <f aca="false">IF($B1762="","",IF(AND(J1762="N",G1762&gt;0,K1762=0,IFERROR(INDEX(고객사!$H$5:$H$104,MATCH($B1762,고객사!$A$5:$A$104,0)),"")="자사 차량 운행"),"차량 미배정",""))</f>
        <v/>
      </c>
      <c r="N1762" s="22" t="str">
        <f aca="false">IF($B1762="","",IFERROR(INDEX(고객사!$J$5:$J$104,MATCH($B1762,고객사!$A$5:$A$104,0)),0))</f>
        <v/>
      </c>
      <c r="O1762" s="22" t="str">
        <f aca="false">IF($B1762="","",G1762*N1762)</f>
        <v/>
      </c>
      <c r="P1762" s="22" t="str">
        <f aca="false">IF($B1762="","",IFERROR(INDEX(고객사!$K$5:$K$104,MATCH($B1762,고객사!$A$5:$A$104,0)),0))</f>
        <v/>
      </c>
      <c r="Q1762" s="22" t="str">
        <f aca="false">IF($B1762="","",G1762*P1762)</f>
        <v/>
      </c>
      <c r="R1762" s="22" t="str">
        <f aca="false">IF($B1762="","",O1762-Q1762-L1762)</f>
        <v/>
      </c>
      <c r="S1762" s="21" t="str">
        <f aca="false">IF(OR($B1762="",N(O1762)=0),"",R1762/O1762)</f>
        <v/>
      </c>
      <c r="T1762" s="14"/>
      <c r="U1762" s="19" t="n">
        <f aca="false">IF(OR($B1762="",$A1762=""),0,IF(COUNTIFS($A$5:$A1762,$A1762,$B$5:$B1762,$B1762)=1,1,0))</f>
        <v>0</v>
      </c>
    </row>
    <row r="1763" customFormat="false" ht="15" hidden="false" customHeight="false" outlineLevel="0" collapsed="false">
      <c r="A1763" s="17"/>
      <c r="B1763" s="13"/>
      <c r="C1763" s="20" t="str">
        <f aca="false">IF($B1763="","",IFERROR(INDEX(고객사!$B$5:$B$104,MATCH($B1763,고객사!$A$5:$A$104,0)),"코드 확인"))</f>
        <v/>
      </c>
      <c r="D1763" s="15"/>
      <c r="E1763" s="15"/>
      <c r="F1763" s="16"/>
      <c r="G1763" s="16"/>
      <c r="H1763" s="21" t="str">
        <f aca="false">IF(OR($B1763="",F1763=0),"",G1763/F1763)</f>
        <v/>
      </c>
      <c r="I1763" s="22" t="str">
        <f aca="false">IF($B1763="","",MAX(F1763-G1763,0))</f>
        <v/>
      </c>
      <c r="J1763" s="23" t="str">
        <f aca="false">IF($B1763="","",IFERROR(INDEX(고객사!$G$5:$G$104,MATCH($B1763,고객사!$A$5:$A$104,0)),""))</f>
        <v/>
      </c>
      <c r="K1763" s="16"/>
      <c r="L1763" s="22" t="str">
        <f aca="false">IF($B1763="","",K1763*IFERROR(INDEX(고객사!$L$5:$L$104,MATCH($B1763,고객사!$A$5:$A$104,0)),0))</f>
        <v/>
      </c>
      <c r="M1763" s="23" t="str">
        <f aca="false">IF($B1763="","",IF(AND(J1763="N",G1763&gt;0,K1763=0,IFERROR(INDEX(고객사!$H$5:$H$104,MATCH($B1763,고객사!$A$5:$A$104,0)),"")="자사 차량 운행"),"차량 미배정",""))</f>
        <v/>
      </c>
      <c r="N1763" s="22" t="str">
        <f aca="false">IF($B1763="","",IFERROR(INDEX(고객사!$J$5:$J$104,MATCH($B1763,고객사!$A$5:$A$104,0)),0))</f>
        <v/>
      </c>
      <c r="O1763" s="22" t="str">
        <f aca="false">IF($B1763="","",G1763*N1763)</f>
        <v/>
      </c>
      <c r="P1763" s="22" t="str">
        <f aca="false">IF($B1763="","",IFERROR(INDEX(고객사!$K$5:$K$104,MATCH($B1763,고객사!$A$5:$A$104,0)),0))</f>
        <v/>
      </c>
      <c r="Q1763" s="22" t="str">
        <f aca="false">IF($B1763="","",G1763*P1763)</f>
        <v/>
      </c>
      <c r="R1763" s="22" t="str">
        <f aca="false">IF($B1763="","",O1763-Q1763-L1763)</f>
        <v/>
      </c>
      <c r="S1763" s="21" t="str">
        <f aca="false">IF(OR($B1763="",N(O1763)=0),"",R1763/O1763)</f>
        <v/>
      </c>
      <c r="T1763" s="14"/>
      <c r="U1763" s="19" t="n">
        <f aca="false">IF(OR($B1763="",$A1763=""),0,IF(COUNTIFS($A$5:$A1763,$A1763,$B$5:$B1763,$B1763)=1,1,0))</f>
        <v>0</v>
      </c>
    </row>
    <row r="1764" customFormat="false" ht="15" hidden="false" customHeight="false" outlineLevel="0" collapsed="false">
      <c r="A1764" s="17"/>
      <c r="B1764" s="13"/>
      <c r="C1764" s="20" t="str">
        <f aca="false">IF($B1764="","",IFERROR(INDEX(고객사!$B$5:$B$104,MATCH($B1764,고객사!$A$5:$A$104,0)),"코드 확인"))</f>
        <v/>
      </c>
      <c r="D1764" s="15"/>
      <c r="E1764" s="15"/>
      <c r="F1764" s="16"/>
      <c r="G1764" s="16"/>
      <c r="H1764" s="21" t="str">
        <f aca="false">IF(OR($B1764="",F1764=0),"",G1764/F1764)</f>
        <v/>
      </c>
      <c r="I1764" s="22" t="str">
        <f aca="false">IF($B1764="","",MAX(F1764-G1764,0))</f>
        <v/>
      </c>
      <c r="J1764" s="23" t="str">
        <f aca="false">IF($B1764="","",IFERROR(INDEX(고객사!$G$5:$G$104,MATCH($B1764,고객사!$A$5:$A$104,0)),""))</f>
        <v/>
      </c>
      <c r="K1764" s="16"/>
      <c r="L1764" s="22" t="str">
        <f aca="false">IF($B1764="","",K1764*IFERROR(INDEX(고객사!$L$5:$L$104,MATCH($B1764,고객사!$A$5:$A$104,0)),0))</f>
        <v/>
      </c>
      <c r="M1764" s="23" t="str">
        <f aca="false">IF($B1764="","",IF(AND(J1764="N",G1764&gt;0,K1764=0,IFERROR(INDEX(고객사!$H$5:$H$104,MATCH($B1764,고객사!$A$5:$A$104,0)),"")="자사 차량 운행"),"차량 미배정",""))</f>
        <v/>
      </c>
      <c r="N1764" s="22" t="str">
        <f aca="false">IF($B1764="","",IFERROR(INDEX(고객사!$J$5:$J$104,MATCH($B1764,고객사!$A$5:$A$104,0)),0))</f>
        <v/>
      </c>
      <c r="O1764" s="22" t="str">
        <f aca="false">IF($B1764="","",G1764*N1764)</f>
        <v/>
      </c>
      <c r="P1764" s="22" t="str">
        <f aca="false">IF($B1764="","",IFERROR(INDEX(고객사!$K$5:$K$104,MATCH($B1764,고객사!$A$5:$A$104,0)),0))</f>
        <v/>
      </c>
      <c r="Q1764" s="22" t="str">
        <f aca="false">IF($B1764="","",G1764*P1764)</f>
        <v/>
      </c>
      <c r="R1764" s="22" t="str">
        <f aca="false">IF($B1764="","",O1764-Q1764-L1764)</f>
        <v/>
      </c>
      <c r="S1764" s="21" t="str">
        <f aca="false">IF(OR($B1764="",N(O1764)=0),"",R1764/O1764)</f>
        <v/>
      </c>
      <c r="T1764" s="14"/>
      <c r="U1764" s="19" t="n">
        <f aca="false">IF(OR($B1764="",$A1764=""),0,IF(COUNTIFS($A$5:$A1764,$A1764,$B$5:$B1764,$B1764)=1,1,0))</f>
        <v>0</v>
      </c>
    </row>
    <row r="1765" customFormat="false" ht="15" hidden="false" customHeight="false" outlineLevel="0" collapsed="false">
      <c r="A1765" s="17"/>
      <c r="B1765" s="13"/>
      <c r="C1765" s="20" t="str">
        <f aca="false">IF($B1765="","",IFERROR(INDEX(고객사!$B$5:$B$104,MATCH($B1765,고객사!$A$5:$A$104,0)),"코드 확인"))</f>
        <v/>
      </c>
      <c r="D1765" s="15"/>
      <c r="E1765" s="15"/>
      <c r="F1765" s="16"/>
      <c r="G1765" s="16"/>
      <c r="H1765" s="21" t="str">
        <f aca="false">IF(OR($B1765="",F1765=0),"",G1765/F1765)</f>
        <v/>
      </c>
      <c r="I1765" s="22" t="str">
        <f aca="false">IF($B1765="","",MAX(F1765-G1765,0))</f>
        <v/>
      </c>
      <c r="J1765" s="23" t="str">
        <f aca="false">IF($B1765="","",IFERROR(INDEX(고객사!$G$5:$G$104,MATCH($B1765,고객사!$A$5:$A$104,0)),""))</f>
        <v/>
      </c>
      <c r="K1765" s="16"/>
      <c r="L1765" s="22" t="str">
        <f aca="false">IF($B1765="","",K1765*IFERROR(INDEX(고객사!$L$5:$L$104,MATCH($B1765,고객사!$A$5:$A$104,0)),0))</f>
        <v/>
      </c>
      <c r="M1765" s="23" t="str">
        <f aca="false">IF($B1765="","",IF(AND(J1765="N",G1765&gt;0,K1765=0,IFERROR(INDEX(고객사!$H$5:$H$104,MATCH($B1765,고객사!$A$5:$A$104,0)),"")="자사 차량 운행"),"차량 미배정",""))</f>
        <v/>
      </c>
      <c r="N1765" s="22" t="str">
        <f aca="false">IF($B1765="","",IFERROR(INDEX(고객사!$J$5:$J$104,MATCH($B1765,고객사!$A$5:$A$104,0)),0))</f>
        <v/>
      </c>
      <c r="O1765" s="22" t="str">
        <f aca="false">IF($B1765="","",G1765*N1765)</f>
        <v/>
      </c>
      <c r="P1765" s="22" t="str">
        <f aca="false">IF($B1765="","",IFERROR(INDEX(고객사!$K$5:$K$104,MATCH($B1765,고객사!$A$5:$A$104,0)),0))</f>
        <v/>
      </c>
      <c r="Q1765" s="22" t="str">
        <f aca="false">IF($B1765="","",G1765*P1765)</f>
        <v/>
      </c>
      <c r="R1765" s="22" t="str">
        <f aca="false">IF($B1765="","",O1765-Q1765-L1765)</f>
        <v/>
      </c>
      <c r="S1765" s="21" t="str">
        <f aca="false">IF(OR($B1765="",N(O1765)=0),"",R1765/O1765)</f>
        <v/>
      </c>
      <c r="T1765" s="14"/>
      <c r="U1765" s="19" t="n">
        <f aca="false">IF(OR($B1765="",$A1765=""),0,IF(COUNTIFS($A$5:$A1765,$A1765,$B$5:$B1765,$B1765)=1,1,0))</f>
        <v>0</v>
      </c>
    </row>
    <row r="1766" customFormat="false" ht="15" hidden="false" customHeight="false" outlineLevel="0" collapsed="false">
      <c r="A1766" s="17"/>
      <c r="B1766" s="13"/>
      <c r="C1766" s="20" t="str">
        <f aca="false">IF($B1766="","",IFERROR(INDEX(고객사!$B$5:$B$104,MATCH($B1766,고객사!$A$5:$A$104,0)),"코드 확인"))</f>
        <v/>
      </c>
      <c r="D1766" s="15"/>
      <c r="E1766" s="15"/>
      <c r="F1766" s="16"/>
      <c r="G1766" s="16"/>
      <c r="H1766" s="21" t="str">
        <f aca="false">IF(OR($B1766="",F1766=0),"",G1766/F1766)</f>
        <v/>
      </c>
      <c r="I1766" s="22" t="str">
        <f aca="false">IF($B1766="","",MAX(F1766-G1766,0))</f>
        <v/>
      </c>
      <c r="J1766" s="23" t="str">
        <f aca="false">IF($B1766="","",IFERROR(INDEX(고객사!$G$5:$G$104,MATCH($B1766,고객사!$A$5:$A$104,0)),""))</f>
        <v/>
      </c>
      <c r="K1766" s="16"/>
      <c r="L1766" s="22" t="str">
        <f aca="false">IF($B1766="","",K1766*IFERROR(INDEX(고객사!$L$5:$L$104,MATCH($B1766,고객사!$A$5:$A$104,0)),0))</f>
        <v/>
      </c>
      <c r="M1766" s="23" t="str">
        <f aca="false">IF($B1766="","",IF(AND(J1766="N",G1766&gt;0,K1766=0,IFERROR(INDEX(고객사!$H$5:$H$104,MATCH($B1766,고객사!$A$5:$A$104,0)),"")="자사 차량 운행"),"차량 미배정",""))</f>
        <v/>
      </c>
      <c r="N1766" s="22" t="str">
        <f aca="false">IF($B1766="","",IFERROR(INDEX(고객사!$J$5:$J$104,MATCH($B1766,고객사!$A$5:$A$104,0)),0))</f>
        <v/>
      </c>
      <c r="O1766" s="22" t="str">
        <f aca="false">IF($B1766="","",G1766*N1766)</f>
        <v/>
      </c>
      <c r="P1766" s="22" t="str">
        <f aca="false">IF($B1766="","",IFERROR(INDEX(고객사!$K$5:$K$104,MATCH($B1766,고객사!$A$5:$A$104,0)),0))</f>
        <v/>
      </c>
      <c r="Q1766" s="22" t="str">
        <f aca="false">IF($B1766="","",G1766*P1766)</f>
        <v/>
      </c>
      <c r="R1766" s="22" t="str">
        <f aca="false">IF($B1766="","",O1766-Q1766-L1766)</f>
        <v/>
      </c>
      <c r="S1766" s="21" t="str">
        <f aca="false">IF(OR($B1766="",N(O1766)=0),"",R1766/O1766)</f>
        <v/>
      </c>
      <c r="T1766" s="14"/>
      <c r="U1766" s="19" t="n">
        <f aca="false">IF(OR($B1766="",$A1766=""),0,IF(COUNTIFS($A$5:$A1766,$A1766,$B$5:$B1766,$B1766)=1,1,0))</f>
        <v>0</v>
      </c>
    </row>
    <row r="1767" customFormat="false" ht="15" hidden="false" customHeight="false" outlineLevel="0" collapsed="false">
      <c r="A1767" s="17"/>
      <c r="B1767" s="13"/>
      <c r="C1767" s="20" t="str">
        <f aca="false">IF($B1767="","",IFERROR(INDEX(고객사!$B$5:$B$104,MATCH($B1767,고객사!$A$5:$A$104,0)),"코드 확인"))</f>
        <v/>
      </c>
      <c r="D1767" s="15"/>
      <c r="E1767" s="15"/>
      <c r="F1767" s="16"/>
      <c r="G1767" s="16"/>
      <c r="H1767" s="21" t="str">
        <f aca="false">IF(OR($B1767="",F1767=0),"",G1767/F1767)</f>
        <v/>
      </c>
      <c r="I1767" s="22" t="str">
        <f aca="false">IF($B1767="","",MAX(F1767-G1767,0))</f>
        <v/>
      </c>
      <c r="J1767" s="23" t="str">
        <f aca="false">IF($B1767="","",IFERROR(INDEX(고객사!$G$5:$G$104,MATCH($B1767,고객사!$A$5:$A$104,0)),""))</f>
        <v/>
      </c>
      <c r="K1767" s="16"/>
      <c r="L1767" s="22" t="str">
        <f aca="false">IF($B1767="","",K1767*IFERROR(INDEX(고객사!$L$5:$L$104,MATCH($B1767,고객사!$A$5:$A$104,0)),0))</f>
        <v/>
      </c>
      <c r="M1767" s="23" t="str">
        <f aca="false">IF($B1767="","",IF(AND(J1767="N",G1767&gt;0,K1767=0,IFERROR(INDEX(고객사!$H$5:$H$104,MATCH($B1767,고객사!$A$5:$A$104,0)),"")="자사 차량 운행"),"차량 미배정",""))</f>
        <v/>
      </c>
      <c r="N1767" s="22" t="str">
        <f aca="false">IF($B1767="","",IFERROR(INDEX(고객사!$J$5:$J$104,MATCH($B1767,고객사!$A$5:$A$104,0)),0))</f>
        <v/>
      </c>
      <c r="O1767" s="22" t="str">
        <f aca="false">IF($B1767="","",G1767*N1767)</f>
        <v/>
      </c>
      <c r="P1767" s="22" t="str">
        <f aca="false">IF($B1767="","",IFERROR(INDEX(고객사!$K$5:$K$104,MATCH($B1767,고객사!$A$5:$A$104,0)),0))</f>
        <v/>
      </c>
      <c r="Q1767" s="22" t="str">
        <f aca="false">IF($B1767="","",G1767*P1767)</f>
        <v/>
      </c>
      <c r="R1767" s="22" t="str">
        <f aca="false">IF($B1767="","",O1767-Q1767-L1767)</f>
        <v/>
      </c>
      <c r="S1767" s="21" t="str">
        <f aca="false">IF(OR($B1767="",N(O1767)=0),"",R1767/O1767)</f>
        <v/>
      </c>
      <c r="T1767" s="14"/>
      <c r="U1767" s="19" t="n">
        <f aca="false">IF(OR($B1767="",$A1767=""),0,IF(COUNTIFS($A$5:$A1767,$A1767,$B$5:$B1767,$B1767)=1,1,0))</f>
        <v>0</v>
      </c>
    </row>
    <row r="1768" customFormat="false" ht="15" hidden="false" customHeight="false" outlineLevel="0" collapsed="false">
      <c r="A1768" s="17"/>
      <c r="B1768" s="13"/>
      <c r="C1768" s="20" t="str">
        <f aca="false">IF($B1768="","",IFERROR(INDEX(고객사!$B$5:$B$104,MATCH($B1768,고객사!$A$5:$A$104,0)),"코드 확인"))</f>
        <v/>
      </c>
      <c r="D1768" s="15"/>
      <c r="E1768" s="15"/>
      <c r="F1768" s="16"/>
      <c r="G1768" s="16"/>
      <c r="H1768" s="21" t="str">
        <f aca="false">IF(OR($B1768="",F1768=0),"",G1768/F1768)</f>
        <v/>
      </c>
      <c r="I1768" s="22" t="str">
        <f aca="false">IF($B1768="","",MAX(F1768-G1768,0))</f>
        <v/>
      </c>
      <c r="J1768" s="23" t="str">
        <f aca="false">IF($B1768="","",IFERROR(INDEX(고객사!$G$5:$G$104,MATCH($B1768,고객사!$A$5:$A$104,0)),""))</f>
        <v/>
      </c>
      <c r="K1768" s="16"/>
      <c r="L1768" s="22" t="str">
        <f aca="false">IF($B1768="","",K1768*IFERROR(INDEX(고객사!$L$5:$L$104,MATCH($B1768,고객사!$A$5:$A$104,0)),0))</f>
        <v/>
      </c>
      <c r="M1768" s="23" t="str">
        <f aca="false">IF($B1768="","",IF(AND(J1768="N",G1768&gt;0,K1768=0,IFERROR(INDEX(고객사!$H$5:$H$104,MATCH($B1768,고객사!$A$5:$A$104,0)),"")="자사 차량 운행"),"차량 미배정",""))</f>
        <v/>
      </c>
      <c r="N1768" s="22" t="str">
        <f aca="false">IF($B1768="","",IFERROR(INDEX(고객사!$J$5:$J$104,MATCH($B1768,고객사!$A$5:$A$104,0)),0))</f>
        <v/>
      </c>
      <c r="O1768" s="22" t="str">
        <f aca="false">IF($B1768="","",G1768*N1768)</f>
        <v/>
      </c>
      <c r="P1768" s="22" t="str">
        <f aca="false">IF($B1768="","",IFERROR(INDEX(고객사!$K$5:$K$104,MATCH($B1768,고객사!$A$5:$A$104,0)),0))</f>
        <v/>
      </c>
      <c r="Q1768" s="22" t="str">
        <f aca="false">IF($B1768="","",G1768*P1768)</f>
        <v/>
      </c>
      <c r="R1768" s="22" t="str">
        <f aca="false">IF($B1768="","",O1768-Q1768-L1768)</f>
        <v/>
      </c>
      <c r="S1768" s="21" t="str">
        <f aca="false">IF(OR($B1768="",N(O1768)=0),"",R1768/O1768)</f>
        <v/>
      </c>
      <c r="T1768" s="14"/>
      <c r="U1768" s="19" t="n">
        <f aca="false">IF(OR($B1768="",$A1768=""),0,IF(COUNTIFS($A$5:$A1768,$A1768,$B$5:$B1768,$B1768)=1,1,0))</f>
        <v>0</v>
      </c>
    </row>
    <row r="1769" customFormat="false" ht="15" hidden="false" customHeight="false" outlineLevel="0" collapsed="false">
      <c r="A1769" s="17"/>
      <c r="B1769" s="13"/>
      <c r="C1769" s="20" t="str">
        <f aca="false">IF($B1769="","",IFERROR(INDEX(고객사!$B$5:$B$104,MATCH($B1769,고객사!$A$5:$A$104,0)),"코드 확인"))</f>
        <v/>
      </c>
      <c r="D1769" s="15"/>
      <c r="E1769" s="15"/>
      <c r="F1769" s="16"/>
      <c r="G1769" s="16"/>
      <c r="H1769" s="21" t="str">
        <f aca="false">IF(OR($B1769="",F1769=0),"",G1769/F1769)</f>
        <v/>
      </c>
      <c r="I1769" s="22" t="str">
        <f aca="false">IF($B1769="","",MAX(F1769-G1769,0))</f>
        <v/>
      </c>
      <c r="J1769" s="23" t="str">
        <f aca="false">IF($B1769="","",IFERROR(INDEX(고객사!$G$5:$G$104,MATCH($B1769,고객사!$A$5:$A$104,0)),""))</f>
        <v/>
      </c>
      <c r="K1769" s="16"/>
      <c r="L1769" s="22" t="str">
        <f aca="false">IF($B1769="","",K1769*IFERROR(INDEX(고객사!$L$5:$L$104,MATCH($B1769,고객사!$A$5:$A$104,0)),0))</f>
        <v/>
      </c>
      <c r="M1769" s="23" t="str">
        <f aca="false">IF($B1769="","",IF(AND(J1769="N",G1769&gt;0,K1769=0,IFERROR(INDEX(고객사!$H$5:$H$104,MATCH($B1769,고객사!$A$5:$A$104,0)),"")="자사 차량 운행"),"차량 미배정",""))</f>
        <v/>
      </c>
      <c r="N1769" s="22" t="str">
        <f aca="false">IF($B1769="","",IFERROR(INDEX(고객사!$J$5:$J$104,MATCH($B1769,고객사!$A$5:$A$104,0)),0))</f>
        <v/>
      </c>
      <c r="O1769" s="22" t="str">
        <f aca="false">IF($B1769="","",G1769*N1769)</f>
        <v/>
      </c>
      <c r="P1769" s="22" t="str">
        <f aca="false">IF($B1769="","",IFERROR(INDEX(고객사!$K$5:$K$104,MATCH($B1769,고객사!$A$5:$A$104,0)),0))</f>
        <v/>
      </c>
      <c r="Q1769" s="22" t="str">
        <f aca="false">IF($B1769="","",G1769*P1769)</f>
        <v/>
      </c>
      <c r="R1769" s="22" t="str">
        <f aca="false">IF($B1769="","",O1769-Q1769-L1769)</f>
        <v/>
      </c>
      <c r="S1769" s="21" t="str">
        <f aca="false">IF(OR($B1769="",N(O1769)=0),"",R1769/O1769)</f>
        <v/>
      </c>
      <c r="T1769" s="14"/>
      <c r="U1769" s="19" t="n">
        <f aca="false">IF(OR($B1769="",$A1769=""),0,IF(COUNTIFS($A$5:$A1769,$A1769,$B$5:$B1769,$B1769)=1,1,0))</f>
        <v>0</v>
      </c>
    </row>
    <row r="1770" customFormat="false" ht="15" hidden="false" customHeight="false" outlineLevel="0" collapsed="false">
      <c r="A1770" s="17"/>
      <c r="B1770" s="13"/>
      <c r="C1770" s="20" t="str">
        <f aca="false">IF($B1770="","",IFERROR(INDEX(고객사!$B$5:$B$104,MATCH($B1770,고객사!$A$5:$A$104,0)),"코드 확인"))</f>
        <v/>
      </c>
      <c r="D1770" s="15"/>
      <c r="E1770" s="15"/>
      <c r="F1770" s="16"/>
      <c r="G1770" s="16"/>
      <c r="H1770" s="21" t="str">
        <f aca="false">IF(OR($B1770="",F1770=0),"",G1770/F1770)</f>
        <v/>
      </c>
      <c r="I1770" s="22" t="str">
        <f aca="false">IF($B1770="","",MAX(F1770-G1770,0))</f>
        <v/>
      </c>
      <c r="J1770" s="23" t="str">
        <f aca="false">IF($B1770="","",IFERROR(INDEX(고객사!$G$5:$G$104,MATCH($B1770,고객사!$A$5:$A$104,0)),""))</f>
        <v/>
      </c>
      <c r="K1770" s="16"/>
      <c r="L1770" s="22" t="str">
        <f aca="false">IF($B1770="","",K1770*IFERROR(INDEX(고객사!$L$5:$L$104,MATCH($B1770,고객사!$A$5:$A$104,0)),0))</f>
        <v/>
      </c>
      <c r="M1770" s="23" t="str">
        <f aca="false">IF($B1770="","",IF(AND(J1770="N",G1770&gt;0,K1770=0,IFERROR(INDEX(고객사!$H$5:$H$104,MATCH($B1770,고객사!$A$5:$A$104,0)),"")="자사 차량 운행"),"차량 미배정",""))</f>
        <v/>
      </c>
      <c r="N1770" s="22" t="str">
        <f aca="false">IF($B1770="","",IFERROR(INDEX(고객사!$J$5:$J$104,MATCH($B1770,고객사!$A$5:$A$104,0)),0))</f>
        <v/>
      </c>
      <c r="O1770" s="22" t="str">
        <f aca="false">IF($B1770="","",G1770*N1770)</f>
        <v/>
      </c>
      <c r="P1770" s="22" t="str">
        <f aca="false">IF($B1770="","",IFERROR(INDEX(고객사!$K$5:$K$104,MATCH($B1770,고객사!$A$5:$A$104,0)),0))</f>
        <v/>
      </c>
      <c r="Q1770" s="22" t="str">
        <f aca="false">IF($B1770="","",G1770*P1770)</f>
        <v/>
      </c>
      <c r="R1770" s="22" t="str">
        <f aca="false">IF($B1770="","",O1770-Q1770-L1770)</f>
        <v/>
      </c>
      <c r="S1770" s="21" t="str">
        <f aca="false">IF(OR($B1770="",N(O1770)=0),"",R1770/O1770)</f>
        <v/>
      </c>
      <c r="T1770" s="14"/>
      <c r="U1770" s="19" t="n">
        <f aca="false">IF(OR($B1770="",$A1770=""),0,IF(COUNTIFS($A$5:$A1770,$A1770,$B$5:$B1770,$B1770)=1,1,0))</f>
        <v>0</v>
      </c>
    </row>
    <row r="1771" customFormat="false" ht="15" hidden="false" customHeight="false" outlineLevel="0" collapsed="false">
      <c r="A1771" s="17"/>
      <c r="B1771" s="13"/>
      <c r="C1771" s="20" t="str">
        <f aca="false">IF($B1771="","",IFERROR(INDEX(고객사!$B$5:$B$104,MATCH($B1771,고객사!$A$5:$A$104,0)),"코드 확인"))</f>
        <v/>
      </c>
      <c r="D1771" s="15"/>
      <c r="E1771" s="15"/>
      <c r="F1771" s="16"/>
      <c r="G1771" s="16"/>
      <c r="H1771" s="21" t="str">
        <f aca="false">IF(OR($B1771="",F1771=0),"",G1771/F1771)</f>
        <v/>
      </c>
      <c r="I1771" s="22" t="str">
        <f aca="false">IF($B1771="","",MAX(F1771-G1771,0))</f>
        <v/>
      </c>
      <c r="J1771" s="23" t="str">
        <f aca="false">IF($B1771="","",IFERROR(INDEX(고객사!$G$5:$G$104,MATCH($B1771,고객사!$A$5:$A$104,0)),""))</f>
        <v/>
      </c>
      <c r="K1771" s="16"/>
      <c r="L1771" s="22" t="str">
        <f aca="false">IF($B1771="","",K1771*IFERROR(INDEX(고객사!$L$5:$L$104,MATCH($B1771,고객사!$A$5:$A$104,0)),0))</f>
        <v/>
      </c>
      <c r="M1771" s="23" t="str">
        <f aca="false">IF($B1771="","",IF(AND(J1771="N",G1771&gt;0,K1771=0,IFERROR(INDEX(고객사!$H$5:$H$104,MATCH($B1771,고객사!$A$5:$A$104,0)),"")="자사 차량 운행"),"차량 미배정",""))</f>
        <v/>
      </c>
      <c r="N1771" s="22" t="str">
        <f aca="false">IF($B1771="","",IFERROR(INDEX(고객사!$J$5:$J$104,MATCH($B1771,고객사!$A$5:$A$104,0)),0))</f>
        <v/>
      </c>
      <c r="O1771" s="22" t="str">
        <f aca="false">IF($B1771="","",G1771*N1771)</f>
        <v/>
      </c>
      <c r="P1771" s="22" t="str">
        <f aca="false">IF($B1771="","",IFERROR(INDEX(고객사!$K$5:$K$104,MATCH($B1771,고객사!$A$5:$A$104,0)),0))</f>
        <v/>
      </c>
      <c r="Q1771" s="22" t="str">
        <f aca="false">IF($B1771="","",G1771*P1771)</f>
        <v/>
      </c>
      <c r="R1771" s="22" t="str">
        <f aca="false">IF($B1771="","",O1771-Q1771-L1771)</f>
        <v/>
      </c>
      <c r="S1771" s="21" t="str">
        <f aca="false">IF(OR($B1771="",N(O1771)=0),"",R1771/O1771)</f>
        <v/>
      </c>
      <c r="T1771" s="14"/>
      <c r="U1771" s="19" t="n">
        <f aca="false">IF(OR($B1771="",$A1771=""),0,IF(COUNTIFS($A$5:$A1771,$A1771,$B$5:$B1771,$B1771)=1,1,0))</f>
        <v>0</v>
      </c>
    </row>
    <row r="1772" customFormat="false" ht="15" hidden="false" customHeight="false" outlineLevel="0" collapsed="false">
      <c r="A1772" s="17"/>
      <c r="B1772" s="13"/>
      <c r="C1772" s="20" t="str">
        <f aca="false">IF($B1772="","",IFERROR(INDEX(고객사!$B$5:$B$104,MATCH($B1772,고객사!$A$5:$A$104,0)),"코드 확인"))</f>
        <v/>
      </c>
      <c r="D1772" s="15"/>
      <c r="E1772" s="15"/>
      <c r="F1772" s="16"/>
      <c r="G1772" s="16"/>
      <c r="H1772" s="21" t="str">
        <f aca="false">IF(OR($B1772="",F1772=0),"",G1772/F1772)</f>
        <v/>
      </c>
      <c r="I1772" s="22" t="str">
        <f aca="false">IF($B1772="","",MAX(F1772-G1772,0))</f>
        <v/>
      </c>
      <c r="J1772" s="23" t="str">
        <f aca="false">IF($B1772="","",IFERROR(INDEX(고객사!$G$5:$G$104,MATCH($B1772,고객사!$A$5:$A$104,0)),""))</f>
        <v/>
      </c>
      <c r="K1772" s="16"/>
      <c r="L1772" s="22" t="str">
        <f aca="false">IF($B1772="","",K1772*IFERROR(INDEX(고객사!$L$5:$L$104,MATCH($B1772,고객사!$A$5:$A$104,0)),0))</f>
        <v/>
      </c>
      <c r="M1772" s="23" t="str">
        <f aca="false">IF($B1772="","",IF(AND(J1772="N",G1772&gt;0,K1772=0,IFERROR(INDEX(고객사!$H$5:$H$104,MATCH($B1772,고객사!$A$5:$A$104,0)),"")="자사 차량 운행"),"차량 미배정",""))</f>
        <v/>
      </c>
      <c r="N1772" s="22" t="str">
        <f aca="false">IF($B1772="","",IFERROR(INDEX(고객사!$J$5:$J$104,MATCH($B1772,고객사!$A$5:$A$104,0)),0))</f>
        <v/>
      </c>
      <c r="O1772" s="22" t="str">
        <f aca="false">IF($B1772="","",G1772*N1772)</f>
        <v/>
      </c>
      <c r="P1772" s="22" t="str">
        <f aca="false">IF($B1772="","",IFERROR(INDEX(고객사!$K$5:$K$104,MATCH($B1772,고객사!$A$5:$A$104,0)),0))</f>
        <v/>
      </c>
      <c r="Q1772" s="22" t="str">
        <f aca="false">IF($B1772="","",G1772*P1772)</f>
        <v/>
      </c>
      <c r="R1772" s="22" t="str">
        <f aca="false">IF($B1772="","",O1772-Q1772-L1772)</f>
        <v/>
      </c>
      <c r="S1772" s="21" t="str">
        <f aca="false">IF(OR($B1772="",N(O1772)=0),"",R1772/O1772)</f>
        <v/>
      </c>
      <c r="T1772" s="14"/>
      <c r="U1772" s="19" t="n">
        <f aca="false">IF(OR($B1772="",$A1772=""),0,IF(COUNTIFS($A$5:$A1772,$A1772,$B$5:$B1772,$B1772)=1,1,0))</f>
        <v>0</v>
      </c>
    </row>
    <row r="1773" customFormat="false" ht="15" hidden="false" customHeight="false" outlineLevel="0" collapsed="false">
      <c r="A1773" s="17"/>
      <c r="B1773" s="13"/>
      <c r="C1773" s="20" t="str">
        <f aca="false">IF($B1773="","",IFERROR(INDEX(고객사!$B$5:$B$104,MATCH($B1773,고객사!$A$5:$A$104,0)),"코드 확인"))</f>
        <v/>
      </c>
      <c r="D1773" s="15"/>
      <c r="E1773" s="15"/>
      <c r="F1773" s="16"/>
      <c r="G1773" s="16"/>
      <c r="H1773" s="21" t="str">
        <f aca="false">IF(OR($B1773="",F1773=0),"",G1773/F1773)</f>
        <v/>
      </c>
      <c r="I1773" s="22" t="str">
        <f aca="false">IF($B1773="","",MAX(F1773-G1773,0))</f>
        <v/>
      </c>
      <c r="J1773" s="23" t="str">
        <f aca="false">IF($B1773="","",IFERROR(INDEX(고객사!$G$5:$G$104,MATCH($B1773,고객사!$A$5:$A$104,0)),""))</f>
        <v/>
      </c>
      <c r="K1773" s="16"/>
      <c r="L1773" s="22" t="str">
        <f aca="false">IF($B1773="","",K1773*IFERROR(INDEX(고객사!$L$5:$L$104,MATCH($B1773,고객사!$A$5:$A$104,0)),0))</f>
        <v/>
      </c>
      <c r="M1773" s="23" t="str">
        <f aca="false">IF($B1773="","",IF(AND(J1773="N",G1773&gt;0,K1773=0,IFERROR(INDEX(고객사!$H$5:$H$104,MATCH($B1773,고객사!$A$5:$A$104,0)),"")="자사 차량 운행"),"차량 미배정",""))</f>
        <v/>
      </c>
      <c r="N1773" s="22" t="str">
        <f aca="false">IF($B1773="","",IFERROR(INDEX(고객사!$J$5:$J$104,MATCH($B1773,고객사!$A$5:$A$104,0)),0))</f>
        <v/>
      </c>
      <c r="O1773" s="22" t="str">
        <f aca="false">IF($B1773="","",G1773*N1773)</f>
        <v/>
      </c>
      <c r="P1773" s="22" t="str">
        <f aca="false">IF($B1773="","",IFERROR(INDEX(고객사!$K$5:$K$104,MATCH($B1773,고객사!$A$5:$A$104,0)),0))</f>
        <v/>
      </c>
      <c r="Q1773" s="22" t="str">
        <f aca="false">IF($B1773="","",G1773*P1773)</f>
        <v/>
      </c>
      <c r="R1773" s="22" t="str">
        <f aca="false">IF($B1773="","",O1773-Q1773-L1773)</f>
        <v/>
      </c>
      <c r="S1773" s="21" t="str">
        <f aca="false">IF(OR($B1773="",N(O1773)=0),"",R1773/O1773)</f>
        <v/>
      </c>
      <c r="T1773" s="14"/>
      <c r="U1773" s="19" t="n">
        <f aca="false">IF(OR($B1773="",$A1773=""),0,IF(COUNTIFS($A$5:$A1773,$A1773,$B$5:$B1773,$B1773)=1,1,0))</f>
        <v>0</v>
      </c>
    </row>
    <row r="1774" customFormat="false" ht="15" hidden="false" customHeight="false" outlineLevel="0" collapsed="false">
      <c r="A1774" s="17"/>
      <c r="B1774" s="13"/>
      <c r="C1774" s="20" t="str">
        <f aca="false">IF($B1774="","",IFERROR(INDEX(고객사!$B$5:$B$104,MATCH($B1774,고객사!$A$5:$A$104,0)),"코드 확인"))</f>
        <v/>
      </c>
      <c r="D1774" s="15"/>
      <c r="E1774" s="15"/>
      <c r="F1774" s="16"/>
      <c r="G1774" s="16"/>
      <c r="H1774" s="21" t="str">
        <f aca="false">IF(OR($B1774="",F1774=0),"",G1774/F1774)</f>
        <v/>
      </c>
      <c r="I1774" s="22" t="str">
        <f aca="false">IF($B1774="","",MAX(F1774-G1774,0))</f>
        <v/>
      </c>
      <c r="J1774" s="23" t="str">
        <f aca="false">IF($B1774="","",IFERROR(INDEX(고객사!$G$5:$G$104,MATCH($B1774,고객사!$A$5:$A$104,0)),""))</f>
        <v/>
      </c>
      <c r="K1774" s="16"/>
      <c r="L1774" s="22" t="str">
        <f aca="false">IF($B1774="","",K1774*IFERROR(INDEX(고객사!$L$5:$L$104,MATCH($B1774,고객사!$A$5:$A$104,0)),0))</f>
        <v/>
      </c>
      <c r="M1774" s="23" t="str">
        <f aca="false">IF($B1774="","",IF(AND(J1774="N",G1774&gt;0,K1774=0,IFERROR(INDEX(고객사!$H$5:$H$104,MATCH($B1774,고객사!$A$5:$A$104,0)),"")="자사 차량 운행"),"차량 미배정",""))</f>
        <v/>
      </c>
      <c r="N1774" s="22" t="str">
        <f aca="false">IF($B1774="","",IFERROR(INDEX(고객사!$J$5:$J$104,MATCH($B1774,고객사!$A$5:$A$104,0)),0))</f>
        <v/>
      </c>
      <c r="O1774" s="22" t="str">
        <f aca="false">IF($B1774="","",G1774*N1774)</f>
        <v/>
      </c>
      <c r="P1774" s="22" t="str">
        <f aca="false">IF($B1774="","",IFERROR(INDEX(고객사!$K$5:$K$104,MATCH($B1774,고객사!$A$5:$A$104,0)),0))</f>
        <v/>
      </c>
      <c r="Q1774" s="22" t="str">
        <f aca="false">IF($B1774="","",G1774*P1774)</f>
        <v/>
      </c>
      <c r="R1774" s="22" t="str">
        <f aca="false">IF($B1774="","",O1774-Q1774-L1774)</f>
        <v/>
      </c>
      <c r="S1774" s="21" t="str">
        <f aca="false">IF(OR($B1774="",N(O1774)=0),"",R1774/O1774)</f>
        <v/>
      </c>
      <c r="T1774" s="14"/>
      <c r="U1774" s="19" t="n">
        <f aca="false">IF(OR($B1774="",$A1774=""),0,IF(COUNTIFS($A$5:$A1774,$A1774,$B$5:$B1774,$B1774)=1,1,0))</f>
        <v>0</v>
      </c>
    </row>
    <row r="1775" customFormat="false" ht="15" hidden="false" customHeight="false" outlineLevel="0" collapsed="false">
      <c r="A1775" s="17"/>
      <c r="B1775" s="13"/>
      <c r="C1775" s="20" t="str">
        <f aca="false">IF($B1775="","",IFERROR(INDEX(고객사!$B$5:$B$104,MATCH($B1775,고객사!$A$5:$A$104,0)),"코드 확인"))</f>
        <v/>
      </c>
      <c r="D1775" s="15"/>
      <c r="E1775" s="15"/>
      <c r="F1775" s="16"/>
      <c r="G1775" s="16"/>
      <c r="H1775" s="21" t="str">
        <f aca="false">IF(OR($B1775="",F1775=0),"",G1775/F1775)</f>
        <v/>
      </c>
      <c r="I1775" s="22" t="str">
        <f aca="false">IF($B1775="","",MAX(F1775-G1775,0))</f>
        <v/>
      </c>
      <c r="J1775" s="23" t="str">
        <f aca="false">IF($B1775="","",IFERROR(INDEX(고객사!$G$5:$G$104,MATCH($B1775,고객사!$A$5:$A$104,0)),""))</f>
        <v/>
      </c>
      <c r="K1775" s="16"/>
      <c r="L1775" s="22" t="str">
        <f aca="false">IF($B1775="","",K1775*IFERROR(INDEX(고객사!$L$5:$L$104,MATCH($B1775,고객사!$A$5:$A$104,0)),0))</f>
        <v/>
      </c>
      <c r="M1775" s="23" t="str">
        <f aca="false">IF($B1775="","",IF(AND(J1775="N",G1775&gt;0,K1775=0,IFERROR(INDEX(고객사!$H$5:$H$104,MATCH($B1775,고객사!$A$5:$A$104,0)),"")="자사 차량 운행"),"차량 미배정",""))</f>
        <v/>
      </c>
      <c r="N1775" s="22" t="str">
        <f aca="false">IF($B1775="","",IFERROR(INDEX(고객사!$J$5:$J$104,MATCH($B1775,고객사!$A$5:$A$104,0)),0))</f>
        <v/>
      </c>
      <c r="O1775" s="22" t="str">
        <f aca="false">IF($B1775="","",G1775*N1775)</f>
        <v/>
      </c>
      <c r="P1775" s="22" t="str">
        <f aca="false">IF($B1775="","",IFERROR(INDEX(고객사!$K$5:$K$104,MATCH($B1775,고객사!$A$5:$A$104,0)),0))</f>
        <v/>
      </c>
      <c r="Q1775" s="22" t="str">
        <f aca="false">IF($B1775="","",G1775*P1775)</f>
        <v/>
      </c>
      <c r="R1775" s="22" t="str">
        <f aca="false">IF($B1775="","",O1775-Q1775-L1775)</f>
        <v/>
      </c>
      <c r="S1775" s="21" t="str">
        <f aca="false">IF(OR($B1775="",N(O1775)=0),"",R1775/O1775)</f>
        <v/>
      </c>
      <c r="T1775" s="14"/>
      <c r="U1775" s="19" t="n">
        <f aca="false">IF(OR($B1775="",$A1775=""),0,IF(COUNTIFS($A$5:$A1775,$A1775,$B$5:$B1775,$B1775)=1,1,0))</f>
        <v>0</v>
      </c>
    </row>
    <row r="1776" customFormat="false" ht="15" hidden="false" customHeight="false" outlineLevel="0" collapsed="false">
      <c r="A1776" s="17"/>
      <c r="B1776" s="13"/>
      <c r="C1776" s="20" t="str">
        <f aca="false">IF($B1776="","",IFERROR(INDEX(고객사!$B$5:$B$104,MATCH($B1776,고객사!$A$5:$A$104,0)),"코드 확인"))</f>
        <v/>
      </c>
      <c r="D1776" s="15"/>
      <c r="E1776" s="15"/>
      <c r="F1776" s="16"/>
      <c r="G1776" s="16"/>
      <c r="H1776" s="21" t="str">
        <f aca="false">IF(OR($B1776="",F1776=0),"",G1776/F1776)</f>
        <v/>
      </c>
      <c r="I1776" s="22" t="str">
        <f aca="false">IF($B1776="","",MAX(F1776-G1776,0))</f>
        <v/>
      </c>
      <c r="J1776" s="23" t="str">
        <f aca="false">IF($B1776="","",IFERROR(INDEX(고객사!$G$5:$G$104,MATCH($B1776,고객사!$A$5:$A$104,0)),""))</f>
        <v/>
      </c>
      <c r="K1776" s="16"/>
      <c r="L1776" s="22" t="str">
        <f aca="false">IF($B1776="","",K1776*IFERROR(INDEX(고객사!$L$5:$L$104,MATCH($B1776,고객사!$A$5:$A$104,0)),0))</f>
        <v/>
      </c>
      <c r="M1776" s="23" t="str">
        <f aca="false">IF($B1776="","",IF(AND(J1776="N",G1776&gt;0,K1776=0,IFERROR(INDEX(고객사!$H$5:$H$104,MATCH($B1776,고객사!$A$5:$A$104,0)),"")="자사 차량 운행"),"차량 미배정",""))</f>
        <v/>
      </c>
      <c r="N1776" s="22" t="str">
        <f aca="false">IF($B1776="","",IFERROR(INDEX(고객사!$J$5:$J$104,MATCH($B1776,고객사!$A$5:$A$104,0)),0))</f>
        <v/>
      </c>
      <c r="O1776" s="22" t="str">
        <f aca="false">IF($B1776="","",G1776*N1776)</f>
        <v/>
      </c>
      <c r="P1776" s="22" t="str">
        <f aca="false">IF($B1776="","",IFERROR(INDEX(고객사!$K$5:$K$104,MATCH($B1776,고객사!$A$5:$A$104,0)),0))</f>
        <v/>
      </c>
      <c r="Q1776" s="22" t="str">
        <f aca="false">IF($B1776="","",G1776*P1776)</f>
        <v/>
      </c>
      <c r="R1776" s="22" t="str">
        <f aca="false">IF($B1776="","",O1776-Q1776-L1776)</f>
        <v/>
      </c>
      <c r="S1776" s="21" t="str">
        <f aca="false">IF(OR($B1776="",N(O1776)=0),"",R1776/O1776)</f>
        <v/>
      </c>
      <c r="T1776" s="14"/>
      <c r="U1776" s="19" t="n">
        <f aca="false">IF(OR($B1776="",$A1776=""),0,IF(COUNTIFS($A$5:$A1776,$A1776,$B$5:$B1776,$B1776)=1,1,0))</f>
        <v>0</v>
      </c>
    </row>
    <row r="1777" customFormat="false" ht="15" hidden="false" customHeight="false" outlineLevel="0" collapsed="false">
      <c r="A1777" s="17"/>
      <c r="B1777" s="13"/>
      <c r="C1777" s="20" t="str">
        <f aca="false">IF($B1777="","",IFERROR(INDEX(고객사!$B$5:$B$104,MATCH($B1777,고객사!$A$5:$A$104,0)),"코드 확인"))</f>
        <v/>
      </c>
      <c r="D1777" s="15"/>
      <c r="E1777" s="15"/>
      <c r="F1777" s="16"/>
      <c r="G1777" s="16"/>
      <c r="H1777" s="21" t="str">
        <f aca="false">IF(OR($B1777="",F1777=0),"",G1777/F1777)</f>
        <v/>
      </c>
      <c r="I1777" s="22" t="str">
        <f aca="false">IF($B1777="","",MAX(F1777-G1777,0))</f>
        <v/>
      </c>
      <c r="J1777" s="23" t="str">
        <f aca="false">IF($B1777="","",IFERROR(INDEX(고객사!$G$5:$G$104,MATCH($B1777,고객사!$A$5:$A$104,0)),""))</f>
        <v/>
      </c>
      <c r="K1777" s="16"/>
      <c r="L1777" s="22" t="str">
        <f aca="false">IF($B1777="","",K1777*IFERROR(INDEX(고객사!$L$5:$L$104,MATCH($B1777,고객사!$A$5:$A$104,0)),0))</f>
        <v/>
      </c>
      <c r="M1777" s="23" t="str">
        <f aca="false">IF($B1777="","",IF(AND(J1777="N",G1777&gt;0,K1777=0,IFERROR(INDEX(고객사!$H$5:$H$104,MATCH($B1777,고객사!$A$5:$A$104,0)),"")="자사 차량 운행"),"차량 미배정",""))</f>
        <v/>
      </c>
      <c r="N1777" s="22" t="str">
        <f aca="false">IF($B1777="","",IFERROR(INDEX(고객사!$J$5:$J$104,MATCH($B1777,고객사!$A$5:$A$104,0)),0))</f>
        <v/>
      </c>
      <c r="O1777" s="22" t="str">
        <f aca="false">IF($B1777="","",G1777*N1777)</f>
        <v/>
      </c>
      <c r="P1777" s="22" t="str">
        <f aca="false">IF($B1777="","",IFERROR(INDEX(고객사!$K$5:$K$104,MATCH($B1777,고객사!$A$5:$A$104,0)),0))</f>
        <v/>
      </c>
      <c r="Q1777" s="22" t="str">
        <f aca="false">IF($B1777="","",G1777*P1777)</f>
        <v/>
      </c>
      <c r="R1777" s="22" t="str">
        <f aca="false">IF($B1777="","",O1777-Q1777-L1777)</f>
        <v/>
      </c>
      <c r="S1777" s="21" t="str">
        <f aca="false">IF(OR($B1777="",N(O1777)=0),"",R1777/O1777)</f>
        <v/>
      </c>
      <c r="T1777" s="14"/>
      <c r="U1777" s="19" t="n">
        <f aca="false">IF(OR($B1777="",$A1777=""),0,IF(COUNTIFS($A$5:$A1777,$A1777,$B$5:$B1777,$B1777)=1,1,0))</f>
        <v>0</v>
      </c>
    </row>
    <row r="1778" customFormat="false" ht="15" hidden="false" customHeight="false" outlineLevel="0" collapsed="false">
      <c r="A1778" s="17"/>
      <c r="B1778" s="13"/>
      <c r="C1778" s="20" t="str">
        <f aca="false">IF($B1778="","",IFERROR(INDEX(고객사!$B$5:$B$104,MATCH($B1778,고객사!$A$5:$A$104,0)),"코드 확인"))</f>
        <v/>
      </c>
      <c r="D1778" s="15"/>
      <c r="E1778" s="15"/>
      <c r="F1778" s="16"/>
      <c r="G1778" s="16"/>
      <c r="H1778" s="21" t="str">
        <f aca="false">IF(OR($B1778="",F1778=0),"",G1778/F1778)</f>
        <v/>
      </c>
      <c r="I1778" s="22" t="str">
        <f aca="false">IF($B1778="","",MAX(F1778-G1778,0))</f>
        <v/>
      </c>
      <c r="J1778" s="23" t="str">
        <f aca="false">IF($B1778="","",IFERROR(INDEX(고객사!$G$5:$G$104,MATCH($B1778,고객사!$A$5:$A$104,0)),""))</f>
        <v/>
      </c>
      <c r="K1778" s="16"/>
      <c r="L1778" s="22" t="str">
        <f aca="false">IF($B1778="","",K1778*IFERROR(INDEX(고객사!$L$5:$L$104,MATCH($B1778,고객사!$A$5:$A$104,0)),0))</f>
        <v/>
      </c>
      <c r="M1778" s="23" t="str">
        <f aca="false">IF($B1778="","",IF(AND(J1778="N",G1778&gt;0,K1778=0,IFERROR(INDEX(고객사!$H$5:$H$104,MATCH($B1778,고객사!$A$5:$A$104,0)),"")="자사 차량 운행"),"차량 미배정",""))</f>
        <v/>
      </c>
      <c r="N1778" s="22" t="str">
        <f aca="false">IF($B1778="","",IFERROR(INDEX(고객사!$J$5:$J$104,MATCH($B1778,고객사!$A$5:$A$104,0)),0))</f>
        <v/>
      </c>
      <c r="O1778" s="22" t="str">
        <f aca="false">IF($B1778="","",G1778*N1778)</f>
        <v/>
      </c>
      <c r="P1778" s="22" t="str">
        <f aca="false">IF($B1778="","",IFERROR(INDEX(고객사!$K$5:$K$104,MATCH($B1778,고객사!$A$5:$A$104,0)),0))</f>
        <v/>
      </c>
      <c r="Q1778" s="22" t="str">
        <f aca="false">IF($B1778="","",G1778*P1778)</f>
        <v/>
      </c>
      <c r="R1778" s="22" t="str">
        <f aca="false">IF($B1778="","",O1778-Q1778-L1778)</f>
        <v/>
      </c>
      <c r="S1778" s="21" t="str">
        <f aca="false">IF(OR($B1778="",N(O1778)=0),"",R1778/O1778)</f>
        <v/>
      </c>
      <c r="T1778" s="14"/>
      <c r="U1778" s="19" t="n">
        <f aca="false">IF(OR($B1778="",$A1778=""),0,IF(COUNTIFS($A$5:$A1778,$A1778,$B$5:$B1778,$B1778)=1,1,0))</f>
        <v>0</v>
      </c>
    </row>
    <row r="1779" customFormat="false" ht="15" hidden="false" customHeight="false" outlineLevel="0" collapsed="false">
      <c r="A1779" s="17"/>
      <c r="B1779" s="13"/>
      <c r="C1779" s="20" t="str">
        <f aca="false">IF($B1779="","",IFERROR(INDEX(고객사!$B$5:$B$104,MATCH($B1779,고객사!$A$5:$A$104,0)),"코드 확인"))</f>
        <v/>
      </c>
      <c r="D1779" s="15"/>
      <c r="E1779" s="15"/>
      <c r="F1779" s="16"/>
      <c r="G1779" s="16"/>
      <c r="H1779" s="21" t="str">
        <f aca="false">IF(OR($B1779="",F1779=0),"",G1779/F1779)</f>
        <v/>
      </c>
      <c r="I1779" s="22" t="str">
        <f aca="false">IF($B1779="","",MAX(F1779-G1779,0))</f>
        <v/>
      </c>
      <c r="J1779" s="23" t="str">
        <f aca="false">IF($B1779="","",IFERROR(INDEX(고객사!$G$5:$G$104,MATCH($B1779,고객사!$A$5:$A$104,0)),""))</f>
        <v/>
      </c>
      <c r="K1779" s="16"/>
      <c r="L1779" s="22" t="str">
        <f aca="false">IF($B1779="","",K1779*IFERROR(INDEX(고객사!$L$5:$L$104,MATCH($B1779,고객사!$A$5:$A$104,0)),0))</f>
        <v/>
      </c>
      <c r="M1779" s="23" t="str">
        <f aca="false">IF($B1779="","",IF(AND(J1779="N",G1779&gt;0,K1779=0,IFERROR(INDEX(고객사!$H$5:$H$104,MATCH($B1779,고객사!$A$5:$A$104,0)),"")="자사 차량 운행"),"차량 미배정",""))</f>
        <v/>
      </c>
      <c r="N1779" s="22" t="str">
        <f aca="false">IF($B1779="","",IFERROR(INDEX(고객사!$J$5:$J$104,MATCH($B1779,고객사!$A$5:$A$104,0)),0))</f>
        <v/>
      </c>
      <c r="O1779" s="22" t="str">
        <f aca="false">IF($B1779="","",G1779*N1779)</f>
        <v/>
      </c>
      <c r="P1779" s="22" t="str">
        <f aca="false">IF($B1779="","",IFERROR(INDEX(고객사!$K$5:$K$104,MATCH($B1779,고객사!$A$5:$A$104,0)),0))</f>
        <v/>
      </c>
      <c r="Q1779" s="22" t="str">
        <f aca="false">IF($B1779="","",G1779*P1779)</f>
        <v/>
      </c>
      <c r="R1779" s="22" t="str">
        <f aca="false">IF($B1779="","",O1779-Q1779-L1779)</f>
        <v/>
      </c>
      <c r="S1779" s="21" t="str">
        <f aca="false">IF(OR($B1779="",N(O1779)=0),"",R1779/O1779)</f>
        <v/>
      </c>
      <c r="T1779" s="14"/>
      <c r="U1779" s="19" t="n">
        <f aca="false">IF(OR($B1779="",$A1779=""),0,IF(COUNTIFS($A$5:$A1779,$A1779,$B$5:$B1779,$B1779)=1,1,0))</f>
        <v>0</v>
      </c>
    </row>
    <row r="1780" customFormat="false" ht="15" hidden="false" customHeight="false" outlineLevel="0" collapsed="false">
      <c r="A1780" s="17"/>
      <c r="B1780" s="13"/>
      <c r="C1780" s="20" t="str">
        <f aca="false">IF($B1780="","",IFERROR(INDEX(고객사!$B$5:$B$104,MATCH($B1780,고객사!$A$5:$A$104,0)),"코드 확인"))</f>
        <v/>
      </c>
      <c r="D1780" s="15"/>
      <c r="E1780" s="15"/>
      <c r="F1780" s="16"/>
      <c r="G1780" s="16"/>
      <c r="H1780" s="21" t="str">
        <f aca="false">IF(OR($B1780="",F1780=0),"",G1780/F1780)</f>
        <v/>
      </c>
      <c r="I1780" s="22" t="str">
        <f aca="false">IF($B1780="","",MAX(F1780-G1780,0))</f>
        <v/>
      </c>
      <c r="J1780" s="23" t="str">
        <f aca="false">IF($B1780="","",IFERROR(INDEX(고객사!$G$5:$G$104,MATCH($B1780,고객사!$A$5:$A$104,0)),""))</f>
        <v/>
      </c>
      <c r="K1780" s="16"/>
      <c r="L1780" s="22" t="str">
        <f aca="false">IF($B1780="","",K1780*IFERROR(INDEX(고객사!$L$5:$L$104,MATCH($B1780,고객사!$A$5:$A$104,0)),0))</f>
        <v/>
      </c>
      <c r="M1780" s="23" t="str">
        <f aca="false">IF($B1780="","",IF(AND(J1780="N",G1780&gt;0,K1780=0,IFERROR(INDEX(고객사!$H$5:$H$104,MATCH($B1780,고객사!$A$5:$A$104,0)),"")="자사 차량 운행"),"차량 미배정",""))</f>
        <v/>
      </c>
      <c r="N1780" s="22" t="str">
        <f aca="false">IF($B1780="","",IFERROR(INDEX(고객사!$J$5:$J$104,MATCH($B1780,고객사!$A$5:$A$104,0)),0))</f>
        <v/>
      </c>
      <c r="O1780" s="22" t="str">
        <f aca="false">IF($B1780="","",G1780*N1780)</f>
        <v/>
      </c>
      <c r="P1780" s="22" t="str">
        <f aca="false">IF($B1780="","",IFERROR(INDEX(고객사!$K$5:$K$104,MATCH($B1780,고객사!$A$5:$A$104,0)),0))</f>
        <v/>
      </c>
      <c r="Q1780" s="22" t="str">
        <f aca="false">IF($B1780="","",G1780*P1780)</f>
        <v/>
      </c>
      <c r="R1780" s="22" t="str">
        <f aca="false">IF($B1780="","",O1780-Q1780-L1780)</f>
        <v/>
      </c>
      <c r="S1780" s="21" t="str">
        <f aca="false">IF(OR($B1780="",N(O1780)=0),"",R1780/O1780)</f>
        <v/>
      </c>
      <c r="T1780" s="14"/>
      <c r="U1780" s="19" t="n">
        <f aca="false">IF(OR($B1780="",$A1780=""),0,IF(COUNTIFS($A$5:$A1780,$A1780,$B$5:$B1780,$B1780)=1,1,0))</f>
        <v>0</v>
      </c>
    </row>
    <row r="1781" customFormat="false" ht="15" hidden="false" customHeight="false" outlineLevel="0" collapsed="false">
      <c r="A1781" s="17"/>
      <c r="B1781" s="13"/>
      <c r="C1781" s="20" t="str">
        <f aca="false">IF($B1781="","",IFERROR(INDEX(고객사!$B$5:$B$104,MATCH($B1781,고객사!$A$5:$A$104,0)),"코드 확인"))</f>
        <v/>
      </c>
      <c r="D1781" s="15"/>
      <c r="E1781" s="15"/>
      <c r="F1781" s="16"/>
      <c r="G1781" s="16"/>
      <c r="H1781" s="21" t="str">
        <f aca="false">IF(OR($B1781="",F1781=0),"",G1781/F1781)</f>
        <v/>
      </c>
      <c r="I1781" s="22" t="str">
        <f aca="false">IF($B1781="","",MAX(F1781-G1781,0))</f>
        <v/>
      </c>
      <c r="J1781" s="23" t="str">
        <f aca="false">IF($B1781="","",IFERROR(INDEX(고객사!$G$5:$G$104,MATCH($B1781,고객사!$A$5:$A$104,0)),""))</f>
        <v/>
      </c>
      <c r="K1781" s="16"/>
      <c r="L1781" s="22" t="str">
        <f aca="false">IF($B1781="","",K1781*IFERROR(INDEX(고객사!$L$5:$L$104,MATCH($B1781,고객사!$A$5:$A$104,0)),0))</f>
        <v/>
      </c>
      <c r="M1781" s="23" t="str">
        <f aca="false">IF($B1781="","",IF(AND(J1781="N",G1781&gt;0,K1781=0,IFERROR(INDEX(고객사!$H$5:$H$104,MATCH($B1781,고객사!$A$5:$A$104,0)),"")="자사 차량 운행"),"차량 미배정",""))</f>
        <v/>
      </c>
      <c r="N1781" s="22" t="str">
        <f aca="false">IF($B1781="","",IFERROR(INDEX(고객사!$J$5:$J$104,MATCH($B1781,고객사!$A$5:$A$104,0)),0))</f>
        <v/>
      </c>
      <c r="O1781" s="22" t="str">
        <f aca="false">IF($B1781="","",G1781*N1781)</f>
        <v/>
      </c>
      <c r="P1781" s="22" t="str">
        <f aca="false">IF($B1781="","",IFERROR(INDEX(고객사!$K$5:$K$104,MATCH($B1781,고객사!$A$5:$A$104,0)),0))</f>
        <v/>
      </c>
      <c r="Q1781" s="22" t="str">
        <f aca="false">IF($B1781="","",G1781*P1781)</f>
        <v/>
      </c>
      <c r="R1781" s="22" t="str">
        <f aca="false">IF($B1781="","",O1781-Q1781-L1781)</f>
        <v/>
      </c>
      <c r="S1781" s="21" t="str">
        <f aca="false">IF(OR($B1781="",N(O1781)=0),"",R1781/O1781)</f>
        <v/>
      </c>
      <c r="T1781" s="14"/>
      <c r="U1781" s="19" t="n">
        <f aca="false">IF(OR($B1781="",$A1781=""),0,IF(COUNTIFS($A$5:$A1781,$A1781,$B$5:$B1781,$B1781)=1,1,0))</f>
        <v>0</v>
      </c>
    </row>
    <row r="1782" customFormat="false" ht="15" hidden="false" customHeight="false" outlineLevel="0" collapsed="false">
      <c r="A1782" s="17"/>
      <c r="B1782" s="13"/>
      <c r="C1782" s="20" t="str">
        <f aca="false">IF($B1782="","",IFERROR(INDEX(고객사!$B$5:$B$104,MATCH($B1782,고객사!$A$5:$A$104,0)),"코드 확인"))</f>
        <v/>
      </c>
      <c r="D1782" s="15"/>
      <c r="E1782" s="15"/>
      <c r="F1782" s="16"/>
      <c r="G1782" s="16"/>
      <c r="H1782" s="21" t="str">
        <f aca="false">IF(OR($B1782="",F1782=0),"",G1782/F1782)</f>
        <v/>
      </c>
      <c r="I1782" s="22" t="str">
        <f aca="false">IF($B1782="","",MAX(F1782-G1782,0))</f>
        <v/>
      </c>
      <c r="J1782" s="23" t="str">
        <f aca="false">IF($B1782="","",IFERROR(INDEX(고객사!$G$5:$G$104,MATCH($B1782,고객사!$A$5:$A$104,0)),""))</f>
        <v/>
      </c>
      <c r="K1782" s="16"/>
      <c r="L1782" s="22" t="str">
        <f aca="false">IF($B1782="","",K1782*IFERROR(INDEX(고객사!$L$5:$L$104,MATCH($B1782,고객사!$A$5:$A$104,0)),0))</f>
        <v/>
      </c>
      <c r="M1782" s="23" t="str">
        <f aca="false">IF($B1782="","",IF(AND(J1782="N",G1782&gt;0,K1782=0,IFERROR(INDEX(고객사!$H$5:$H$104,MATCH($B1782,고객사!$A$5:$A$104,0)),"")="자사 차량 운행"),"차량 미배정",""))</f>
        <v/>
      </c>
      <c r="N1782" s="22" t="str">
        <f aca="false">IF($B1782="","",IFERROR(INDEX(고객사!$J$5:$J$104,MATCH($B1782,고객사!$A$5:$A$104,0)),0))</f>
        <v/>
      </c>
      <c r="O1782" s="22" t="str">
        <f aca="false">IF($B1782="","",G1782*N1782)</f>
        <v/>
      </c>
      <c r="P1782" s="22" t="str">
        <f aca="false">IF($B1782="","",IFERROR(INDEX(고객사!$K$5:$K$104,MATCH($B1782,고객사!$A$5:$A$104,0)),0))</f>
        <v/>
      </c>
      <c r="Q1782" s="22" t="str">
        <f aca="false">IF($B1782="","",G1782*P1782)</f>
        <v/>
      </c>
      <c r="R1782" s="22" t="str">
        <f aca="false">IF($B1782="","",O1782-Q1782-L1782)</f>
        <v/>
      </c>
      <c r="S1782" s="21" t="str">
        <f aca="false">IF(OR($B1782="",N(O1782)=0),"",R1782/O1782)</f>
        <v/>
      </c>
      <c r="T1782" s="14"/>
      <c r="U1782" s="19" t="n">
        <f aca="false">IF(OR($B1782="",$A1782=""),0,IF(COUNTIFS($A$5:$A1782,$A1782,$B$5:$B1782,$B1782)=1,1,0))</f>
        <v>0</v>
      </c>
    </row>
    <row r="1783" customFormat="false" ht="15" hidden="false" customHeight="false" outlineLevel="0" collapsed="false">
      <c r="A1783" s="17"/>
      <c r="B1783" s="13"/>
      <c r="C1783" s="20" t="str">
        <f aca="false">IF($B1783="","",IFERROR(INDEX(고객사!$B$5:$B$104,MATCH($B1783,고객사!$A$5:$A$104,0)),"코드 확인"))</f>
        <v/>
      </c>
      <c r="D1783" s="15"/>
      <c r="E1783" s="15"/>
      <c r="F1783" s="16"/>
      <c r="G1783" s="16"/>
      <c r="H1783" s="21" t="str">
        <f aca="false">IF(OR($B1783="",F1783=0),"",G1783/F1783)</f>
        <v/>
      </c>
      <c r="I1783" s="22" t="str">
        <f aca="false">IF($B1783="","",MAX(F1783-G1783,0))</f>
        <v/>
      </c>
      <c r="J1783" s="23" t="str">
        <f aca="false">IF($B1783="","",IFERROR(INDEX(고객사!$G$5:$G$104,MATCH($B1783,고객사!$A$5:$A$104,0)),""))</f>
        <v/>
      </c>
      <c r="K1783" s="16"/>
      <c r="L1783" s="22" t="str">
        <f aca="false">IF($B1783="","",K1783*IFERROR(INDEX(고객사!$L$5:$L$104,MATCH($B1783,고객사!$A$5:$A$104,0)),0))</f>
        <v/>
      </c>
      <c r="M1783" s="23" t="str">
        <f aca="false">IF($B1783="","",IF(AND(J1783="N",G1783&gt;0,K1783=0,IFERROR(INDEX(고객사!$H$5:$H$104,MATCH($B1783,고객사!$A$5:$A$104,0)),"")="자사 차량 운행"),"차량 미배정",""))</f>
        <v/>
      </c>
      <c r="N1783" s="22" t="str">
        <f aca="false">IF($B1783="","",IFERROR(INDEX(고객사!$J$5:$J$104,MATCH($B1783,고객사!$A$5:$A$104,0)),0))</f>
        <v/>
      </c>
      <c r="O1783" s="22" t="str">
        <f aca="false">IF($B1783="","",G1783*N1783)</f>
        <v/>
      </c>
      <c r="P1783" s="22" t="str">
        <f aca="false">IF($B1783="","",IFERROR(INDEX(고객사!$K$5:$K$104,MATCH($B1783,고객사!$A$5:$A$104,0)),0))</f>
        <v/>
      </c>
      <c r="Q1783" s="22" t="str">
        <f aca="false">IF($B1783="","",G1783*P1783)</f>
        <v/>
      </c>
      <c r="R1783" s="22" t="str">
        <f aca="false">IF($B1783="","",O1783-Q1783-L1783)</f>
        <v/>
      </c>
      <c r="S1783" s="21" t="str">
        <f aca="false">IF(OR($B1783="",N(O1783)=0),"",R1783/O1783)</f>
        <v/>
      </c>
      <c r="T1783" s="14"/>
      <c r="U1783" s="19" t="n">
        <f aca="false">IF(OR($B1783="",$A1783=""),0,IF(COUNTIFS($A$5:$A1783,$A1783,$B$5:$B1783,$B1783)=1,1,0))</f>
        <v>0</v>
      </c>
    </row>
    <row r="1784" customFormat="false" ht="15" hidden="false" customHeight="false" outlineLevel="0" collapsed="false">
      <c r="A1784" s="17"/>
      <c r="B1784" s="13"/>
      <c r="C1784" s="20" t="str">
        <f aca="false">IF($B1784="","",IFERROR(INDEX(고객사!$B$5:$B$104,MATCH($B1784,고객사!$A$5:$A$104,0)),"코드 확인"))</f>
        <v/>
      </c>
      <c r="D1784" s="15"/>
      <c r="E1784" s="15"/>
      <c r="F1784" s="16"/>
      <c r="G1784" s="16"/>
      <c r="H1784" s="21" t="str">
        <f aca="false">IF(OR($B1784="",F1784=0),"",G1784/F1784)</f>
        <v/>
      </c>
      <c r="I1784" s="22" t="str">
        <f aca="false">IF($B1784="","",MAX(F1784-G1784,0))</f>
        <v/>
      </c>
      <c r="J1784" s="23" t="str">
        <f aca="false">IF($B1784="","",IFERROR(INDEX(고객사!$G$5:$G$104,MATCH($B1784,고객사!$A$5:$A$104,0)),""))</f>
        <v/>
      </c>
      <c r="K1784" s="16"/>
      <c r="L1784" s="22" t="str">
        <f aca="false">IF($B1784="","",K1784*IFERROR(INDEX(고객사!$L$5:$L$104,MATCH($B1784,고객사!$A$5:$A$104,0)),0))</f>
        <v/>
      </c>
      <c r="M1784" s="23" t="str">
        <f aca="false">IF($B1784="","",IF(AND(J1784="N",G1784&gt;0,K1784=0,IFERROR(INDEX(고객사!$H$5:$H$104,MATCH($B1784,고객사!$A$5:$A$104,0)),"")="자사 차량 운행"),"차량 미배정",""))</f>
        <v/>
      </c>
      <c r="N1784" s="22" t="str">
        <f aca="false">IF($B1784="","",IFERROR(INDEX(고객사!$J$5:$J$104,MATCH($B1784,고객사!$A$5:$A$104,0)),0))</f>
        <v/>
      </c>
      <c r="O1784" s="22" t="str">
        <f aca="false">IF($B1784="","",G1784*N1784)</f>
        <v/>
      </c>
      <c r="P1784" s="22" t="str">
        <f aca="false">IF($B1784="","",IFERROR(INDEX(고객사!$K$5:$K$104,MATCH($B1784,고객사!$A$5:$A$104,0)),0))</f>
        <v/>
      </c>
      <c r="Q1784" s="22" t="str">
        <f aca="false">IF($B1784="","",G1784*P1784)</f>
        <v/>
      </c>
      <c r="R1784" s="22" t="str">
        <f aca="false">IF($B1784="","",O1784-Q1784-L1784)</f>
        <v/>
      </c>
      <c r="S1784" s="21" t="str">
        <f aca="false">IF(OR($B1784="",N(O1784)=0),"",R1784/O1784)</f>
        <v/>
      </c>
      <c r="T1784" s="14"/>
      <c r="U1784" s="19" t="n">
        <f aca="false">IF(OR($B1784="",$A1784=""),0,IF(COUNTIFS($A$5:$A1784,$A1784,$B$5:$B1784,$B1784)=1,1,0))</f>
        <v>0</v>
      </c>
    </row>
    <row r="1785" customFormat="false" ht="15" hidden="false" customHeight="false" outlineLevel="0" collapsed="false">
      <c r="A1785" s="17"/>
      <c r="B1785" s="13"/>
      <c r="C1785" s="20" t="str">
        <f aca="false">IF($B1785="","",IFERROR(INDEX(고객사!$B$5:$B$104,MATCH($B1785,고객사!$A$5:$A$104,0)),"코드 확인"))</f>
        <v/>
      </c>
      <c r="D1785" s="15"/>
      <c r="E1785" s="15"/>
      <c r="F1785" s="16"/>
      <c r="G1785" s="16"/>
      <c r="H1785" s="21" t="str">
        <f aca="false">IF(OR($B1785="",F1785=0),"",G1785/F1785)</f>
        <v/>
      </c>
      <c r="I1785" s="22" t="str">
        <f aca="false">IF($B1785="","",MAX(F1785-G1785,0))</f>
        <v/>
      </c>
      <c r="J1785" s="23" t="str">
        <f aca="false">IF($B1785="","",IFERROR(INDEX(고객사!$G$5:$G$104,MATCH($B1785,고객사!$A$5:$A$104,0)),""))</f>
        <v/>
      </c>
      <c r="K1785" s="16"/>
      <c r="L1785" s="22" t="str">
        <f aca="false">IF($B1785="","",K1785*IFERROR(INDEX(고객사!$L$5:$L$104,MATCH($B1785,고객사!$A$5:$A$104,0)),0))</f>
        <v/>
      </c>
      <c r="M1785" s="23" t="str">
        <f aca="false">IF($B1785="","",IF(AND(J1785="N",G1785&gt;0,K1785=0,IFERROR(INDEX(고객사!$H$5:$H$104,MATCH($B1785,고객사!$A$5:$A$104,0)),"")="자사 차량 운행"),"차량 미배정",""))</f>
        <v/>
      </c>
      <c r="N1785" s="22" t="str">
        <f aca="false">IF($B1785="","",IFERROR(INDEX(고객사!$J$5:$J$104,MATCH($B1785,고객사!$A$5:$A$104,0)),0))</f>
        <v/>
      </c>
      <c r="O1785" s="22" t="str">
        <f aca="false">IF($B1785="","",G1785*N1785)</f>
        <v/>
      </c>
      <c r="P1785" s="22" t="str">
        <f aca="false">IF($B1785="","",IFERROR(INDEX(고객사!$K$5:$K$104,MATCH($B1785,고객사!$A$5:$A$104,0)),0))</f>
        <v/>
      </c>
      <c r="Q1785" s="22" t="str">
        <f aca="false">IF($B1785="","",G1785*P1785)</f>
        <v/>
      </c>
      <c r="R1785" s="22" t="str">
        <f aca="false">IF($B1785="","",O1785-Q1785-L1785)</f>
        <v/>
      </c>
      <c r="S1785" s="21" t="str">
        <f aca="false">IF(OR($B1785="",N(O1785)=0),"",R1785/O1785)</f>
        <v/>
      </c>
      <c r="T1785" s="14"/>
      <c r="U1785" s="19" t="n">
        <f aca="false">IF(OR($B1785="",$A1785=""),0,IF(COUNTIFS($A$5:$A1785,$A1785,$B$5:$B1785,$B1785)=1,1,0))</f>
        <v>0</v>
      </c>
    </row>
    <row r="1786" customFormat="false" ht="15" hidden="false" customHeight="false" outlineLevel="0" collapsed="false">
      <c r="A1786" s="17"/>
      <c r="B1786" s="13"/>
      <c r="C1786" s="20" t="str">
        <f aca="false">IF($B1786="","",IFERROR(INDEX(고객사!$B$5:$B$104,MATCH($B1786,고객사!$A$5:$A$104,0)),"코드 확인"))</f>
        <v/>
      </c>
      <c r="D1786" s="15"/>
      <c r="E1786" s="15"/>
      <c r="F1786" s="16"/>
      <c r="G1786" s="16"/>
      <c r="H1786" s="21" t="str">
        <f aca="false">IF(OR($B1786="",F1786=0),"",G1786/F1786)</f>
        <v/>
      </c>
      <c r="I1786" s="22" t="str">
        <f aca="false">IF($B1786="","",MAX(F1786-G1786,0))</f>
        <v/>
      </c>
      <c r="J1786" s="23" t="str">
        <f aca="false">IF($B1786="","",IFERROR(INDEX(고객사!$G$5:$G$104,MATCH($B1786,고객사!$A$5:$A$104,0)),""))</f>
        <v/>
      </c>
      <c r="K1786" s="16"/>
      <c r="L1786" s="22" t="str">
        <f aca="false">IF($B1786="","",K1786*IFERROR(INDEX(고객사!$L$5:$L$104,MATCH($B1786,고객사!$A$5:$A$104,0)),0))</f>
        <v/>
      </c>
      <c r="M1786" s="23" t="str">
        <f aca="false">IF($B1786="","",IF(AND(J1786="N",G1786&gt;0,K1786=0,IFERROR(INDEX(고객사!$H$5:$H$104,MATCH($B1786,고객사!$A$5:$A$104,0)),"")="자사 차량 운행"),"차량 미배정",""))</f>
        <v/>
      </c>
      <c r="N1786" s="22" t="str">
        <f aca="false">IF($B1786="","",IFERROR(INDEX(고객사!$J$5:$J$104,MATCH($B1786,고객사!$A$5:$A$104,0)),0))</f>
        <v/>
      </c>
      <c r="O1786" s="22" t="str">
        <f aca="false">IF($B1786="","",G1786*N1786)</f>
        <v/>
      </c>
      <c r="P1786" s="22" t="str">
        <f aca="false">IF($B1786="","",IFERROR(INDEX(고객사!$K$5:$K$104,MATCH($B1786,고객사!$A$5:$A$104,0)),0))</f>
        <v/>
      </c>
      <c r="Q1786" s="22" t="str">
        <f aca="false">IF($B1786="","",G1786*P1786)</f>
        <v/>
      </c>
      <c r="R1786" s="22" t="str">
        <f aca="false">IF($B1786="","",O1786-Q1786-L1786)</f>
        <v/>
      </c>
      <c r="S1786" s="21" t="str">
        <f aca="false">IF(OR($B1786="",N(O1786)=0),"",R1786/O1786)</f>
        <v/>
      </c>
      <c r="T1786" s="14"/>
      <c r="U1786" s="19" t="n">
        <f aca="false">IF(OR($B1786="",$A1786=""),0,IF(COUNTIFS($A$5:$A1786,$A1786,$B$5:$B1786,$B1786)=1,1,0))</f>
        <v>0</v>
      </c>
    </row>
    <row r="1787" customFormat="false" ht="15" hidden="false" customHeight="false" outlineLevel="0" collapsed="false">
      <c r="A1787" s="17"/>
      <c r="B1787" s="13"/>
      <c r="C1787" s="20" t="str">
        <f aca="false">IF($B1787="","",IFERROR(INDEX(고객사!$B$5:$B$104,MATCH($B1787,고객사!$A$5:$A$104,0)),"코드 확인"))</f>
        <v/>
      </c>
      <c r="D1787" s="15"/>
      <c r="E1787" s="15"/>
      <c r="F1787" s="16"/>
      <c r="G1787" s="16"/>
      <c r="H1787" s="21" t="str">
        <f aca="false">IF(OR($B1787="",F1787=0),"",G1787/F1787)</f>
        <v/>
      </c>
      <c r="I1787" s="22" t="str">
        <f aca="false">IF($B1787="","",MAX(F1787-G1787,0))</f>
        <v/>
      </c>
      <c r="J1787" s="23" t="str">
        <f aca="false">IF($B1787="","",IFERROR(INDEX(고객사!$G$5:$G$104,MATCH($B1787,고객사!$A$5:$A$104,0)),""))</f>
        <v/>
      </c>
      <c r="K1787" s="16"/>
      <c r="L1787" s="22" t="str">
        <f aca="false">IF($B1787="","",K1787*IFERROR(INDEX(고객사!$L$5:$L$104,MATCH($B1787,고객사!$A$5:$A$104,0)),0))</f>
        <v/>
      </c>
      <c r="M1787" s="23" t="str">
        <f aca="false">IF($B1787="","",IF(AND(J1787="N",G1787&gt;0,K1787=0,IFERROR(INDEX(고객사!$H$5:$H$104,MATCH($B1787,고객사!$A$5:$A$104,0)),"")="자사 차량 운행"),"차량 미배정",""))</f>
        <v/>
      </c>
      <c r="N1787" s="22" t="str">
        <f aca="false">IF($B1787="","",IFERROR(INDEX(고객사!$J$5:$J$104,MATCH($B1787,고객사!$A$5:$A$104,0)),0))</f>
        <v/>
      </c>
      <c r="O1787" s="22" t="str">
        <f aca="false">IF($B1787="","",G1787*N1787)</f>
        <v/>
      </c>
      <c r="P1787" s="22" t="str">
        <f aca="false">IF($B1787="","",IFERROR(INDEX(고객사!$K$5:$K$104,MATCH($B1787,고객사!$A$5:$A$104,0)),0))</f>
        <v/>
      </c>
      <c r="Q1787" s="22" t="str">
        <f aca="false">IF($B1787="","",G1787*P1787)</f>
        <v/>
      </c>
      <c r="R1787" s="22" t="str">
        <f aca="false">IF($B1787="","",O1787-Q1787-L1787)</f>
        <v/>
      </c>
      <c r="S1787" s="21" t="str">
        <f aca="false">IF(OR($B1787="",N(O1787)=0),"",R1787/O1787)</f>
        <v/>
      </c>
      <c r="T1787" s="14"/>
      <c r="U1787" s="19" t="n">
        <f aca="false">IF(OR($B1787="",$A1787=""),0,IF(COUNTIFS($A$5:$A1787,$A1787,$B$5:$B1787,$B1787)=1,1,0))</f>
        <v>0</v>
      </c>
    </row>
    <row r="1788" customFormat="false" ht="15" hidden="false" customHeight="false" outlineLevel="0" collapsed="false">
      <c r="A1788" s="17"/>
      <c r="B1788" s="13"/>
      <c r="C1788" s="20" t="str">
        <f aca="false">IF($B1788="","",IFERROR(INDEX(고객사!$B$5:$B$104,MATCH($B1788,고객사!$A$5:$A$104,0)),"코드 확인"))</f>
        <v/>
      </c>
      <c r="D1788" s="15"/>
      <c r="E1788" s="15"/>
      <c r="F1788" s="16"/>
      <c r="G1788" s="16"/>
      <c r="H1788" s="21" t="str">
        <f aca="false">IF(OR($B1788="",F1788=0),"",G1788/F1788)</f>
        <v/>
      </c>
      <c r="I1788" s="22" t="str">
        <f aca="false">IF($B1788="","",MAX(F1788-G1788,0))</f>
        <v/>
      </c>
      <c r="J1788" s="23" t="str">
        <f aca="false">IF($B1788="","",IFERROR(INDEX(고객사!$G$5:$G$104,MATCH($B1788,고객사!$A$5:$A$104,0)),""))</f>
        <v/>
      </c>
      <c r="K1788" s="16"/>
      <c r="L1788" s="22" t="str">
        <f aca="false">IF($B1788="","",K1788*IFERROR(INDEX(고객사!$L$5:$L$104,MATCH($B1788,고객사!$A$5:$A$104,0)),0))</f>
        <v/>
      </c>
      <c r="M1788" s="23" t="str">
        <f aca="false">IF($B1788="","",IF(AND(J1788="N",G1788&gt;0,K1788=0,IFERROR(INDEX(고객사!$H$5:$H$104,MATCH($B1788,고객사!$A$5:$A$104,0)),"")="자사 차량 운행"),"차량 미배정",""))</f>
        <v/>
      </c>
      <c r="N1788" s="22" t="str">
        <f aca="false">IF($B1788="","",IFERROR(INDEX(고객사!$J$5:$J$104,MATCH($B1788,고객사!$A$5:$A$104,0)),0))</f>
        <v/>
      </c>
      <c r="O1788" s="22" t="str">
        <f aca="false">IF($B1788="","",G1788*N1788)</f>
        <v/>
      </c>
      <c r="P1788" s="22" t="str">
        <f aca="false">IF($B1788="","",IFERROR(INDEX(고객사!$K$5:$K$104,MATCH($B1788,고객사!$A$5:$A$104,0)),0))</f>
        <v/>
      </c>
      <c r="Q1788" s="22" t="str">
        <f aca="false">IF($B1788="","",G1788*P1788)</f>
        <v/>
      </c>
      <c r="R1788" s="22" t="str">
        <f aca="false">IF($B1788="","",O1788-Q1788-L1788)</f>
        <v/>
      </c>
      <c r="S1788" s="21" t="str">
        <f aca="false">IF(OR($B1788="",N(O1788)=0),"",R1788/O1788)</f>
        <v/>
      </c>
      <c r="T1788" s="14"/>
      <c r="U1788" s="19" t="n">
        <f aca="false">IF(OR($B1788="",$A1788=""),0,IF(COUNTIFS($A$5:$A1788,$A1788,$B$5:$B1788,$B1788)=1,1,0))</f>
        <v>0</v>
      </c>
    </row>
    <row r="1789" customFormat="false" ht="15" hidden="false" customHeight="false" outlineLevel="0" collapsed="false">
      <c r="A1789" s="17"/>
      <c r="B1789" s="13"/>
      <c r="C1789" s="20" t="str">
        <f aca="false">IF($B1789="","",IFERROR(INDEX(고객사!$B$5:$B$104,MATCH($B1789,고객사!$A$5:$A$104,0)),"코드 확인"))</f>
        <v/>
      </c>
      <c r="D1789" s="15"/>
      <c r="E1789" s="15"/>
      <c r="F1789" s="16"/>
      <c r="G1789" s="16"/>
      <c r="H1789" s="21" t="str">
        <f aca="false">IF(OR($B1789="",F1789=0),"",G1789/F1789)</f>
        <v/>
      </c>
      <c r="I1789" s="22" t="str">
        <f aca="false">IF($B1789="","",MAX(F1789-G1789,0))</f>
        <v/>
      </c>
      <c r="J1789" s="23" t="str">
        <f aca="false">IF($B1789="","",IFERROR(INDEX(고객사!$G$5:$G$104,MATCH($B1789,고객사!$A$5:$A$104,0)),""))</f>
        <v/>
      </c>
      <c r="K1789" s="16"/>
      <c r="L1789" s="22" t="str">
        <f aca="false">IF($B1789="","",K1789*IFERROR(INDEX(고객사!$L$5:$L$104,MATCH($B1789,고객사!$A$5:$A$104,0)),0))</f>
        <v/>
      </c>
      <c r="M1789" s="23" t="str">
        <f aca="false">IF($B1789="","",IF(AND(J1789="N",G1789&gt;0,K1789=0,IFERROR(INDEX(고객사!$H$5:$H$104,MATCH($B1789,고객사!$A$5:$A$104,0)),"")="자사 차량 운행"),"차량 미배정",""))</f>
        <v/>
      </c>
      <c r="N1789" s="22" t="str">
        <f aca="false">IF($B1789="","",IFERROR(INDEX(고객사!$J$5:$J$104,MATCH($B1789,고객사!$A$5:$A$104,0)),0))</f>
        <v/>
      </c>
      <c r="O1789" s="22" t="str">
        <f aca="false">IF($B1789="","",G1789*N1789)</f>
        <v/>
      </c>
      <c r="P1789" s="22" t="str">
        <f aca="false">IF($B1789="","",IFERROR(INDEX(고객사!$K$5:$K$104,MATCH($B1789,고객사!$A$5:$A$104,0)),0))</f>
        <v/>
      </c>
      <c r="Q1789" s="22" t="str">
        <f aca="false">IF($B1789="","",G1789*P1789)</f>
        <v/>
      </c>
      <c r="R1789" s="22" t="str">
        <f aca="false">IF($B1789="","",O1789-Q1789-L1789)</f>
        <v/>
      </c>
      <c r="S1789" s="21" t="str">
        <f aca="false">IF(OR($B1789="",N(O1789)=0),"",R1789/O1789)</f>
        <v/>
      </c>
      <c r="T1789" s="14"/>
      <c r="U1789" s="19" t="n">
        <f aca="false">IF(OR($B1789="",$A1789=""),0,IF(COUNTIFS($A$5:$A1789,$A1789,$B$5:$B1789,$B1789)=1,1,0))</f>
        <v>0</v>
      </c>
    </row>
    <row r="1790" customFormat="false" ht="15" hidden="false" customHeight="false" outlineLevel="0" collapsed="false">
      <c r="A1790" s="17"/>
      <c r="B1790" s="13"/>
      <c r="C1790" s="20" t="str">
        <f aca="false">IF($B1790="","",IFERROR(INDEX(고객사!$B$5:$B$104,MATCH($B1790,고객사!$A$5:$A$104,0)),"코드 확인"))</f>
        <v/>
      </c>
      <c r="D1790" s="15"/>
      <c r="E1790" s="15"/>
      <c r="F1790" s="16"/>
      <c r="G1790" s="16"/>
      <c r="H1790" s="21" t="str">
        <f aca="false">IF(OR($B1790="",F1790=0),"",G1790/F1790)</f>
        <v/>
      </c>
      <c r="I1790" s="22" t="str">
        <f aca="false">IF($B1790="","",MAX(F1790-G1790,0))</f>
        <v/>
      </c>
      <c r="J1790" s="23" t="str">
        <f aca="false">IF($B1790="","",IFERROR(INDEX(고객사!$G$5:$G$104,MATCH($B1790,고객사!$A$5:$A$104,0)),""))</f>
        <v/>
      </c>
      <c r="K1790" s="16"/>
      <c r="L1790" s="22" t="str">
        <f aca="false">IF($B1790="","",K1790*IFERROR(INDEX(고객사!$L$5:$L$104,MATCH($B1790,고객사!$A$5:$A$104,0)),0))</f>
        <v/>
      </c>
      <c r="M1790" s="23" t="str">
        <f aca="false">IF($B1790="","",IF(AND(J1790="N",G1790&gt;0,K1790=0,IFERROR(INDEX(고객사!$H$5:$H$104,MATCH($B1790,고객사!$A$5:$A$104,0)),"")="자사 차량 운행"),"차량 미배정",""))</f>
        <v/>
      </c>
      <c r="N1790" s="22" t="str">
        <f aca="false">IF($B1790="","",IFERROR(INDEX(고객사!$J$5:$J$104,MATCH($B1790,고객사!$A$5:$A$104,0)),0))</f>
        <v/>
      </c>
      <c r="O1790" s="22" t="str">
        <f aca="false">IF($B1790="","",G1790*N1790)</f>
        <v/>
      </c>
      <c r="P1790" s="22" t="str">
        <f aca="false">IF($B1790="","",IFERROR(INDEX(고객사!$K$5:$K$104,MATCH($B1790,고객사!$A$5:$A$104,0)),0))</f>
        <v/>
      </c>
      <c r="Q1790" s="22" t="str">
        <f aca="false">IF($B1790="","",G1790*P1790)</f>
        <v/>
      </c>
      <c r="R1790" s="22" t="str">
        <f aca="false">IF($B1790="","",O1790-Q1790-L1790)</f>
        <v/>
      </c>
      <c r="S1790" s="21" t="str">
        <f aca="false">IF(OR($B1790="",N(O1790)=0),"",R1790/O1790)</f>
        <v/>
      </c>
      <c r="T1790" s="14"/>
      <c r="U1790" s="19" t="n">
        <f aca="false">IF(OR($B1790="",$A1790=""),0,IF(COUNTIFS($A$5:$A1790,$A1790,$B$5:$B1790,$B1790)=1,1,0))</f>
        <v>0</v>
      </c>
    </row>
    <row r="1791" customFormat="false" ht="15" hidden="false" customHeight="false" outlineLevel="0" collapsed="false">
      <c r="A1791" s="17"/>
      <c r="B1791" s="13"/>
      <c r="C1791" s="20" t="str">
        <f aca="false">IF($B1791="","",IFERROR(INDEX(고객사!$B$5:$B$104,MATCH($B1791,고객사!$A$5:$A$104,0)),"코드 확인"))</f>
        <v/>
      </c>
      <c r="D1791" s="15"/>
      <c r="E1791" s="15"/>
      <c r="F1791" s="16"/>
      <c r="G1791" s="16"/>
      <c r="H1791" s="21" t="str">
        <f aca="false">IF(OR($B1791="",F1791=0),"",G1791/F1791)</f>
        <v/>
      </c>
      <c r="I1791" s="22" t="str">
        <f aca="false">IF($B1791="","",MAX(F1791-G1791,0))</f>
        <v/>
      </c>
      <c r="J1791" s="23" t="str">
        <f aca="false">IF($B1791="","",IFERROR(INDEX(고객사!$G$5:$G$104,MATCH($B1791,고객사!$A$5:$A$104,0)),""))</f>
        <v/>
      </c>
      <c r="K1791" s="16"/>
      <c r="L1791" s="22" t="str">
        <f aca="false">IF($B1791="","",K1791*IFERROR(INDEX(고객사!$L$5:$L$104,MATCH($B1791,고객사!$A$5:$A$104,0)),0))</f>
        <v/>
      </c>
      <c r="M1791" s="23" t="str">
        <f aca="false">IF($B1791="","",IF(AND(J1791="N",G1791&gt;0,K1791=0,IFERROR(INDEX(고객사!$H$5:$H$104,MATCH($B1791,고객사!$A$5:$A$104,0)),"")="자사 차량 운행"),"차량 미배정",""))</f>
        <v/>
      </c>
      <c r="N1791" s="22" t="str">
        <f aca="false">IF($B1791="","",IFERROR(INDEX(고객사!$J$5:$J$104,MATCH($B1791,고객사!$A$5:$A$104,0)),0))</f>
        <v/>
      </c>
      <c r="O1791" s="22" t="str">
        <f aca="false">IF($B1791="","",G1791*N1791)</f>
        <v/>
      </c>
      <c r="P1791" s="22" t="str">
        <f aca="false">IF($B1791="","",IFERROR(INDEX(고객사!$K$5:$K$104,MATCH($B1791,고객사!$A$5:$A$104,0)),0))</f>
        <v/>
      </c>
      <c r="Q1791" s="22" t="str">
        <f aca="false">IF($B1791="","",G1791*P1791)</f>
        <v/>
      </c>
      <c r="R1791" s="22" t="str">
        <f aca="false">IF($B1791="","",O1791-Q1791-L1791)</f>
        <v/>
      </c>
      <c r="S1791" s="21" t="str">
        <f aca="false">IF(OR($B1791="",N(O1791)=0),"",R1791/O1791)</f>
        <v/>
      </c>
      <c r="T1791" s="14"/>
      <c r="U1791" s="19" t="n">
        <f aca="false">IF(OR($B1791="",$A1791=""),0,IF(COUNTIFS($A$5:$A1791,$A1791,$B$5:$B1791,$B1791)=1,1,0))</f>
        <v>0</v>
      </c>
    </row>
    <row r="1792" customFormat="false" ht="15" hidden="false" customHeight="false" outlineLevel="0" collapsed="false">
      <c r="A1792" s="17"/>
      <c r="B1792" s="13"/>
      <c r="C1792" s="20" t="str">
        <f aca="false">IF($B1792="","",IFERROR(INDEX(고객사!$B$5:$B$104,MATCH($B1792,고객사!$A$5:$A$104,0)),"코드 확인"))</f>
        <v/>
      </c>
      <c r="D1792" s="15"/>
      <c r="E1792" s="15"/>
      <c r="F1792" s="16"/>
      <c r="G1792" s="16"/>
      <c r="H1792" s="21" t="str">
        <f aca="false">IF(OR($B1792="",F1792=0),"",G1792/F1792)</f>
        <v/>
      </c>
      <c r="I1792" s="22" t="str">
        <f aca="false">IF($B1792="","",MAX(F1792-G1792,0))</f>
        <v/>
      </c>
      <c r="J1792" s="23" t="str">
        <f aca="false">IF($B1792="","",IFERROR(INDEX(고객사!$G$5:$G$104,MATCH($B1792,고객사!$A$5:$A$104,0)),""))</f>
        <v/>
      </c>
      <c r="K1792" s="16"/>
      <c r="L1792" s="22" t="str">
        <f aca="false">IF($B1792="","",K1792*IFERROR(INDEX(고객사!$L$5:$L$104,MATCH($B1792,고객사!$A$5:$A$104,0)),0))</f>
        <v/>
      </c>
      <c r="M1792" s="23" t="str">
        <f aca="false">IF($B1792="","",IF(AND(J1792="N",G1792&gt;0,K1792=0,IFERROR(INDEX(고객사!$H$5:$H$104,MATCH($B1792,고객사!$A$5:$A$104,0)),"")="자사 차량 운행"),"차량 미배정",""))</f>
        <v/>
      </c>
      <c r="N1792" s="22" t="str">
        <f aca="false">IF($B1792="","",IFERROR(INDEX(고객사!$J$5:$J$104,MATCH($B1792,고객사!$A$5:$A$104,0)),0))</f>
        <v/>
      </c>
      <c r="O1792" s="22" t="str">
        <f aca="false">IF($B1792="","",G1792*N1792)</f>
        <v/>
      </c>
      <c r="P1792" s="22" t="str">
        <f aca="false">IF($B1792="","",IFERROR(INDEX(고객사!$K$5:$K$104,MATCH($B1792,고객사!$A$5:$A$104,0)),0))</f>
        <v/>
      </c>
      <c r="Q1792" s="22" t="str">
        <f aca="false">IF($B1792="","",G1792*P1792)</f>
        <v/>
      </c>
      <c r="R1792" s="22" t="str">
        <f aca="false">IF($B1792="","",O1792-Q1792-L1792)</f>
        <v/>
      </c>
      <c r="S1792" s="21" t="str">
        <f aca="false">IF(OR($B1792="",N(O1792)=0),"",R1792/O1792)</f>
        <v/>
      </c>
      <c r="T1792" s="14"/>
      <c r="U1792" s="19" t="n">
        <f aca="false">IF(OR($B1792="",$A1792=""),0,IF(COUNTIFS($A$5:$A1792,$A1792,$B$5:$B1792,$B1792)=1,1,0))</f>
        <v>0</v>
      </c>
    </row>
    <row r="1793" customFormat="false" ht="15" hidden="false" customHeight="false" outlineLevel="0" collapsed="false">
      <c r="A1793" s="17"/>
      <c r="B1793" s="13"/>
      <c r="C1793" s="20" t="str">
        <f aca="false">IF($B1793="","",IFERROR(INDEX(고객사!$B$5:$B$104,MATCH($B1793,고객사!$A$5:$A$104,0)),"코드 확인"))</f>
        <v/>
      </c>
      <c r="D1793" s="15"/>
      <c r="E1793" s="15"/>
      <c r="F1793" s="16"/>
      <c r="G1793" s="16"/>
      <c r="H1793" s="21" t="str">
        <f aca="false">IF(OR($B1793="",F1793=0),"",G1793/F1793)</f>
        <v/>
      </c>
      <c r="I1793" s="22" t="str">
        <f aca="false">IF($B1793="","",MAX(F1793-G1793,0))</f>
        <v/>
      </c>
      <c r="J1793" s="23" t="str">
        <f aca="false">IF($B1793="","",IFERROR(INDEX(고객사!$G$5:$G$104,MATCH($B1793,고객사!$A$5:$A$104,0)),""))</f>
        <v/>
      </c>
      <c r="K1793" s="16"/>
      <c r="L1793" s="22" t="str">
        <f aca="false">IF($B1793="","",K1793*IFERROR(INDEX(고객사!$L$5:$L$104,MATCH($B1793,고객사!$A$5:$A$104,0)),0))</f>
        <v/>
      </c>
      <c r="M1793" s="23" t="str">
        <f aca="false">IF($B1793="","",IF(AND(J1793="N",G1793&gt;0,K1793=0,IFERROR(INDEX(고객사!$H$5:$H$104,MATCH($B1793,고객사!$A$5:$A$104,0)),"")="자사 차량 운행"),"차량 미배정",""))</f>
        <v/>
      </c>
      <c r="N1793" s="22" t="str">
        <f aca="false">IF($B1793="","",IFERROR(INDEX(고객사!$J$5:$J$104,MATCH($B1793,고객사!$A$5:$A$104,0)),0))</f>
        <v/>
      </c>
      <c r="O1793" s="22" t="str">
        <f aca="false">IF($B1793="","",G1793*N1793)</f>
        <v/>
      </c>
      <c r="P1793" s="22" t="str">
        <f aca="false">IF($B1793="","",IFERROR(INDEX(고객사!$K$5:$K$104,MATCH($B1793,고객사!$A$5:$A$104,0)),0))</f>
        <v/>
      </c>
      <c r="Q1793" s="22" t="str">
        <f aca="false">IF($B1793="","",G1793*P1793)</f>
        <v/>
      </c>
      <c r="R1793" s="22" t="str">
        <f aca="false">IF($B1793="","",O1793-Q1793-L1793)</f>
        <v/>
      </c>
      <c r="S1793" s="21" t="str">
        <f aca="false">IF(OR($B1793="",N(O1793)=0),"",R1793/O1793)</f>
        <v/>
      </c>
      <c r="T1793" s="14"/>
      <c r="U1793" s="19" t="n">
        <f aca="false">IF(OR($B1793="",$A1793=""),0,IF(COUNTIFS($A$5:$A1793,$A1793,$B$5:$B1793,$B1793)=1,1,0))</f>
        <v>0</v>
      </c>
    </row>
    <row r="1794" customFormat="false" ht="15" hidden="false" customHeight="false" outlineLevel="0" collapsed="false">
      <c r="A1794" s="17"/>
      <c r="B1794" s="13"/>
      <c r="C1794" s="20" t="str">
        <f aca="false">IF($B1794="","",IFERROR(INDEX(고객사!$B$5:$B$104,MATCH($B1794,고객사!$A$5:$A$104,0)),"코드 확인"))</f>
        <v/>
      </c>
      <c r="D1794" s="15"/>
      <c r="E1794" s="15"/>
      <c r="F1794" s="16"/>
      <c r="G1794" s="16"/>
      <c r="H1794" s="21" t="str">
        <f aca="false">IF(OR($B1794="",F1794=0),"",G1794/F1794)</f>
        <v/>
      </c>
      <c r="I1794" s="22" t="str">
        <f aca="false">IF($B1794="","",MAX(F1794-G1794,0))</f>
        <v/>
      </c>
      <c r="J1794" s="23" t="str">
        <f aca="false">IF($B1794="","",IFERROR(INDEX(고객사!$G$5:$G$104,MATCH($B1794,고객사!$A$5:$A$104,0)),""))</f>
        <v/>
      </c>
      <c r="K1794" s="16"/>
      <c r="L1794" s="22" t="str">
        <f aca="false">IF($B1794="","",K1794*IFERROR(INDEX(고객사!$L$5:$L$104,MATCH($B1794,고객사!$A$5:$A$104,0)),0))</f>
        <v/>
      </c>
      <c r="M1794" s="23" t="str">
        <f aca="false">IF($B1794="","",IF(AND(J1794="N",G1794&gt;0,K1794=0,IFERROR(INDEX(고객사!$H$5:$H$104,MATCH($B1794,고객사!$A$5:$A$104,0)),"")="자사 차량 운행"),"차량 미배정",""))</f>
        <v/>
      </c>
      <c r="N1794" s="22" t="str">
        <f aca="false">IF($B1794="","",IFERROR(INDEX(고객사!$J$5:$J$104,MATCH($B1794,고객사!$A$5:$A$104,0)),0))</f>
        <v/>
      </c>
      <c r="O1794" s="22" t="str">
        <f aca="false">IF($B1794="","",G1794*N1794)</f>
        <v/>
      </c>
      <c r="P1794" s="22" t="str">
        <f aca="false">IF($B1794="","",IFERROR(INDEX(고객사!$K$5:$K$104,MATCH($B1794,고객사!$A$5:$A$104,0)),0))</f>
        <v/>
      </c>
      <c r="Q1794" s="22" t="str">
        <f aca="false">IF($B1794="","",G1794*P1794)</f>
        <v/>
      </c>
      <c r="R1794" s="22" t="str">
        <f aca="false">IF($B1794="","",O1794-Q1794-L1794)</f>
        <v/>
      </c>
      <c r="S1794" s="21" t="str">
        <f aca="false">IF(OR($B1794="",N(O1794)=0),"",R1794/O1794)</f>
        <v/>
      </c>
      <c r="T1794" s="14"/>
      <c r="U1794" s="19" t="n">
        <f aca="false">IF(OR($B1794="",$A1794=""),0,IF(COUNTIFS($A$5:$A1794,$A1794,$B$5:$B1794,$B1794)=1,1,0))</f>
        <v>0</v>
      </c>
    </row>
    <row r="1795" customFormat="false" ht="15" hidden="false" customHeight="false" outlineLevel="0" collapsed="false">
      <c r="A1795" s="17"/>
      <c r="B1795" s="13"/>
      <c r="C1795" s="20" t="str">
        <f aca="false">IF($B1795="","",IFERROR(INDEX(고객사!$B$5:$B$104,MATCH($B1795,고객사!$A$5:$A$104,0)),"코드 확인"))</f>
        <v/>
      </c>
      <c r="D1795" s="15"/>
      <c r="E1795" s="15"/>
      <c r="F1795" s="16"/>
      <c r="G1795" s="16"/>
      <c r="H1795" s="21" t="str">
        <f aca="false">IF(OR($B1795="",F1795=0),"",G1795/F1795)</f>
        <v/>
      </c>
      <c r="I1795" s="22" t="str">
        <f aca="false">IF($B1795="","",MAX(F1795-G1795,0))</f>
        <v/>
      </c>
      <c r="J1795" s="23" t="str">
        <f aca="false">IF($B1795="","",IFERROR(INDEX(고객사!$G$5:$G$104,MATCH($B1795,고객사!$A$5:$A$104,0)),""))</f>
        <v/>
      </c>
      <c r="K1795" s="16"/>
      <c r="L1795" s="22" t="str">
        <f aca="false">IF($B1795="","",K1795*IFERROR(INDEX(고객사!$L$5:$L$104,MATCH($B1795,고객사!$A$5:$A$104,0)),0))</f>
        <v/>
      </c>
      <c r="M1795" s="23" t="str">
        <f aca="false">IF($B1795="","",IF(AND(J1795="N",G1795&gt;0,K1795=0,IFERROR(INDEX(고객사!$H$5:$H$104,MATCH($B1795,고객사!$A$5:$A$104,0)),"")="자사 차량 운행"),"차량 미배정",""))</f>
        <v/>
      </c>
      <c r="N1795" s="22" t="str">
        <f aca="false">IF($B1795="","",IFERROR(INDEX(고객사!$J$5:$J$104,MATCH($B1795,고객사!$A$5:$A$104,0)),0))</f>
        <v/>
      </c>
      <c r="O1795" s="22" t="str">
        <f aca="false">IF($B1795="","",G1795*N1795)</f>
        <v/>
      </c>
      <c r="P1795" s="22" t="str">
        <f aca="false">IF($B1795="","",IFERROR(INDEX(고객사!$K$5:$K$104,MATCH($B1795,고객사!$A$5:$A$104,0)),0))</f>
        <v/>
      </c>
      <c r="Q1795" s="22" t="str">
        <f aca="false">IF($B1795="","",G1795*P1795)</f>
        <v/>
      </c>
      <c r="R1795" s="22" t="str">
        <f aca="false">IF($B1795="","",O1795-Q1795-L1795)</f>
        <v/>
      </c>
      <c r="S1795" s="21" t="str">
        <f aca="false">IF(OR($B1795="",N(O1795)=0),"",R1795/O1795)</f>
        <v/>
      </c>
      <c r="T1795" s="14"/>
      <c r="U1795" s="19" t="n">
        <f aca="false">IF(OR($B1795="",$A1795=""),0,IF(COUNTIFS($A$5:$A1795,$A1795,$B$5:$B1795,$B1795)=1,1,0))</f>
        <v>0</v>
      </c>
    </row>
    <row r="1796" customFormat="false" ht="15" hidden="false" customHeight="false" outlineLevel="0" collapsed="false">
      <c r="A1796" s="17"/>
      <c r="B1796" s="13"/>
      <c r="C1796" s="20" t="str">
        <f aca="false">IF($B1796="","",IFERROR(INDEX(고객사!$B$5:$B$104,MATCH($B1796,고객사!$A$5:$A$104,0)),"코드 확인"))</f>
        <v/>
      </c>
      <c r="D1796" s="15"/>
      <c r="E1796" s="15"/>
      <c r="F1796" s="16"/>
      <c r="G1796" s="16"/>
      <c r="H1796" s="21" t="str">
        <f aca="false">IF(OR($B1796="",F1796=0),"",G1796/F1796)</f>
        <v/>
      </c>
      <c r="I1796" s="22" t="str">
        <f aca="false">IF($B1796="","",MAX(F1796-G1796,0))</f>
        <v/>
      </c>
      <c r="J1796" s="23" t="str">
        <f aca="false">IF($B1796="","",IFERROR(INDEX(고객사!$G$5:$G$104,MATCH($B1796,고객사!$A$5:$A$104,0)),""))</f>
        <v/>
      </c>
      <c r="K1796" s="16"/>
      <c r="L1796" s="22" t="str">
        <f aca="false">IF($B1796="","",K1796*IFERROR(INDEX(고객사!$L$5:$L$104,MATCH($B1796,고객사!$A$5:$A$104,0)),0))</f>
        <v/>
      </c>
      <c r="M1796" s="23" t="str">
        <f aca="false">IF($B1796="","",IF(AND(J1796="N",G1796&gt;0,K1796=0,IFERROR(INDEX(고객사!$H$5:$H$104,MATCH($B1796,고객사!$A$5:$A$104,0)),"")="자사 차량 운행"),"차량 미배정",""))</f>
        <v/>
      </c>
      <c r="N1796" s="22" t="str">
        <f aca="false">IF($B1796="","",IFERROR(INDEX(고객사!$J$5:$J$104,MATCH($B1796,고객사!$A$5:$A$104,0)),0))</f>
        <v/>
      </c>
      <c r="O1796" s="22" t="str">
        <f aca="false">IF($B1796="","",G1796*N1796)</f>
        <v/>
      </c>
      <c r="P1796" s="22" t="str">
        <f aca="false">IF($B1796="","",IFERROR(INDEX(고객사!$K$5:$K$104,MATCH($B1796,고객사!$A$5:$A$104,0)),0))</f>
        <v/>
      </c>
      <c r="Q1796" s="22" t="str">
        <f aca="false">IF($B1796="","",G1796*P1796)</f>
        <v/>
      </c>
      <c r="R1796" s="22" t="str">
        <f aca="false">IF($B1796="","",O1796-Q1796-L1796)</f>
        <v/>
      </c>
      <c r="S1796" s="21" t="str">
        <f aca="false">IF(OR($B1796="",N(O1796)=0),"",R1796/O1796)</f>
        <v/>
      </c>
      <c r="T1796" s="14"/>
      <c r="U1796" s="19" t="n">
        <f aca="false">IF(OR($B1796="",$A1796=""),0,IF(COUNTIFS($A$5:$A1796,$A1796,$B$5:$B1796,$B1796)=1,1,0))</f>
        <v>0</v>
      </c>
    </row>
    <row r="1797" customFormat="false" ht="15" hidden="false" customHeight="false" outlineLevel="0" collapsed="false">
      <c r="A1797" s="17"/>
      <c r="B1797" s="13"/>
      <c r="C1797" s="20" t="str">
        <f aca="false">IF($B1797="","",IFERROR(INDEX(고객사!$B$5:$B$104,MATCH($B1797,고객사!$A$5:$A$104,0)),"코드 확인"))</f>
        <v/>
      </c>
      <c r="D1797" s="15"/>
      <c r="E1797" s="15"/>
      <c r="F1797" s="16"/>
      <c r="G1797" s="16"/>
      <c r="H1797" s="21" t="str">
        <f aca="false">IF(OR($B1797="",F1797=0),"",G1797/F1797)</f>
        <v/>
      </c>
      <c r="I1797" s="22" t="str">
        <f aca="false">IF($B1797="","",MAX(F1797-G1797,0))</f>
        <v/>
      </c>
      <c r="J1797" s="23" t="str">
        <f aca="false">IF($B1797="","",IFERROR(INDEX(고객사!$G$5:$G$104,MATCH($B1797,고객사!$A$5:$A$104,0)),""))</f>
        <v/>
      </c>
      <c r="K1797" s="16"/>
      <c r="L1797" s="22" t="str">
        <f aca="false">IF($B1797="","",K1797*IFERROR(INDEX(고객사!$L$5:$L$104,MATCH($B1797,고객사!$A$5:$A$104,0)),0))</f>
        <v/>
      </c>
      <c r="M1797" s="23" t="str">
        <f aca="false">IF($B1797="","",IF(AND(J1797="N",G1797&gt;0,K1797=0,IFERROR(INDEX(고객사!$H$5:$H$104,MATCH($B1797,고객사!$A$5:$A$104,0)),"")="자사 차량 운행"),"차량 미배정",""))</f>
        <v/>
      </c>
      <c r="N1797" s="22" t="str">
        <f aca="false">IF($B1797="","",IFERROR(INDEX(고객사!$J$5:$J$104,MATCH($B1797,고객사!$A$5:$A$104,0)),0))</f>
        <v/>
      </c>
      <c r="O1797" s="22" t="str">
        <f aca="false">IF($B1797="","",G1797*N1797)</f>
        <v/>
      </c>
      <c r="P1797" s="22" t="str">
        <f aca="false">IF($B1797="","",IFERROR(INDEX(고객사!$K$5:$K$104,MATCH($B1797,고객사!$A$5:$A$104,0)),0))</f>
        <v/>
      </c>
      <c r="Q1797" s="22" t="str">
        <f aca="false">IF($B1797="","",G1797*P1797)</f>
        <v/>
      </c>
      <c r="R1797" s="22" t="str">
        <f aca="false">IF($B1797="","",O1797-Q1797-L1797)</f>
        <v/>
      </c>
      <c r="S1797" s="21" t="str">
        <f aca="false">IF(OR($B1797="",N(O1797)=0),"",R1797/O1797)</f>
        <v/>
      </c>
      <c r="T1797" s="14"/>
      <c r="U1797" s="19" t="n">
        <f aca="false">IF(OR($B1797="",$A1797=""),0,IF(COUNTIFS($A$5:$A1797,$A1797,$B$5:$B1797,$B1797)=1,1,0))</f>
        <v>0</v>
      </c>
    </row>
    <row r="1798" customFormat="false" ht="15" hidden="false" customHeight="false" outlineLevel="0" collapsed="false">
      <c r="A1798" s="17"/>
      <c r="B1798" s="13"/>
      <c r="C1798" s="20" t="str">
        <f aca="false">IF($B1798="","",IFERROR(INDEX(고객사!$B$5:$B$104,MATCH($B1798,고객사!$A$5:$A$104,0)),"코드 확인"))</f>
        <v/>
      </c>
      <c r="D1798" s="15"/>
      <c r="E1798" s="15"/>
      <c r="F1798" s="16"/>
      <c r="G1798" s="16"/>
      <c r="H1798" s="21" t="str">
        <f aca="false">IF(OR($B1798="",F1798=0),"",G1798/F1798)</f>
        <v/>
      </c>
      <c r="I1798" s="22" t="str">
        <f aca="false">IF($B1798="","",MAX(F1798-G1798,0))</f>
        <v/>
      </c>
      <c r="J1798" s="23" t="str">
        <f aca="false">IF($B1798="","",IFERROR(INDEX(고객사!$G$5:$G$104,MATCH($B1798,고객사!$A$5:$A$104,0)),""))</f>
        <v/>
      </c>
      <c r="K1798" s="16"/>
      <c r="L1798" s="22" t="str">
        <f aca="false">IF($B1798="","",K1798*IFERROR(INDEX(고객사!$L$5:$L$104,MATCH($B1798,고객사!$A$5:$A$104,0)),0))</f>
        <v/>
      </c>
      <c r="M1798" s="23" t="str">
        <f aca="false">IF($B1798="","",IF(AND(J1798="N",G1798&gt;0,K1798=0,IFERROR(INDEX(고객사!$H$5:$H$104,MATCH($B1798,고객사!$A$5:$A$104,0)),"")="자사 차량 운행"),"차량 미배정",""))</f>
        <v/>
      </c>
      <c r="N1798" s="22" t="str">
        <f aca="false">IF($B1798="","",IFERROR(INDEX(고객사!$J$5:$J$104,MATCH($B1798,고객사!$A$5:$A$104,0)),0))</f>
        <v/>
      </c>
      <c r="O1798" s="22" t="str">
        <f aca="false">IF($B1798="","",G1798*N1798)</f>
        <v/>
      </c>
      <c r="P1798" s="22" t="str">
        <f aca="false">IF($B1798="","",IFERROR(INDEX(고객사!$K$5:$K$104,MATCH($B1798,고객사!$A$5:$A$104,0)),0))</f>
        <v/>
      </c>
      <c r="Q1798" s="22" t="str">
        <f aca="false">IF($B1798="","",G1798*P1798)</f>
        <v/>
      </c>
      <c r="R1798" s="22" t="str">
        <f aca="false">IF($B1798="","",O1798-Q1798-L1798)</f>
        <v/>
      </c>
      <c r="S1798" s="21" t="str">
        <f aca="false">IF(OR($B1798="",N(O1798)=0),"",R1798/O1798)</f>
        <v/>
      </c>
      <c r="T1798" s="14"/>
      <c r="U1798" s="19" t="n">
        <f aca="false">IF(OR($B1798="",$A1798=""),0,IF(COUNTIFS($A$5:$A1798,$A1798,$B$5:$B1798,$B1798)=1,1,0))</f>
        <v>0</v>
      </c>
    </row>
    <row r="1799" customFormat="false" ht="15" hidden="false" customHeight="false" outlineLevel="0" collapsed="false">
      <c r="A1799" s="17"/>
      <c r="B1799" s="13"/>
      <c r="C1799" s="20" t="str">
        <f aca="false">IF($B1799="","",IFERROR(INDEX(고객사!$B$5:$B$104,MATCH($B1799,고객사!$A$5:$A$104,0)),"코드 확인"))</f>
        <v/>
      </c>
      <c r="D1799" s="15"/>
      <c r="E1799" s="15"/>
      <c r="F1799" s="16"/>
      <c r="G1799" s="16"/>
      <c r="H1799" s="21" t="str">
        <f aca="false">IF(OR($B1799="",F1799=0),"",G1799/F1799)</f>
        <v/>
      </c>
      <c r="I1799" s="22" t="str">
        <f aca="false">IF($B1799="","",MAX(F1799-G1799,0))</f>
        <v/>
      </c>
      <c r="J1799" s="23" t="str">
        <f aca="false">IF($B1799="","",IFERROR(INDEX(고객사!$G$5:$G$104,MATCH($B1799,고객사!$A$5:$A$104,0)),""))</f>
        <v/>
      </c>
      <c r="K1799" s="16"/>
      <c r="L1799" s="22" t="str">
        <f aca="false">IF($B1799="","",K1799*IFERROR(INDEX(고객사!$L$5:$L$104,MATCH($B1799,고객사!$A$5:$A$104,0)),0))</f>
        <v/>
      </c>
      <c r="M1799" s="23" t="str">
        <f aca="false">IF($B1799="","",IF(AND(J1799="N",G1799&gt;0,K1799=0,IFERROR(INDEX(고객사!$H$5:$H$104,MATCH($B1799,고객사!$A$5:$A$104,0)),"")="자사 차량 운행"),"차량 미배정",""))</f>
        <v/>
      </c>
      <c r="N1799" s="22" t="str">
        <f aca="false">IF($B1799="","",IFERROR(INDEX(고객사!$J$5:$J$104,MATCH($B1799,고객사!$A$5:$A$104,0)),0))</f>
        <v/>
      </c>
      <c r="O1799" s="22" t="str">
        <f aca="false">IF($B1799="","",G1799*N1799)</f>
        <v/>
      </c>
      <c r="P1799" s="22" t="str">
        <f aca="false">IF($B1799="","",IFERROR(INDEX(고객사!$K$5:$K$104,MATCH($B1799,고객사!$A$5:$A$104,0)),0))</f>
        <v/>
      </c>
      <c r="Q1799" s="22" t="str">
        <f aca="false">IF($B1799="","",G1799*P1799)</f>
        <v/>
      </c>
      <c r="R1799" s="22" t="str">
        <f aca="false">IF($B1799="","",O1799-Q1799-L1799)</f>
        <v/>
      </c>
      <c r="S1799" s="21" t="str">
        <f aca="false">IF(OR($B1799="",N(O1799)=0),"",R1799/O1799)</f>
        <v/>
      </c>
      <c r="T1799" s="14"/>
      <c r="U1799" s="19" t="n">
        <f aca="false">IF(OR($B1799="",$A1799=""),0,IF(COUNTIFS($A$5:$A1799,$A1799,$B$5:$B1799,$B1799)=1,1,0))</f>
        <v>0</v>
      </c>
    </row>
    <row r="1800" customFormat="false" ht="15" hidden="false" customHeight="false" outlineLevel="0" collapsed="false">
      <c r="A1800" s="17"/>
      <c r="B1800" s="13"/>
      <c r="C1800" s="20" t="str">
        <f aca="false">IF($B1800="","",IFERROR(INDEX(고객사!$B$5:$B$104,MATCH($B1800,고객사!$A$5:$A$104,0)),"코드 확인"))</f>
        <v/>
      </c>
      <c r="D1800" s="15"/>
      <c r="E1800" s="15"/>
      <c r="F1800" s="16"/>
      <c r="G1800" s="16"/>
      <c r="H1800" s="21" t="str">
        <f aca="false">IF(OR($B1800="",F1800=0),"",G1800/F1800)</f>
        <v/>
      </c>
      <c r="I1800" s="22" t="str">
        <f aca="false">IF($B1800="","",MAX(F1800-G1800,0))</f>
        <v/>
      </c>
      <c r="J1800" s="23" t="str">
        <f aca="false">IF($B1800="","",IFERROR(INDEX(고객사!$G$5:$G$104,MATCH($B1800,고객사!$A$5:$A$104,0)),""))</f>
        <v/>
      </c>
      <c r="K1800" s="16"/>
      <c r="L1800" s="22" t="str">
        <f aca="false">IF($B1800="","",K1800*IFERROR(INDEX(고객사!$L$5:$L$104,MATCH($B1800,고객사!$A$5:$A$104,0)),0))</f>
        <v/>
      </c>
      <c r="M1800" s="23" t="str">
        <f aca="false">IF($B1800="","",IF(AND(J1800="N",G1800&gt;0,K1800=0,IFERROR(INDEX(고객사!$H$5:$H$104,MATCH($B1800,고객사!$A$5:$A$104,0)),"")="자사 차량 운행"),"차량 미배정",""))</f>
        <v/>
      </c>
      <c r="N1800" s="22" t="str">
        <f aca="false">IF($B1800="","",IFERROR(INDEX(고객사!$J$5:$J$104,MATCH($B1800,고객사!$A$5:$A$104,0)),0))</f>
        <v/>
      </c>
      <c r="O1800" s="22" t="str">
        <f aca="false">IF($B1800="","",G1800*N1800)</f>
        <v/>
      </c>
      <c r="P1800" s="22" t="str">
        <f aca="false">IF($B1800="","",IFERROR(INDEX(고객사!$K$5:$K$104,MATCH($B1800,고객사!$A$5:$A$104,0)),0))</f>
        <v/>
      </c>
      <c r="Q1800" s="22" t="str">
        <f aca="false">IF($B1800="","",G1800*P1800)</f>
        <v/>
      </c>
      <c r="R1800" s="22" t="str">
        <f aca="false">IF($B1800="","",O1800-Q1800-L1800)</f>
        <v/>
      </c>
      <c r="S1800" s="21" t="str">
        <f aca="false">IF(OR($B1800="",N(O1800)=0),"",R1800/O1800)</f>
        <v/>
      </c>
      <c r="T1800" s="14"/>
      <c r="U1800" s="19" t="n">
        <f aca="false">IF(OR($B1800="",$A1800=""),0,IF(COUNTIFS($A$5:$A1800,$A1800,$B$5:$B1800,$B1800)=1,1,0))</f>
        <v>0</v>
      </c>
    </row>
    <row r="1801" customFormat="false" ht="15" hidden="false" customHeight="false" outlineLevel="0" collapsed="false">
      <c r="A1801" s="17"/>
      <c r="B1801" s="13"/>
      <c r="C1801" s="20" t="str">
        <f aca="false">IF($B1801="","",IFERROR(INDEX(고객사!$B$5:$B$104,MATCH($B1801,고객사!$A$5:$A$104,0)),"코드 확인"))</f>
        <v/>
      </c>
      <c r="D1801" s="15"/>
      <c r="E1801" s="15"/>
      <c r="F1801" s="16"/>
      <c r="G1801" s="16"/>
      <c r="H1801" s="21" t="str">
        <f aca="false">IF(OR($B1801="",F1801=0),"",G1801/F1801)</f>
        <v/>
      </c>
      <c r="I1801" s="22" t="str">
        <f aca="false">IF($B1801="","",MAX(F1801-G1801,0))</f>
        <v/>
      </c>
      <c r="J1801" s="23" t="str">
        <f aca="false">IF($B1801="","",IFERROR(INDEX(고객사!$G$5:$G$104,MATCH($B1801,고객사!$A$5:$A$104,0)),""))</f>
        <v/>
      </c>
      <c r="K1801" s="16"/>
      <c r="L1801" s="22" t="str">
        <f aca="false">IF($B1801="","",K1801*IFERROR(INDEX(고객사!$L$5:$L$104,MATCH($B1801,고객사!$A$5:$A$104,0)),0))</f>
        <v/>
      </c>
      <c r="M1801" s="23" t="str">
        <f aca="false">IF($B1801="","",IF(AND(J1801="N",G1801&gt;0,K1801=0,IFERROR(INDEX(고객사!$H$5:$H$104,MATCH($B1801,고객사!$A$5:$A$104,0)),"")="자사 차량 운행"),"차량 미배정",""))</f>
        <v/>
      </c>
      <c r="N1801" s="22" t="str">
        <f aca="false">IF($B1801="","",IFERROR(INDEX(고객사!$J$5:$J$104,MATCH($B1801,고객사!$A$5:$A$104,0)),0))</f>
        <v/>
      </c>
      <c r="O1801" s="22" t="str">
        <f aca="false">IF($B1801="","",G1801*N1801)</f>
        <v/>
      </c>
      <c r="P1801" s="22" t="str">
        <f aca="false">IF($B1801="","",IFERROR(INDEX(고객사!$K$5:$K$104,MATCH($B1801,고객사!$A$5:$A$104,0)),0))</f>
        <v/>
      </c>
      <c r="Q1801" s="22" t="str">
        <f aca="false">IF($B1801="","",G1801*P1801)</f>
        <v/>
      </c>
      <c r="R1801" s="22" t="str">
        <f aca="false">IF($B1801="","",O1801-Q1801-L1801)</f>
        <v/>
      </c>
      <c r="S1801" s="21" t="str">
        <f aca="false">IF(OR($B1801="",N(O1801)=0),"",R1801/O1801)</f>
        <v/>
      </c>
      <c r="T1801" s="14"/>
      <c r="U1801" s="19" t="n">
        <f aca="false">IF(OR($B1801="",$A1801=""),0,IF(COUNTIFS($A$5:$A1801,$A1801,$B$5:$B1801,$B1801)=1,1,0))</f>
        <v>0</v>
      </c>
    </row>
    <row r="1802" customFormat="false" ht="15" hidden="false" customHeight="false" outlineLevel="0" collapsed="false">
      <c r="A1802" s="17"/>
      <c r="B1802" s="13"/>
      <c r="C1802" s="20" t="str">
        <f aca="false">IF($B1802="","",IFERROR(INDEX(고객사!$B$5:$B$104,MATCH($B1802,고객사!$A$5:$A$104,0)),"코드 확인"))</f>
        <v/>
      </c>
      <c r="D1802" s="15"/>
      <c r="E1802" s="15"/>
      <c r="F1802" s="16"/>
      <c r="G1802" s="16"/>
      <c r="H1802" s="21" t="str">
        <f aca="false">IF(OR($B1802="",F1802=0),"",G1802/F1802)</f>
        <v/>
      </c>
      <c r="I1802" s="22" t="str">
        <f aca="false">IF($B1802="","",MAX(F1802-G1802,0))</f>
        <v/>
      </c>
      <c r="J1802" s="23" t="str">
        <f aca="false">IF($B1802="","",IFERROR(INDEX(고객사!$G$5:$G$104,MATCH($B1802,고객사!$A$5:$A$104,0)),""))</f>
        <v/>
      </c>
      <c r="K1802" s="16"/>
      <c r="L1802" s="22" t="str">
        <f aca="false">IF($B1802="","",K1802*IFERROR(INDEX(고객사!$L$5:$L$104,MATCH($B1802,고객사!$A$5:$A$104,0)),0))</f>
        <v/>
      </c>
      <c r="M1802" s="23" t="str">
        <f aca="false">IF($B1802="","",IF(AND(J1802="N",G1802&gt;0,K1802=0,IFERROR(INDEX(고객사!$H$5:$H$104,MATCH($B1802,고객사!$A$5:$A$104,0)),"")="자사 차량 운행"),"차량 미배정",""))</f>
        <v/>
      </c>
      <c r="N1802" s="22" t="str">
        <f aca="false">IF($B1802="","",IFERROR(INDEX(고객사!$J$5:$J$104,MATCH($B1802,고객사!$A$5:$A$104,0)),0))</f>
        <v/>
      </c>
      <c r="O1802" s="22" t="str">
        <f aca="false">IF($B1802="","",G1802*N1802)</f>
        <v/>
      </c>
      <c r="P1802" s="22" t="str">
        <f aca="false">IF($B1802="","",IFERROR(INDEX(고객사!$K$5:$K$104,MATCH($B1802,고객사!$A$5:$A$104,0)),0))</f>
        <v/>
      </c>
      <c r="Q1802" s="22" t="str">
        <f aca="false">IF($B1802="","",G1802*P1802)</f>
        <v/>
      </c>
      <c r="R1802" s="22" t="str">
        <f aca="false">IF($B1802="","",O1802-Q1802-L1802)</f>
        <v/>
      </c>
      <c r="S1802" s="21" t="str">
        <f aca="false">IF(OR($B1802="",N(O1802)=0),"",R1802/O1802)</f>
        <v/>
      </c>
      <c r="T1802" s="14"/>
      <c r="U1802" s="19" t="n">
        <f aca="false">IF(OR($B1802="",$A1802=""),0,IF(COUNTIFS($A$5:$A1802,$A1802,$B$5:$B1802,$B1802)=1,1,0))</f>
        <v>0</v>
      </c>
    </row>
    <row r="1803" customFormat="false" ht="15" hidden="false" customHeight="false" outlineLevel="0" collapsed="false">
      <c r="A1803" s="17"/>
      <c r="B1803" s="13"/>
      <c r="C1803" s="20" t="str">
        <f aca="false">IF($B1803="","",IFERROR(INDEX(고객사!$B$5:$B$104,MATCH($B1803,고객사!$A$5:$A$104,0)),"코드 확인"))</f>
        <v/>
      </c>
      <c r="D1803" s="15"/>
      <c r="E1803" s="15"/>
      <c r="F1803" s="16"/>
      <c r="G1803" s="16"/>
      <c r="H1803" s="21" t="str">
        <f aca="false">IF(OR($B1803="",F1803=0),"",G1803/F1803)</f>
        <v/>
      </c>
      <c r="I1803" s="22" t="str">
        <f aca="false">IF($B1803="","",MAX(F1803-G1803,0))</f>
        <v/>
      </c>
      <c r="J1803" s="23" t="str">
        <f aca="false">IF($B1803="","",IFERROR(INDEX(고객사!$G$5:$G$104,MATCH($B1803,고객사!$A$5:$A$104,0)),""))</f>
        <v/>
      </c>
      <c r="K1803" s="16"/>
      <c r="L1803" s="22" t="str">
        <f aca="false">IF($B1803="","",K1803*IFERROR(INDEX(고객사!$L$5:$L$104,MATCH($B1803,고객사!$A$5:$A$104,0)),0))</f>
        <v/>
      </c>
      <c r="M1803" s="23" t="str">
        <f aca="false">IF($B1803="","",IF(AND(J1803="N",G1803&gt;0,K1803=0,IFERROR(INDEX(고객사!$H$5:$H$104,MATCH($B1803,고객사!$A$5:$A$104,0)),"")="자사 차량 운행"),"차량 미배정",""))</f>
        <v/>
      </c>
      <c r="N1803" s="22" t="str">
        <f aca="false">IF($B1803="","",IFERROR(INDEX(고객사!$J$5:$J$104,MATCH($B1803,고객사!$A$5:$A$104,0)),0))</f>
        <v/>
      </c>
      <c r="O1803" s="22" t="str">
        <f aca="false">IF($B1803="","",G1803*N1803)</f>
        <v/>
      </c>
      <c r="P1803" s="22" t="str">
        <f aca="false">IF($B1803="","",IFERROR(INDEX(고객사!$K$5:$K$104,MATCH($B1803,고객사!$A$5:$A$104,0)),0))</f>
        <v/>
      </c>
      <c r="Q1803" s="22" t="str">
        <f aca="false">IF($B1803="","",G1803*P1803)</f>
        <v/>
      </c>
      <c r="R1803" s="22" t="str">
        <f aca="false">IF($B1803="","",O1803-Q1803-L1803)</f>
        <v/>
      </c>
      <c r="S1803" s="21" t="str">
        <f aca="false">IF(OR($B1803="",N(O1803)=0),"",R1803/O1803)</f>
        <v/>
      </c>
      <c r="T1803" s="14"/>
      <c r="U1803" s="19" t="n">
        <f aca="false">IF(OR($B1803="",$A1803=""),0,IF(COUNTIFS($A$5:$A1803,$A1803,$B$5:$B1803,$B1803)=1,1,0))</f>
        <v>0</v>
      </c>
    </row>
    <row r="1804" customFormat="false" ht="15" hidden="false" customHeight="false" outlineLevel="0" collapsed="false">
      <c r="A1804" s="17"/>
      <c r="B1804" s="13"/>
      <c r="C1804" s="20" t="str">
        <f aca="false">IF($B1804="","",IFERROR(INDEX(고객사!$B$5:$B$104,MATCH($B1804,고객사!$A$5:$A$104,0)),"코드 확인"))</f>
        <v/>
      </c>
      <c r="D1804" s="15"/>
      <c r="E1804" s="15"/>
      <c r="F1804" s="16"/>
      <c r="G1804" s="16"/>
      <c r="H1804" s="21" t="str">
        <f aca="false">IF(OR($B1804="",F1804=0),"",G1804/F1804)</f>
        <v/>
      </c>
      <c r="I1804" s="22" t="str">
        <f aca="false">IF($B1804="","",MAX(F1804-G1804,0))</f>
        <v/>
      </c>
      <c r="J1804" s="23" t="str">
        <f aca="false">IF($B1804="","",IFERROR(INDEX(고객사!$G$5:$G$104,MATCH($B1804,고객사!$A$5:$A$104,0)),""))</f>
        <v/>
      </c>
      <c r="K1804" s="16"/>
      <c r="L1804" s="22" t="str">
        <f aca="false">IF($B1804="","",K1804*IFERROR(INDEX(고객사!$L$5:$L$104,MATCH($B1804,고객사!$A$5:$A$104,0)),0))</f>
        <v/>
      </c>
      <c r="M1804" s="23" t="str">
        <f aca="false">IF($B1804="","",IF(AND(J1804="N",G1804&gt;0,K1804=0,IFERROR(INDEX(고객사!$H$5:$H$104,MATCH($B1804,고객사!$A$5:$A$104,0)),"")="자사 차량 운행"),"차량 미배정",""))</f>
        <v/>
      </c>
      <c r="N1804" s="22" t="str">
        <f aca="false">IF($B1804="","",IFERROR(INDEX(고객사!$J$5:$J$104,MATCH($B1804,고객사!$A$5:$A$104,0)),0))</f>
        <v/>
      </c>
      <c r="O1804" s="22" t="str">
        <f aca="false">IF($B1804="","",G1804*N1804)</f>
        <v/>
      </c>
      <c r="P1804" s="22" t="str">
        <f aca="false">IF($B1804="","",IFERROR(INDEX(고객사!$K$5:$K$104,MATCH($B1804,고객사!$A$5:$A$104,0)),0))</f>
        <v/>
      </c>
      <c r="Q1804" s="22" t="str">
        <f aca="false">IF($B1804="","",G1804*P1804)</f>
        <v/>
      </c>
      <c r="R1804" s="22" t="str">
        <f aca="false">IF($B1804="","",O1804-Q1804-L1804)</f>
        <v/>
      </c>
      <c r="S1804" s="21" t="str">
        <f aca="false">IF(OR($B1804="",N(O1804)=0),"",R1804/O1804)</f>
        <v/>
      </c>
      <c r="T1804" s="14"/>
      <c r="U1804" s="19" t="n">
        <f aca="false">IF(OR($B1804="",$A1804=""),0,IF(COUNTIFS($A$5:$A1804,$A1804,$B$5:$B1804,$B1804)=1,1,0))</f>
        <v>0</v>
      </c>
    </row>
    <row r="1805" customFormat="false" ht="15" hidden="false" customHeight="false" outlineLevel="0" collapsed="false">
      <c r="A1805" s="17"/>
      <c r="B1805" s="13"/>
      <c r="C1805" s="20" t="str">
        <f aca="false">IF($B1805="","",IFERROR(INDEX(고객사!$B$5:$B$104,MATCH($B1805,고객사!$A$5:$A$104,0)),"코드 확인"))</f>
        <v/>
      </c>
      <c r="D1805" s="15"/>
      <c r="E1805" s="15"/>
      <c r="F1805" s="16"/>
      <c r="G1805" s="16"/>
      <c r="H1805" s="21" t="str">
        <f aca="false">IF(OR($B1805="",F1805=0),"",G1805/F1805)</f>
        <v/>
      </c>
      <c r="I1805" s="22" t="str">
        <f aca="false">IF($B1805="","",MAX(F1805-G1805,0))</f>
        <v/>
      </c>
      <c r="J1805" s="23" t="str">
        <f aca="false">IF($B1805="","",IFERROR(INDEX(고객사!$G$5:$G$104,MATCH($B1805,고객사!$A$5:$A$104,0)),""))</f>
        <v/>
      </c>
      <c r="K1805" s="16"/>
      <c r="L1805" s="22" t="str">
        <f aca="false">IF($B1805="","",K1805*IFERROR(INDEX(고객사!$L$5:$L$104,MATCH($B1805,고객사!$A$5:$A$104,0)),0))</f>
        <v/>
      </c>
      <c r="M1805" s="23" t="str">
        <f aca="false">IF($B1805="","",IF(AND(J1805="N",G1805&gt;0,K1805=0,IFERROR(INDEX(고객사!$H$5:$H$104,MATCH($B1805,고객사!$A$5:$A$104,0)),"")="자사 차량 운행"),"차량 미배정",""))</f>
        <v/>
      </c>
      <c r="N1805" s="22" t="str">
        <f aca="false">IF($B1805="","",IFERROR(INDEX(고객사!$J$5:$J$104,MATCH($B1805,고객사!$A$5:$A$104,0)),0))</f>
        <v/>
      </c>
      <c r="O1805" s="22" t="str">
        <f aca="false">IF($B1805="","",G1805*N1805)</f>
        <v/>
      </c>
      <c r="P1805" s="22" t="str">
        <f aca="false">IF($B1805="","",IFERROR(INDEX(고객사!$K$5:$K$104,MATCH($B1805,고객사!$A$5:$A$104,0)),0))</f>
        <v/>
      </c>
      <c r="Q1805" s="22" t="str">
        <f aca="false">IF($B1805="","",G1805*P1805)</f>
        <v/>
      </c>
      <c r="R1805" s="22" t="str">
        <f aca="false">IF($B1805="","",O1805-Q1805-L1805)</f>
        <v/>
      </c>
      <c r="S1805" s="21" t="str">
        <f aca="false">IF(OR($B1805="",N(O1805)=0),"",R1805/O1805)</f>
        <v/>
      </c>
      <c r="T1805" s="14"/>
      <c r="U1805" s="19" t="n">
        <f aca="false">IF(OR($B1805="",$A1805=""),0,IF(COUNTIFS($A$5:$A1805,$A1805,$B$5:$B1805,$B1805)=1,1,0))</f>
        <v>0</v>
      </c>
    </row>
    <row r="1806" customFormat="false" ht="15" hidden="false" customHeight="false" outlineLevel="0" collapsed="false">
      <c r="A1806" s="17"/>
      <c r="B1806" s="13"/>
      <c r="C1806" s="20" t="str">
        <f aca="false">IF($B1806="","",IFERROR(INDEX(고객사!$B$5:$B$104,MATCH($B1806,고객사!$A$5:$A$104,0)),"코드 확인"))</f>
        <v/>
      </c>
      <c r="D1806" s="15"/>
      <c r="E1806" s="15"/>
      <c r="F1806" s="16"/>
      <c r="G1806" s="16"/>
      <c r="H1806" s="21" t="str">
        <f aca="false">IF(OR($B1806="",F1806=0),"",G1806/F1806)</f>
        <v/>
      </c>
      <c r="I1806" s="22" t="str">
        <f aca="false">IF($B1806="","",MAX(F1806-G1806,0))</f>
        <v/>
      </c>
      <c r="J1806" s="23" t="str">
        <f aca="false">IF($B1806="","",IFERROR(INDEX(고객사!$G$5:$G$104,MATCH($B1806,고객사!$A$5:$A$104,0)),""))</f>
        <v/>
      </c>
      <c r="K1806" s="16"/>
      <c r="L1806" s="22" t="str">
        <f aca="false">IF($B1806="","",K1806*IFERROR(INDEX(고객사!$L$5:$L$104,MATCH($B1806,고객사!$A$5:$A$104,0)),0))</f>
        <v/>
      </c>
      <c r="M1806" s="23" t="str">
        <f aca="false">IF($B1806="","",IF(AND(J1806="N",G1806&gt;0,K1806=0,IFERROR(INDEX(고객사!$H$5:$H$104,MATCH($B1806,고객사!$A$5:$A$104,0)),"")="자사 차량 운행"),"차량 미배정",""))</f>
        <v/>
      </c>
      <c r="N1806" s="22" t="str">
        <f aca="false">IF($B1806="","",IFERROR(INDEX(고객사!$J$5:$J$104,MATCH($B1806,고객사!$A$5:$A$104,0)),0))</f>
        <v/>
      </c>
      <c r="O1806" s="22" t="str">
        <f aca="false">IF($B1806="","",G1806*N1806)</f>
        <v/>
      </c>
      <c r="P1806" s="22" t="str">
        <f aca="false">IF($B1806="","",IFERROR(INDEX(고객사!$K$5:$K$104,MATCH($B1806,고객사!$A$5:$A$104,0)),0))</f>
        <v/>
      </c>
      <c r="Q1806" s="22" t="str">
        <f aca="false">IF($B1806="","",G1806*P1806)</f>
        <v/>
      </c>
      <c r="R1806" s="22" t="str">
        <f aca="false">IF($B1806="","",O1806-Q1806-L1806)</f>
        <v/>
      </c>
      <c r="S1806" s="21" t="str">
        <f aca="false">IF(OR($B1806="",N(O1806)=0),"",R1806/O1806)</f>
        <v/>
      </c>
      <c r="T1806" s="14"/>
      <c r="U1806" s="19" t="n">
        <f aca="false">IF(OR($B1806="",$A1806=""),0,IF(COUNTIFS($A$5:$A1806,$A1806,$B$5:$B1806,$B1806)=1,1,0))</f>
        <v>0</v>
      </c>
    </row>
    <row r="1807" customFormat="false" ht="15" hidden="false" customHeight="false" outlineLevel="0" collapsed="false">
      <c r="A1807" s="17"/>
      <c r="B1807" s="13"/>
      <c r="C1807" s="20" t="str">
        <f aca="false">IF($B1807="","",IFERROR(INDEX(고객사!$B$5:$B$104,MATCH($B1807,고객사!$A$5:$A$104,0)),"코드 확인"))</f>
        <v/>
      </c>
      <c r="D1807" s="15"/>
      <c r="E1807" s="15"/>
      <c r="F1807" s="16"/>
      <c r="G1807" s="16"/>
      <c r="H1807" s="21" t="str">
        <f aca="false">IF(OR($B1807="",F1807=0),"",G1807/F1807)</f>
        <v/>
      </c>
      <c r="I1807" s="22" t="str">
        <f aca="false">IF($B1807="","",MAX(F1807-G1807,0))</f>
        <v/>
      </c>
      <c r="J1807" s="23" t="str">
        <f aca="false">IF($B1807="","",IFERROR(INDEX(고객사!$G$5:$G$104,MATCH($B1807,고객사!$A$5:$A$104,0)),""))</f>
        <v/>
      </c>
      <c r="K1807" s="16"/>
      <c r="L1807" s="22" t="str">
        <f aca="false">IF($B1807="","",K1807*IFERROR(INDEX(고객사!$L$5:$L$104,MATCH($B1807,고객사!$A$5:$A$104,0)),0))</f>
        <v/>
      </c>
      <c r="M1807" s="23" t="str">
        <f aca="false">IF($B1807="","",IF(AND(J1807="N",G1807&gt;0,K1807=0,IFERROR(INDEX(고객사!$H$5:$H$104,MATCH($B1807,고객사!$A$5:$A$104,0)),"")="자사 차량 운행"),"차량 미배정",""))</f>
        <v/>
      </c>
      <c r="N1807" s="22" t="str">
        <f aca="false">IF($B1807="","",IFERROR(INDEX(고객사!$J$5:$J$104,MATCH($B1807,고객사!$A$5:$A$104,0)),0))</f>
        <v/>
      </c>
      <c r="O1807" s="22" t="str">
        <f aca="false">IF($B1807="","",G1807*N1807)</f>
        <v/>
      </c>
      <c r="P1807" s="22" t="str">
        <f aca="false">IF($B1807="","",IFERROR(INDEX(고객사!$K$5:$K$104,MATCH($B1807,고객사!$A$5:$A$104,0)),0))</f>
        <v/>
      </c>
      <c r="Q1807" s="22" t="str">
        <f aca="false">IF($B1807="","",G1807*P1807)</f>
        <v/>
      </c>
      <c r="R1807" s="22" t="str">
        <f aca="false">IF($B1807="","",O1807-Q1807-L1807)</f>
        <v/>
      </c>
      <c r="S1807" s="21" t="str">
        <f aca="false">IF(OR($B1807="",N(O1807)=0),"",R1807/O1807)</f>
        <v/>
      </c>
      <c r="T1807" s="14"/>
      <c r="U1807" s="19" t="n">
        <f aca="false">IF(OR($B1807="",$A1807=""),0,IF(COUNTIFS($A$5:$A1807,$A1807,$B$5:$B1807,$B1807)=1,1,0))</f>
        <v>0</v>
      </c>
    </row>
    <row r="1808" customFormat="false" ht="15" hidden="false" customHeight="false" outlineLevel="0" collapsed="false">
      <c r="A1808" s="17"/>
      <c r="B1808" s="13"/>
      <c r="C1808" s="20" t="str">
        <f aca="false">IF($B1808="","",IFERROR(INDEX(고객사!$B$5:$B$104,MATCH($B1808,고객사!$A$5:$A$104,0)),"코드 확인"))</f>
        <v/>
      </c>
      <c r="D1808" s="15"/>
      <c r="E1808" s="15"/>
      <c r="F1808" s="16"/>
      <c r="G1808" s="16"/>
      <c r="H1808" s="21" t="str">
        <f aca="false">IF(OR($B1808="",F1808=0),"",G1808/F1808)</f>
        <v/>
      </c>
      <c r="I1808" s="22" t="str">
        <f aca="false">IF($B1808="","",MAX(F1808-G1808,0))</f>
        <v/>
      </c>
      <c r="J1808" s="23" t="str">
        <f aca="false">IF($B1808="","",IFERROR(INDEX(고객사!$G$5:$G$104,MATCH($B1808,고객사!$A$5:$A$104,0)),""))</f>
        <v/>
      </c>
      <c r="K1808" s="16"/>
      <c r="L1808" s="22" t="str">
        <f aca="false">IF($B1808="","",K1808*IFERROR(INDEX(고객사!$L$5:$L$104,MATCH($B1808,고객사!$A$5:$A$104,0)),0))</f>
        <v/>
      </c>
      <c r="M1808" s="23" t="str">
        <f aca="false">IF($B1808="","",IF(AND(J1808="N",G1808&gt;0,K1808=0,IFERROR(INDEX(고객사!$H$5:$H$104,MATCH($B1808,고객사!$A$5:$A$104,0)),"")="자사 차량 운행"),"차량 미배정",""))</f>
        <v/>
      </c>
      <c r="N1808" s="22" t="str">
        <f aca="false">IF($B1808="","",IFERROR(INDEX(고객사!$J$5:$J$104,MATCH($B1808,고객사!$A$5:$A$104,0)),0))</f>
        <v/>
      </c>
      <c r="O1808" s="22" t="str">
        <f aca="false">IF($B1808="","",G1808*N1808)</f>
        <v/>
      </c>
      <c r="P1808" s="22" t="str">
        <f aca="false">IF($B1808="","",IFERROR(INDEX(고객사!$K$5:$K$104,MATCH($B1808,고객사!$A$5:$A$104,0)),0))</f>
        <v/>
      </c>
      <c r="Q1808" s="22" t="str">
        <f aca="false">IF($B1808="","",G1808*P1808)</f>
        <v/>
      </c>
      <c r="R1808" s="22" t="str">
        <f aca="false">IF($B1808="","",O1808-Q1808-L1808)</f>
        <v/>
      </c>
      <c r="S1808" s="21" t="str">
        <f aca="false">IF(OR($B1808="",N(O1808)=0),"",R1808/O1808)</f>
        <v/>
      </c>
      <c r="T1808" s="14"/>
      <c r="U1808" s="19" t="n">
        <f aca="false">IF(OR($B1808="",$A1808=""),0,IF(COUNTIFS($A$5:$A1808,$A1808,$B$5:$B1808,$B1808)=1,1,0))</f>
        <v>0</v>
      </c>
    </row>
    <row r="1809" customFormat="false" ht="15" hidden="false" customHeight="false" outlineLevel="0" collapsed="false">
      <c r="A1809" s="17"/>
      <c r="B1809" s="13"/>
      <c r="C1809" s="20" t="str">
        <f aca="false">IF($B1809="","",IFERROR(INDEX(고객사!$B$5:$B$104,MATCH($B1809,고객사!$A$5:$A$104,0)),"코드 확인"))</f>
        <v/>
      </c>
      <c r="D1809" s="15"/>
      <c r="E1809" s="15"/>
      <c r="F1809" s="16"/>
      <c r="G1809" s="16"/>
      <c r="H1809" s="21" t="str">
        <f aca="false">IF(OR($B1809="",F1809=0),"",G1809/F1809)</f>
        <v/>
      </c>
      <c r="I1809" s="22" t="str">
        <f aca="false">IF($B1809="","",MAX(F1809-G1809,0))</f>
        <v/>
      </c>
      <c r="J1809" s="23" t="str">
        <f aca="false">IF($B1809="","",IFERROR(INDEX(고객사!$G$5:$G$104,MATCH($B1809,고객사!$A$5:$A$104,0)),""))</f>
        <v/>
      </c>
      <c r="K1809" s="16"/>
      <c r="L1809" s="22" t="str">
        <f aca="false">IF($B1809="","",K1809*IFERROR(INDEX(고객사!$L$5:$L$104,MATCH($B1809,고객사!$A$5:$A$104,0)),0))</f>
        <v/>
      </c>
      <c r="M1809" s="23" t="str">
        <f aca="false">IF($B1809="","",IF(AND(J1809="N",G1809&gt;0,K1809=0,IFERROR(INDEX(고객사!$H$5:$H$104,MATCH($B1809,고객사!$A$5:$A$104,0)),"")="자사 차량 운행"),"차량 미배정",""))</f>
        <v/>
      </c>
      <c r="N1809" s="22" t="str">
        <f aca="false">IF($B1809="","",IFERROR(INDEX(고객사!$J$5:$J$104,MATCH($B1809,고객사!$A$5:$A$104,0)),0))</f>
        <v/>
      </c>
      <c r="O1809" s="22" t="str">
        <f aca="false">IF($B1809="","",G1809*N1809)</f>
        <v/>
      </c>
      <c r="P1809" s="22" t="str">
        <f aca="false">IF($B1809="","",IFERROR(INDEX(고객사!$K$5:$K$104,MATCH($B1809,고객사!$A$5:$A$104,0)),0))</f>
        <v/>
      </c>
      <c r="Q1809" s="22" t="str">
        <f aca="false">IF($B1809="","",G1809*P1809)</f>
        <v/>
      </c>
      <c r="R1809" s="22" t="str">
        <f aca="false">IF($B1809="","",O1809-Q1809-L1809)</f>
        <v/>
      </c>
      <c r="S1809" s="21" t="str">
        <f aca="false">IF(OR($B1809="",N(O1809)=0),"",R1809/O1809)</f>
        <v/>
      </c>
      <c r="T1809" s="14"/>
      <c r="U1809" s="19" t="n">
        <f aca="false">IF(OR($B1809="",$A1809=""),0,IF(COUNTIFS($A$5:$A1809,$A1809,$B$5:$B1809,$B1809)=1,1,0))</f>
        <v>0</v>
      </c>
    </row>
    <row r="1810" customFormat="false" ht="15" hidden="false" customHeight="false" outlineLevel="0" collapsed="false">
      <c r="A1810" s="17"/>
      <c r="B1810" s="13"/>
      <c r="C1810" s="20" t="str">
        <f aca="false">IF($B1810="","",IFERROR(INDEX(고객사!$B$5:$B$104,MATCH($B1810,고객사!$A$5:$A$104,0)),"코드 확인"))</f>
        <v/>
      </c>
      <c r="D1810" s="15"/>
      <c r="E1810" s="15"/>
      <c r="F1810" s="16"/>
      <c r="G1810" s="16"/>
      <c r="H1810" s="21" t="str">
        <f aca="false">IF(OR($B1810="",F1810=0),"",G1810/F1810)</f>
        <v/>
      </c>
      <c r="I1810" s="22" t="str">
        <f aca="false">IF($B1810="","",MAX(F1810-G1810,0))</f>
        <v/>
      </c>
      <c r="J1810" s="23" t="str">
        <f aca="false">IF($B1810="","",IFERROR(INDEX(고객사!$G$5:$G$104,MATCH($B1810,고객사!$A$5:$A$104,0)),""))</f>
        <v/>
      </c>
      <c r="K1810" s="16"/>
      <c r="L1810" s="22" t="str">
        <f aca="false">IF($B1810="","",K1810*IFERROR(INDEX(고객사!$L$5:$L$104,MATCH($B1810,고객사!$A$5:$A$104,0)),0))</f>
        <v/>
      </c>
      <c r="M1810" s="23" t="str">
        <f aca="false">IF($B1810="","",IF(AND(J1810="N",G1810&gt;0,K1810=0,IFERROR(INDEX(고객사!$H$5:$H$104,MATCH($B1810,고객사!$A$5:$A$104,0)),"")="자사 차량 운행"),"차량 미배정",""))</f>
        <v/>
      </c>
      <c r="N1810" s="22" t="str">
        <f aca="false">IF($B1810="","",IFERROR(INDEX(고객사!$J$5:$J$104,MATCH($B1810,고객사!$A$5:$A$104,0)),0))</f>
        <v/>
      </c>
      <c r="O1810" s="22" t="str">
        <f aca="false">IF($B1810="","",G1810*N1810)</f>
        <v/>
      </c>
      <c r="P1810" s="22" t="str">
        <f aca="false">IF($B1810="","",IFERROR(INDEX(고객사!$K$5:$K$104,MATCH($B1810,고객사!$A$5:$A$104,0)),0))</f>
        <v/>
      </c>
      <c r="Q1810" s="22" t="str">
        <f aca="false">IF($B1810="","",G1810*P1810)</f>
        <v/>
      </c>
      <c r="R1810" s="22" t="str">
        <f aca="false">IF($B1810="","",O1810-Q1810-L1810)</f>
        <v/>
      </c>
      <c r="S1810" s="21" t="str">
        <f aca="false">IF(OR($B1810="",N(O1810)=0),"",R1810/O1810)</f>
        <v/>
      </c>
      <c r="T1810" s="14"/>
      <c r="U1810" s="19" t="n">
        <f aca="false">IF(OR($B1810="",$A1810=""),0,IF(COUNTIFS($A$5:$A1810,$A1810,$B$5:$B1810,$B1810)=1,1,0))</f>
        <v>0</v>
      </c>
    </row>
    <row r="1811" customFormat="false" ht="15" hidden="false" customHeight="false" outlineLevel="0" collapsed="false">
      <c r="A1811" s="17"/>
      <c r="B1811" s="13"/>
      <c r="C1811" s="20" t="str">
        <f aca="false">IF($B1811="","",IFERROR(INDEX(고객사!$B$5:$B$104,MATCH($B1811,고객사!$A$5:$A$104,0)),"코드 확인"))</f>
        <v/>
      </c>
      <c r="D1811" s="15"/>
      <c r="E1811" s="15"/>
      <c r="F1811" s="16"/>
      <c r="G1811" s="16"/>
      <c r="H1811" s="21" t="str">
        <f aca="false">IF(OR($B1811="",F1811=0),"",G1811/F1811)</f>
        <v/>
      </c>
      <c r="I1811" s="22" t="str">
        <f aca="false">IF($B1811="","",MAX(F1811-G1811,0))</f>
        <v/>
      </c>
      <c r="J1811" s="23" t="str">
        <f aca="false">IF($B1811="","",IFERROR(INDEX(고객사!$G$5:$G$104,MATCH($B1811,고객사!$A$5:$A$104,0)),""))</f>
        <v/>
      </c>
      <c r="K1811" s="16"/>
      <c r="L1811" s="22" t="str">
        <f aca="false">IF($B1811="","",K1811*IFERROR(INDEX(고객사!$L$5:$L$104,MATCH($B1811,고객사!$A$5:$A$104,0)),0))</f>
        <v/>
      </c>
      <c r="M1811" s="23" t="str">
        <f aca="false">IF($B1811="","",IF(AND(J1811="N",G1811&gt;0,K1811=0,IFERROR(INDEX(고객사!$H$5:$H$104,MATCH($B1811,고객사!$A$5:$A$104,0)),"")="자사 차량 운행"),"차량 미배정",""))</f>
        <v/>
      </c>
      <c r="N1811" s="22" t="str">
        <f aca="false">IF($B1811="","",IFERROR(INDEX(고객사!$J$5:$J$104,MATCH($B1811,고객사!$A$5:$A$104,0)),0))</f>
        <v/>
      </c>
      <c r="O1811" s="22" t="str">
        <f aca="false">IF($B1811="","",G1811*N1811)</f>
        <v/>
      </c>
      <c r="P1811" s="22" t="str">
        <f aca="false">IF($B1811="","",IFERROR(INDEX(고객사!$K$5:$K$104,MATCH($B1811,고객사!$A$5:$A$104,0)),0))</f>
        <v/>
      </c>
      <c r="Q1811" s="22" t="str">
        <f aca="false">IF($B1811="","",G1811*P1811)</f>
        <v/>
      </c>
      <c r="R1811" s="22" t="str">
        <f aca="false">IF($B1811="","",O1811-Q1811-L1811)</f>
        <v/>
      </c>
      <c r="S1811" s="21" t="str">
        <f aca="false">IF(OR($B1811="",N(O1811)=0),"",R1811/O1811)</f>
        <v/>
      </c>
      <c r="T1811" s="14"/>
      <c r="U1811" s="19" t="n">
        <f aca="false">IF(OR($B1811="",$A1811=""),0,IF(COUNTIFS($A$5:$A1811,$A1811,$B$5:$B1811,$B1811)=1,1,0))</f>
        <v>0</v>
      </c>
    </row>
    <row r="1812" customFormat="false" ht="15" hidden="false" customHeight="false" outlineLevel="0" collapsed="false">
      <c r="A1812" s="17"/>
      <c r="B1812" s="13"/>
      <c r="C1812" s="20" t="str">
        <f aca="false">IF($B1812="","",IFERROR(INDEX(고객사!$B$5:$B$104,MATCH($B1812,고객사!$A$5:$A$104,0)),"코드 확인"))</f>
        <v/>
      </c>
      <c r="D1812" s="15"/>
      <c r="E1812" s="15"/>
      <c r="F1812" s="16"/>
      <c r="G1812" s="16"/>
      <c r="H1812" s="21" t="str">
        <f aca="false">IF(OR($B1812="",F1812=0),"",G1812/F1812)</f>
        <v/>
      </c>
      <c r="I1812" s="22" t="str">
        <f aca="false">IF($B1812="","",MAX(F1812-G1812,0))</f>
        <v/>
      </c>
      <c r="J1812" s="23" t="str">
        <f aca="false">IF($B1812="","",IFERROR(INDEX(고객사!$G$5:$G$104,MATCH($B1812,고객사!$A$5:$A$104,0)),""))</f>
        <v/>
      </c>
      <c r="K1812" s="16"/>
      <c r="L1812" s="22" t="str">
        <f aca="false">IF($B1812="","",K1812*IFERROR(INDEX(고객사!$L$5:$L$104,MATCH($B1812,고객사!$A$5:$A$104,0)),0))</f>
        <v/>
      </c>
      <c r="M1812" s="23" t="str">
        <f aca="false">IF($B1812="","",IF(AND(J1812="N",G1812&gt;0,K1812=0,IFERROR(INDEX(고객사!$H$5:$H$104,MATCH($B1812,고객사!$A$5:$A$104,0)),"")="자사 차량 운행"),"차량 미배정",""))</f>
        <v/>
      </c>
      <c r="N1812" s="22" t="str">
        <f aca="false">IF($B1812="","",IFERROR(INDEX(고객사!$J$5:$J$104,MATCH($B1812,고객사!$A$5:$A$104,0)),0))</f>
        <v/>
      </c>
      <c r="O1812" s="22" t="str">
        <f aca="false">IF($B1812="","",G1812*N1812)</f>
        <v/>
      </c>
      <c r="P1812" s="22" t="str">
        <f aca="false">IF($B1812="","",IFERROR(INDEX(고객사!$K$5:$K$104,MATCH($B1812,고객사!$A$5:$A$104,0)),0))</f>
        <v/>
      </c>
      <c r="Q1812" s="22" t="str">
        <f aca="false">IF($B1812="","",G1812*P1812)</f>
        <v/>
      </c>
      <c r="R1812" s="22" t="str">
        <f aca="false">IF($B1812="","",O1812-Q1812-L1812)</f>
        <v/>
      </c>
      <c r="S1812" s="21" t="str">
        <f aca="false">IF(OR($B1812="",N(O1812)=0),"",R1812/O1812)</f>
        <v/>
      </c>
      <c r="T1812" s="14"/>
      <c r="U1812" s="19" t="n">
        <f aca="false">IF(OR($B1812="",$A1812=""),0,IF(COUNTIFS($A$5:$A1812,$A1812,$B$5:$B1812,$B1812)=1,1,0))</f>
        <v>0</v>
      </c>
    </row>
    <row r="1813" customFormat="false" ht="15" hidden="false" customHeight="false" outlineLevel="0" collapsed="false">
      <c r="A1813" s="17"/>
      <c r="B1813" s="13"/>
      <c r="C1813" s="20" t="str">
        <f aca="false">IF($B1813="","",IFERROR(INDEX(고객사!$B$5:$B$104,MATCH($B1813,고객사!$A$5:$A$104,0)),"코드 확인"))</f>
        <v/>
      </c>
      <c r="D1813" s="15"/>
      <c r="E1813" s="15"/>
      <c r="F1813" s="16"/>
      <c r="G1813" s="16"/>
      <c r="H1813" s="21" t="str">
        <f aca="false">IF(OR($B1813="",F1813=0),"",G1813/F1813)</f>
        <v/>
      </c>
      <c r="I1813" s="22" t="str">
        <f aca="false">IF($B1813="","",MAX(F1813-G1813,0))</f>
        <v/>
      </c>
      <c r="J1813" s="23" t="str">
        <f aca="false">IF($B1813="","",IFERROR(INDEX(고객사!$G$5:$G$104,MATCH($B1813,고객사!$A$5:$A$104,0)),""))</f>
        <v/>
      </c>
      <c r="K1813" s="16"/>
      <c r="L1813" s="22" t="str">
        <f aca="false">IF($B1813="","",K1813*IFERROR(INDEX(고객사!$L$5:$L$104,MATCH($B1813,고객사!$A$5:$A$104,0)),0))</f>
        <v/>
      </c>
      <c r="M1813" s="23" t="str">
        <f aca="false">IF($B1813="","",IF(AND(J1813="N",G1813&gt;0,K1813=0,IFERROR(INDEX(고객사!$H$5:$H$104,MATCH($B1813,고객사!$A$5:$A$104,0)),"")="자사 차량 운행"),"차량 미배정",""))</f>
        <v/>
      </c>
      <c r="N1813" s="22" t="str">
        <f aca="false">IF($B1813="","",IFERROR(INDEX(고객사!$J$5:$J$104,MATCH($B1813,고객사!$A$5:$A$104,0)),0))</f>
        <v/>
      </c>
      <c r="O1813" s="22" t="str">
        <f aca="false">IF($B1813="","",G1813*N1813)</f>
        <v/>
      </c>
      <c r="P1813" s="22" t="str">
        <f aca="false">IF($B1813="","",IFERROR(INDEX(고객사!$K$5:$K$104,MATCH($B1813,고객사!$A$5:$A$104,0)),0))</f>
        <v/>
      </c>
      <c r="Q1813" s="22" t="str">
        <f aca="false">IF($B1813="","",G1813*P1813)</f>
        <v/>
      </c>
      <c r="R1813" s="22" t="str">
        <f aca="false">IF($B1813="","",O1813-Q1813-L1813)</f>
        <v/>
      </c>
      <c r="S1813" s="21" t="str">
        <f aca="false">IF(OR($B1813="",N(O1813)=0),"",R1813/O1813)</f>
        <v/>
      </c>
      <c r="T1813" s="14"/>
      <c r="U1813" s="19" t="n">
        <f aca="false">IF(OR($B1813="",$A1813=""),0,IF(COUNTIFS($A$5:$A1813,$A1813,$B$5:$B1813,$B1813)=1,1,0))</f>
        <v>0</v>
      </c>
    </row>
    <row r="1814" customFormat="false" ht="15" hidden="false" customHeight="false" outlineLevel="0" collapsed="false">
      <c r="A1814" s="17"/>
      <c r="B1814" s="13"/>
      <c r="C1814" s="20" t="str">
        <f aca="false">IF($B1814="","",IFERROR(INDEX(고객사!$B$5:$B$104,MATCH($B1814,고객사!$A$5:$A$104,0)),"코드 확인"))</f>
        <v/>
      </c>
      <c r="D1814" s="15"/>
      <c r="E1814" s="15"/>
      <c r="F1814" s="16"/>
      <c r="G1814" s="16"/>
      <c r="H1814" s="21" t="str">
        <f aca="false">IF(OR($B1814="",F1814=0),"",G1814/F1814)</f>
        <v/>
      </c>
      <c r="I1814" s="22" t="str">
        <f aca="false">IF($B1814="","",MAX(F1814-G1814,0))</f>
        <v/>
      </c>
      <c r="J1814" s="23" t="str">
        <f aca="false">IF($B1814="","",IFERROR(INDEX(고객사!$G$5:$G$104,MATCH($B1814,고객사!$A$5:$A$104,0)),""))</f>
        <v/>
      </c>
      <c r="K1814" s="16"/>
      <c r="L1814" s="22" t="str">
        <f aca="false">IF($B1814="","",K1814*IFERROR(INDEX(고객사!$L$5:$L$104,MATCH($B1814,고객사!$A$5:$A$104,0)),0))</f>
        <v/>
      </c>
      <c r="M1814" s="23" t="str">
        <f aca="false">IF($B1814="","",IF(AND(J1814="N",G1814&gt;0,K1814=0,IFERROR(INDEX(고객사!$H$5:$H$104,MATCH($B1814,고객사!$A$5:$A$104,0)),"")="자사 차량 운행"),"차량 미배정",""))</f>
        <v/>
      </c>
      <c r="N1814" s="22" t="str">
        <f aca="false">IF($B1814="","",IFERROR(INDEX(고객사!$J$5:$J$104,MATCH($B1814,고객사!$A$5:$A$104,0)),0))</f>
        <v/>
      </c>
      <c r="O1814" s="22" t="str">
        <f aca="false">IF($B1814="","",G1814*N1814)</f>
        <v/>
      </c>
      <c r="P1814" s="22" t="str">
        <f aca="false">IF($B1814="","",IFERROR(INDEX(고객사!$K$5:$K$104,MATCH($B1814,고객사!$A$5:$A$104,0)),0))</f>
        <v/>
      </c>
      <c r="Q1814" s="22" t="str">
        <f aca="false">IF($B1814="","",G1814*P1814)</f>
        <v/>
      </c>
      <c r="R1814" s="22" t="str">
        <f aca="false">IF($B1814="","",O1814-Q1814-L1814)</f>
        <v/>
      </c>
      <c r="S1814" s="21" t="str">
        <f aca="false">IF(OR($B1814="",N(O1814)=0),"",R1814/O1814)</f>
        <v/>
      </c>
      <c r="T1814" s="14"/>
      <c r="U1814" s="19" t="n">
        <f aca="false">IF(OR($B1814="",$A1814=""),0,IF(COUNTIFS($A$5:$A1814,$A1814,$B$5:$B1814,$B1814)=1,1,0))</f>
        <v>0</v>
      </c>
    </row>
    <row r="1815" customFormat="false" ht="15" hidden="false" customHeight="false" outlineLevel="0" collapsed="false">
      <c r="A1815" s="17"/>
      <c r="B1815" s="13"/>
      <c r="C1815" s="20" t="str">
        <f aca="false">IF($B1815="","",IFERROR(INDEX(고객사!$B$5:$B$104,MATCH($B1815,고객사!$A$5:$A$104,0)),"코드 확인"))</f>
        <v/>
      </c>
      <c r="D1815" s="15"/>
      <c r="E1815" s="15"/>
      <c r="F1815" s="16"/>
      <c r="G1815" s="16"/>
      <c r="H1815" s="21" t="str">
        <f aca="false">IF(OR($B1815="",F1815=0),"",G1815/F1815)</f>
        <v/>
      </c>
      <c r="I1815" s="22" t="str">
        <f aca="false">IF($B1815="","",MAX(F1815-G1815,0))</f>
        <v/>
      </c>
      <c r="J1815" s="23" t="str">
        <f aca="false">IF($B1815="","",IFERROR(INDEX(고객사!$G$5:$G$104,MATCH($B1815,고객사!$A$5:$A$104,0)),""))</f>
        <v/>
      </c>
      <c r="K1815" s="16"/>
      <c r="L1815" s="22" t="str">
        <f aca="false">IF($B1815="","",K1815*IFERROR(INDEX(고객사!$L$5:$L$104,MATCH($B1815,고객사!$A$5:$A$104,0)),0))</f>
        <v/>
      </c>
      <c r="M1815" s="23" t="str">
        <f aca="false">IF($B1815="","",IF(AND(J1815="N",G1815&gt;0,K1815=0,IFERROR(INDEX(고객사!$H$5:$H$104,MATCH($B1815,고객사!$A$5:$A$104,0)),"")="자사 차량 운행"),"차량 미배정",""))</f>
        <v/>
      </c>
      <c r="N1815" s="22" t="str">
        <f aca="false">IF($B1815="","",IFERROR(INDEX(고객사!$J$5:$J$104,MATCH($B1815,고객사!$A$5:$A$104,0)),0))</f>
        <v/>
      </c>
      <c r="O1815" s="22" t="str">
        <f aca="false">IF($B1815="","",G1815*N1815)</f>
        <v/>
      </c>
      <c r="P1815" s="22" t="str">
        <f aca="false">IF($B1815="","",IFERROR(INDEX(고객사!$K$5:$K$104,MATCH($B1815,고객사!$A$5:$A$104,0)),0))</f>
        <v/>
      </c>
      <c r="Q1815" s="22" t="str">
        <f aca="false">IF($B1815="","",G1815*P1815)</f>
        <v/>
      </c>
      <c r="R1815" s="22" t="str">
        <f aca="false">IF($B1815="","",O1815-Q1815-L1815)</f>
        <v/>
      </c>
      <c r="S1815" s="21" t="str">
        <f aca="false">IF(OR($B1815="",N(O1815)=0),"",R1815/O1815)</f>
        <v/>
      </c>
      <c r="T1815" s="14"/>
      <c r="U1815" s="19" t="n">
        <f aca="false">IF(OR($B1815="",$A1815=""),0,IF(COUNTIFS($A$5:$A1815,$A1815,$B$5:$B1815,$B1815)=1,1,0))</f>
        <v>0</v>
      </c>
    </row>
    <row r="1816" customFormat="false" ht="15" hidden="false" customHeight="false" outlineLevel="0" collapsed="false">
      <c r="A1816" s="17"/>
      <c r="B1816" s="13"/>
      <c r="C1816" s="20" t="str">
        <f aca="false">IF($B1816="","",IFERROR(INDEX(고객사!$B$5:$B$104,MATCH($B1816,고객사!$A$5:$A$104,0)),"코드 확인"))</f>
        <v/>
      </c>
      <c r="D1816" s="15"/>
      <c r="E1816" s="15"/>
      <c r="F1816" s="16"/>
      <c r="G1816" s="16"/>
      <c r="H1816" s="21" t="str">
        <f aca="false">IF(OR($B1816="",F1816=0),"",G1816/F1816)</f>
        <v/>
      </c>
      <c r="I1816" s="22" t="str">
        <f aca="false">IF($B1816="","",MAX(F1816-G1816,0))</f>
        <v/>
      </c>
      <c r="J1816" s="23" t="str">
        <f aca="false">IF($B1816="","",IFERROR(INDEX(고객사!$G$5:$G$104,MATCH($B1816,고객사!$A$5:$A$104,0)),""))</f>
        <v/>
      </c>
      <c r="K1816" s="16"/>
      <c r="L1816" s="22" t="str">
        <f aca="false">IF($B1816="","",K1816*IFERROR(INDEX(고객사!$L$5:$L$104,MATCH($B1816,고객사!$A$5:$A$104,0)),0))</f>
        <v/>
      </c>
      <c r="M1816" s="23" t="str">
        <f aca="false">IF($B1816="","",IF(AND(J1816="N",G1816&gt;0,K1816=0,IFERROR(INDEX(고객사!$H$5:$H$104,MATCH($B1816,고객사!$A$5:$A$104,0)),"")="자사 차량 운행"),"차량 미배정",""))</f>
        <v/>
      </c>
      <c r="N1816" s="22" t="str">
        <f aca="false">IF($B1816="","",IFERROR(INDEX(고객사!$J$5:$J$104,MATCH($B1816,고객사!$A$5:$A$104,0)),0))</f>
        <v/>
      </c>
      <c r="O1816" s="22" t="str">
        <f aca="false">IF($B1816="","",G1816*N1816)</f>
        <v/>
      </c>
      <c r="P1816" s="22" t="str">
        <f aca="false">IF($B1816="","",IFERROR(INDEX(고객사!$K$5:$K$104,MATCH($B1816,고객사!$A$5:$A$104,0)),0))</f>
        <v/>
      </c>
      <c r="Q1816" s="22" t="str">
        <f aca="false">IF($B1816="","",G1816*P1816)</f>
        <v/>
      </c>
      <c r="R1816" s="22" t="str">
        <f aca="false">IF($B1816="","",O1816-Q1816-L1816)</f>
        <v/>
      </c>
      <c r="S1816" s="21" t="str">
        <f aca="false">IF(OR($B1816="",N(O1816)=0),"",R1816/O1816)</f>
        <v/>
      </c>
      <c r="T1816" s="14"/>
      <c r="U1816" s="19" t="n">
        <f aca="false">IF(OR($B1816="",$A1816=""),0,IF(COUNTIFS($A$5:$A1816,$A1816,$B$5:$B1816,$B1816)=1,1,0))</f>
        <v>0</v>
      </c>
    </row>
    <row r="1817" customFormat="false" ht="15" hidden="false" customHeight="false" outlineLevel="0" collapsed="false">
      <c r="A1817" s="17"/>
      <c r="B1817" s="13"/>
      <c r="C1817" s="20" t="str">
        <f aca="false">IF($B1817="","",IFERROR(INDEX(고객사!$B$5:$B$104,MATCH($B1817,고객사!$A$5:$A$104,0)),"코드 확인"))</f>
        <v/>
      </c>
      <c r="D1817" s="15"/>
      <c r="E1817" s="15"/>
      <c r="F1817" s="16"/>
      <c r="G1817" s="16"/>
      <c r="H1817" s="21" t="str">
        <f aca="false">IF(OR($B1817="",F1817=0),"",G1817/F1817)</f>
        <v/>
      </c>
      <c r="I1817" s="22" t="str">
        <f aca="false">IF($B1817="","",MAX(F1817-G1817,0))</f>
        <v/>
      </c>
      <c r="J1817" s="23" t="str">
        <f aca="false">IF($B1817="","",IFERROR(INDEX(고객사!$G$5:$G$104,MATCH($B1817,고객사!$A$5:$A$104,0)),""))</f>
        <v/>
      </c>
      <c r="K1817" s="16"/>
      <c r="L1817" s="22" t="str">
        <f aca="false">IF($B1817="","",K1817*IFERROR(INDEX(고객사!$L$5:$L$104,MATCH($B1817,고객사!$A$5:$A$104,0)),0))</f>
        <v/>
      </c>
      <c r="M1817" s="23" t="str">
        <f aca="false">IF($B1817="","",IF(AND(J1817="N",G1817&gt;0,K1817=0,IFERROR(INDEX(고객사!$H$5:$H$104,MATCH($B1817,고객사!$A$5:$A$104,0)),"")="자사 차량 운행"),"차량 미배정",""))</f>
        <v/>
      </c>
      <c r="N1817" s="22" t="str">
        <f aca="false">IF($B1817="","",IFERROR(INDEX(고객사!$J$5:$J$104,MATCH($B1817,고객사!$A$5:$A$104,0)),0))</f>
        <v/>
      </c>
      <c r="O1817" s="22" t="str">
        <f aca="false">IF($B1817="","",G1817*N1817)</f>
        <v/>
      </c>
      <c r="P1817" s="22" t="str">
        <f aca="false">IF($B1817="","",IFERROR(INDEX(고객사!$K$5:$K$104,MATCH($B1817,고객사!$A$5:$A$104,0)),0))</f>
        <v/>
      </c>
      <c r="Q1817" s="22" t="str">
        <f aca="false">IF($B1817="","",G1817*P1817)</f>
        <v/>
      </c>
      <c r="R1817" s="22" t="str">
        <f aca="false">IF($B1817="","",O1817-Q1817-L1817)</f>
        <v/>
      </c>
      <c r="S1817" s="21" t="str">
        <f aca="false">IF(OR($B1817="",N(O1817)=0),"",R1817/O1817)</f>
        <v/>
      </c>
      <c r="T1817" s="14"/>
      <c r="U1817" s="19" t="n">
        <f aca="false">IF(OR($B1817="",$A1817=""),0,IF(COUNTIFS($A$5:$A1817,$A1817,$B$5:$B1817,$B1817)=1,1,0))</f>
        <v>0</v>
      </c>
    </row>
    <row r="1818" customFormat="false" ht="15" hidden="false" customHeight="false" outlineLevel="0" collapsed="false">
      <c r="A1818" s="17"/>
      <c r="B1818" s="13"/>
      <c r="C1818" s="20" t="str">
        <f aca="false">IF($B1818="","",IFERROR(INDEX(고객사!$B$5:$B$104,MATCH($B1818,고객사!$A$5:$A$104,0)),"코드 확인"))</f>
        <v/>
      </c>
      <c r="D1818" s="15"/>
      <c r="E1818" s="15"/>
      <c r="F1818" s="16"/>
      <c r="G1818" s="16"/>
      <c r="H1818" s="21" t="str">
        <f aca="false">IF(OR($B1818="",F1818=0),"",G1818/F1818)</f>
        <v/>
      </c>
      <c r="I1818" s="22" t="str">
        <f aca="false">IF($B1818="","",MAX(F1818-G1818,0))</f>
        <v/>
      </c>
      <c r="J1818" s="23" t="str">
        <f aca="false">IF($B1818="","",IFERROR(INDEX(고객사!$G$5:$G$104,MATCH($B1818,고객사!$A$5:$A$104,0)),""))</f>
        <v/>
      </c>
      <c r="K1818" s="16"/>
      <c r="L1818" s="22" t="str">
        <f aca="false">IF($B1818="","",K1818*IFERROR(INDEX(고객사!$L$5:$L$104,MATCH($B1818,고객사!$A$5:$A$104,0)),0))</f>
        <v/>
      </c>
      <c r="M1818" s="23" t="str">
        <f aca="false">IF($B1818="","",IF(AND(J1818="N",G1818&gt;0,K1818=0,IFERROR(INDEX(고객사!$H$5:$H$104,MATCH($B1818,고객사!$A$5:$A$104,0)),"")="자사 차량 운행"),"차량 미배정",""))</f>
        <v/>
      </c>
      <c r="N1818" s="22" t="str">
        <f aca="false">IF($B1818="","",IFERROR(INDEX(고객사!$J$5:$J$104,MATCH($B1818,고객사!$A$5:$A$104,0)),0))</f>
        <v/>
      </c>
      <c r="O1818" s="22" t="str">
        <f aca="false">IF($B1818="","",G1818*N1818)</f>
        <v/>
      </c>
      <c r="P1818" s="22" t="str">
        <f aca="false">IF($B1818="","",IFERROR(INDEX(고객사!$K$5:$K$104,MATCH($B1818,고객사!$A$5:$A$104,0)),0))</f>
        <v/>
      </c>
      <c r="Q1818" s="22" t="str">
        <f aca="false">IF($B1818="","",G1818*P1818)</f>
        <v/>
      </c>
      <c r="R1818" s="22" t="str">
        <f aca="false">IF($B1818="","",O1818-Q1818-L1818)</f>
        <v/>
      </c>
      <c r="S1818" s="21" t="str">
        <f aca="false">IF(OR($B1818="",N(O1818)=0),"",R1818/O1818)</f>
        <v/>
      </c>
      <c r="T1818" s="14"/>
      <c r="U1818" s="19" t="n">
        <f aca="false">IF(OR($B1818="",$A1818=""),0,IF(COUNTIFS($A$5:$A1818,$A1818,$B$5:$B1818,$B1818)=1,1,0))</f>
        <v>0</v>
      </c>
    </row>
    <row r="1819" customFormat="false" ht="15" hidden="false" customHeight="false" outlineLevel="0" collapsed="false">
      <c r="A1819" s="17"/>
      <c r="B1819" s="13"/>
      <c r="C1819" s="20" t="str">
        <f aca="false">IF($B1819="","",IFERROR(INDEX(고객사!$B$5:$B$104,MATCH($B1819,고객사!$A$5:$A$104,0)),"코드 확인"))</f>
        <v/>
      </c>
      <c r="D1819" s="15"/>
      <c r="E1819" s="15"/>
      <c r="F1819" s="16"/>
      <c r="G1819" s="16"/>
      <c r="H1819" s="21" t="str">
        <f aca="false">IF(OR($B1819="",F1819=0),"",G1819/F1819)</f>
        <v/>
      </c>
      <c r="I1819" s="22" t="str">
        <f aca="false">IF($B1819="","",MAX(F1819-G1819,0))</f>
        <v/>
      </c>
      <c r="J1819" s="23" t="str">
        <f aca="false">IF($B1819="","",IFERROR(INDEX(고객사!$G$5:$G$104,MATCH($B1819,고객사!$A$5:$A$104,0)),""))</f>
        <v/>
      </c>
      <c r="K1819" s="16"/>
      <c r="L1819" s="22" t="str">
        <f aca="false">IF($B1819="","",K1819*IFERROR(INDEX(고객사!$L$5:$L$104,MATCH($B1819,고객사!$A$5:$A$104,0)),0))</f>
        <v/>
      </c>
      <c r="M1819" s="23" t="str">
        <f aca="false">IF($B1819="","",IF(AND(J1819="N",G1819&gt;0,K1819=0,IFERROR(INDEX(고객사!$H$5:$H$104,MATCH($B1819,고객사!$A$5:$A$104,0)),"")="자사 차량 운행"),"차량 미배정",""))</f>
        <v/>
      </c>
      <c r="N1819" s="22" t="str">
        <f aca="false">IF($B1819="","",IFERROR(INDEX(고객사!$J$5:$J$104,MATCH($B1819,고객사!$A$5:$A$104,0)),0))</f>
        <v/>
      </c>
      <c r="O1819" s="22" t="str">
        <f aca="false">IF($B1819="","",G1819*N1819)</f>
        <v/>
      </c>
      <c r="P1819" s="22" t="str">
        <f aca="false">IF($B1819="","",IFERROR(INDEX(고객사!$K$5:$K$104,MATCH($B1819,고객사!$A$5:$A$104,0)),0))</f>
        <v/>
      </c>
      <c r="Q1819" s="22" t="str">
        <f aca="false">IF($B1819="","",G1819*P1819)</f>
        <v/>
      </c>
      <c r="R1819" s="22" t="str">
        <f aca="false">IF($B1819="","",O1819-Q1819-L1819)</f>
        <v/>
      </c>
      <c r="S1819" s="21" t="str">
        <f aca="false">IF(OR($B1819="",N(O1819)=0),"",R1819/O1819)</f>
        <v/>
      </c>
      <c r="T1819" s="14"/>
      <c r="U1819" s="19" t="n">
        <f aca="false">IF(OR($B1819="",$A1819=""),0,IF(COUNTIFS($A$5:$A1819,$A1819,$B$5:$B1819,$B1819)=1,1,0))</f>
        <v>0</v>
      </c>
    </row>
    <row r="1820" customFormat="false" ht="15" hidden="false" customHeight="false" outlineLevel="0" collapsed="false">
      <c r="A1820" s="17"/>
      <c r="B1820" s="13"/>
      <c r="C1820" s="20" t="str">
        <f aca="false">IF($B1820="","",IFERROR(INDEX(고객사!$B$5:$B$104,MATCH($B1820,고객사!$A$5:$A$104,0)),"코드 확인"))</f>
        <v/>
      </c>
      <c r="D1820" s="15"/>
      <c r="E1820" s="15"/>
      <c r="F1820" s="16"/>
      <c r="G1820" s="16"/>
      <c r="H1820" s="21" t="str">
        <f aca="false">IF(OR($B1820="",F1820=0),"",G1820/F1820)</f>
        <v/>
      </c>
      <c r="I1820" s="22" t="str">
        <f aca="false">IF($B1820="","",MAX(F1820-G1820,0))</f>
        <v/>
      </c>
      <c r="J1820" s="23" t="str">
        <f aca="false">IF($B1820="","",IFERROR(INDEX(고객사!$G$5:$G$104,MATCH($B1820,고객사!$A$5:$A$104,0)),""))</f>
        <v/>
      </c>
      <c r="K1820" s="16"/>
      <c r="L1820" s="22" t="str">
        <f aca="false">IF($B1820="","",K1820*IFERROR(INDEX(고객사!$L$5:$L$104,MATCH($B1820,고객사!$A$5:$A$104,0)),0))</f>
        <v/>
      </c>
      <c r="M1820" s="23" t="str">
        <f aca="false">IF($B1820="","",IF(AND(J1820="N",G1820&gt;0,K1820=0,IFERROR(INDEX(고객사!$H$5:$H$104,MATCH($B1820,고객사!$A$5:$A$104,0)),"")="자사 차량 운행"),"차량 미배정",""))</f>
        <v/>
      </c>
      <c r="N1820" s="22" t="str">
        <f aca="false">IF($B1820="","",IFERROR(INDEX(고객사!$J$5:$J$104,MATCH($B1820,고객사!$A$5:$A$104,0)),0))</f>
        <v/>
      </c>
      <c r="O1820" s="22" t="str">
        <f aca="false">IF($B1820="","",G1820*N1820)</f>
        <v/>
      </c>
      <c r="P1820" s="22" t="str">
        <f aca="false">IF($B1820="","",IFERROR(INDEX(고객사!$K$5:$K$104,MATCH($B1820,고객사!$A$5:$A$104,0)),0))</f>
        <v/>
      </c>
      <c r="Q1820" s="22" t="str">
        <f aca="false">IF($B1820="","",G1820*P1820)</f>
        <v/>
      </c>
      <c r="R1820" s="22" t="str">
        <f aca="false">IF($B1820="","",O1820-Q1820-L1820)</f>
        <v/>
      </c>
      <c r="S1820" s="21" t="str">
        <f aca="false">IF(OR($B1820="",N(O1820)=0),"",R1820/O1820)</f>
        <v/>
      </c>
      <c r="T1820" s="14"/>
      <c r="U1820" s="19" t="n">
        <f aca="false">IF(OR($B1820="",$A1820=""),0,IF(COUNTIFS($A$5:$A1820,$A1820,$B$5:$B1820,$B1820)=1,1,0))</f>
        <v>0</v>
      </c>
    </row>
    <row r="1821" customFormat="false" ht="15" hidden="false" customHeight="false" outlineLevel="0" collapsed="false">
      <c r="A1821" s="17"/>
      <c r="B1821" s="13"/>
      <c r="C1821" s="20" t="str">
        <f aca="false">IF($B1821="","",IFERROR(INDEX(고객사!$B$5:$B$104,MATCH($B1821,고객사!$A$5:$A$104,0)),"코드 확인"))</f>
        <v/>
      </c>
      <c r="D1821" s="15"/>
      <c r="E1821" s="15"/>
      <c r="F1821" s="16"/>
      <c r="G1821" s="16"/>
      <c r="H1821" s="21" t="str">
        <f aca="false">IF(OR($B1821="",F1821=0),"",G1821/F1821)</f>
        <v/>
      </c>
      <c r="I1821" s="22" t="str">
        <f aca="false">IF($B1821="","",MAX(F1821-G1821,0))</f>
        <v/>
      </c>
      <c r="J1821" s="23" t="str">
        <f aca="false">IF($B1821="","",IFERROR(INDEX(고객사!$G$5:$G$104,MATCH($B1821,고객사!$A$5:$A$104,0)),""))</f>
        <v/>
      </c>
      <c r="K1821" s="16"/>
      <c r="L1821" s="22" t="str">
        <f aca="false">IF($B1821="","",K1821*IFERROR(INDEX(고객사!$L$5:$L$104,MATCH($B1821,고객사!$A$5:$A$104,0)),0))</f>
        <v/>
      </c>
      <c r="M1821" s="23" t="str">
        <f aca="false">IF($B1821="","",IF(AND(J1821="N",G1821&gt;0,K1821=0,IFERROR(INDEX(고객사!$H$5:$H$104,MATCH($B1821,고객사!$A$5:$A$104,0)),"")="자사 차량 운행"),"차량 미배정",""))</f>
        <v/>
      </c>
      <c r="N1821" s="22" t="str">
        <f aca="false">IF($B1821="","",IFERROR(INDEX(고객사!$J$5:$J$104,MATCH($B1821,고객사!$A$5:$A$104,0)),0))</f>
        <v/>
      </c>
      <c r="O1821" s="22" t="str">
        <f aca="false">IF($B1821="","",G1821*N1821)</f>
        <v/>
      </c>
      <c r="P1821" s="22" t="str">
        <f aca="false">IF($B1821="","",IFERROR(INDEX(고객사!$K$5:$K$104,MATCH($B1821,고객사!$A$5:$A$104,0)),0))</f>
        <v/>
      </c>
      <c r="Q1821" s="22" t="str">
        <f aca="false">IF($B1821="","",G1821*P1821)</f>
        <v/>
      </c>
      <c r="R1821" s="22" t="str">
        <f aca="false">IF($B1821="","",O1821-Q1821-L1821)</f>
        <v/>
      </c>
      <c r="S1821" s="21" t="str">
        <f aca="false">IF(OR($B1821="",N(O1821)=0),"",R1821/O1821)</f>
        <v/>
      </c>
      <c r="T1821" s="14"/>
      <c r="U1821" s="19" t="n">
        <f aca="false">IF(OR($B1821="",$A1821=""),0,IF(COUNTIFS($A$5:$A1821,$A1821,$B$5:$B1821,$B1821)=1,1,0))</f>
        <v>0</v>
      </c>
    </row>
    <row r="1822" customFormat="false" ht="15" hidden="false" customHeight="false" outlineLevel="0" collapsed="false">
      <c r="A1822" s="17"/>
      <c r="B1822" s="13"/>
      <c r="C1822" s="20" t="str">
        <f aca="false">IF($B1822="","",IFERROR(INDEX(고객사!$B$5:$B$104,MATCH($B1822,고객사!$A$5:$A$104,0)),"코드 확인"))</f>
        <v/>
      </c>
      <c r="D1822" s="15"/>
      <c r="E1822" s="15"/>
      <c r="F1822" s="16"/>
      <c r="G1822" s="16"/>
      <c r="H1822" s="21" t="str">
        <f aca="false">IF(OR($B1822="",F1822=0),"",G1822/F1822)</f>
        <v/>
      </c>
      <c r="I1822" s="22" t="str">
        <f aca="false">IF($B1822="","",MAX(F1822-G1822,0))</f>
        <v/>
      </c>
      <c r="J1822" s="23" t="str">
        <f aca="false">IF($B1822="","",IFERROR(INDEX(고객사!$G$5:$G$104,MATCH($B1822,고객사!$A$5:$A$104,0)),""))</f>
        <v/>
      </c>
      <c r="K1822" s="16"/>
      <c r="L1822" s="22" t="str">
        <f aca="false">IF($B1822="","",K1822*IFERROR(INDEX(고객사!$L$5:$L$104,MATCH($B1822,고객사!$A$5:$A$104,0)),0))</f>
        <v/>
      </c>
      <c r="M1822" s="23" t="str">
        <f aca="false">IF($B1822="","",IF(AND(J1822="N",G1822&gt;0,K1822=0,IFERROR(INDEX(고객사!$H$5:$H$104,MATCH($B1822,고객사!$A$5:$A$104,0)),"")="자사 차량 운행"),"차량 미배정",""))</f>
        <v/>
      </c>
      <c r="N1822" s="22" t="str">
        <f aca="false">IF($B1822="","",IFERROR(INDEX(고객사!$J$5:$J$104,MATCH($B1822,고객사!$A$5:$A$104,0)),0))</f>
        <v/>
      </c>
      <c r="O1822" s="22" t="str">
        <f aca="false">IF($B1822="","",G1822*N1822)</f>
        <v/>
      </c>
      <c r="P1822" s="22" t="str">
        <f aca="false">IF($B1822="","",IFERROR(INDEX(고객사!$K$5:$K$104,MATCH($B1822,고객사!$A$5:$A$104,0)),0))</f>
        <v/>
      </c>
      <c r="Q1822" s="22" t="str">
        <f aca="false">IF($B1822="","",G1822*P1822)</f>
        <v/>
      </c>
      <c r="R1822" s="22" t="str">
        <f aca="false">IF($B1822="","",O1822-Q1822-L1822)</f>
        <v/>
      </c>
      <c r="S1822" s="21" t="str">
        <f aca="false">IF(OR($B1822="",N(O1822)=0),"",R1822/O1822)</f>
        <v/>
      </c>
      <c r="T1822" s="14"/>
      <c r="U1822" s="19" t="n">
        <f aca="false">IF(OR($B1822="",$A1822=""),0,IF(COUNTIFS($A$5:$A1822,$A1822,$B$5:$B1822,$B1822)=1,1,0))</f>
        <v>0</v>
      </c>
    </row>
    <row r="1823" customFormat="false" ht="15" hidden="false" customHeight="false" outlineLevel="0" collapsed="false">
      <c r="A1823" s="17"/>
      <c r="B1823" s="13"/>
      <c r="C1823" s="20" t="str">
        <f aca="false">IF($B1823="","",IFERROR(INDEX(고객사!$B$5:$B$104,MATCH($B1823,고객사!$A$5:$A$104,0)),"코드 확인"))</f>
        <v/>
      </c>
      <c r="D1823" s="15"/>
      <c r="E1823" s="15"/>
      <c r="F1823" s="16"/>
      <c r="G1823" s="16"/>
      <c r="H1823" s="21" t="str">
        <f aca="false">IF(OR($B1823="",F1823=0),"",G1823/F1823)</f>
        <v/>
      </c>
      <c r="I1823" s="22" t="str">
        <f aca="false">IF($B1823="","",MAX(F1823-G1823,0))</f>
        <v/>
      </c>
      <c r="J1823" s="23" t="str">
        <f aca="false">IF($B1823="","",IFERROR(INDEX(고객사!$G$5:$G$104,MATCH($B1823,고객사!$A$5:$A$104,0)),""))</f>
        <v/>
      </c>
      <c r="K1823" s="16"/>
      <c r="L1823" s="22" t="str">
        <f aca="false">IF($B1823="","",K1823*IFERROR(INDEX(고객사!$L$5:$L$104,MATCH($B1823,고객사!$A$5:$A$104,0)),0))</f>
        <v/>
      </c>
      <c r="M1823" s="23" t="str">
        <f aca="false">IF($B1823="","",IF(AND(J1823="N",G1823&gt;0,K1823=0,IFERROR(INDEX(고객사!$H$5:$H$104,MATCH($B1823,고객사!$A$5:$A$104,0)),"")="자사 차량 운행"),"차량 미배정",""))</f>
        <v/>
      </c>
      <c r="N1823" s="22" t="str">
        <f aca="false">IF($B1823="","",IFERROR(INDEX(고객사!$J$5:$J$104,MATCH($B1823,고객사!$A$5:$A$104,0)),0))</f>
        <v/>
      </c>
      <c r="O1823" s="22" t="str">
        <f aca="false">IF($B1823="","",G1823*N1823)</f>
        <v/>
      </c>
      <c r="P1823" s="22" t="str">
        <f aca="false">IF($B1823="","",IFERROR(INDEX(고객사!$K$5:$K$104,MATCH($B1823,고객사!$A$5:$A$104,0)),0))</f>
        <v/>
      </c>
      <c r="Q1823" s="22" t="str">
        <f aca="false">IF($B1823="","",G1823*P1823)</f>
        <v/>
      </c>
      <c r="R1823" s="22" t="str">
        <f aca="false">IF($B1823="","",O1823-Q1823-L1823)</f>
        <v/>
      </c>
      <c r="S1823" s="21" t="str">
        <f aca="false">IF(OR($B1823="",N(O1823)=0),"",R1823/O1823)</f>
        <v/>
      </c>
      <c r="T1823" s="14"/>
      <c r="U1823" s="19" t="n">
        <f aca="false">IF(OR($B1823="",$A1823=""),0,IF(COUNTIFS($A$5:$A1823,$A1823,$B$5:$B1823,$B1823)=1,1,0))</f>
        <v>0</v>
      </c>
    </row>
    <row r="1824" customFormat="false" ht="15" hidden="false" customHeight="false" outlineLevel="0" collapsed="false">
      <c r="A1824" s="17"/>
      <c r="B1824" s="13"/>
      <c r="C1824" s="20" t="str">
        <f aca="false">IF($B1824="","",IFERROR(INDEX(고객사!$B$5:$B$104,MATCH($B1824,고객사!$A$5:$A$104,0)),"코드 확인"))</f>
        <v/>
      </c>
      <c r="D1824" s="15"/>
      <c r="E1824" s="15"/>
      <c r="F1824" s="16"/>
      <c r="G1824" s="16"/>
      <c r="H1824" s="21" t="str">
        <f aca="false">IF(OR($B1824="",F1824=0),"",G1824/F1824)</f>
        <v/>
      </c>
      <c r="I1824" s="22" t="str">
        <f aca="false">IF($B1824="","",MAX(F1824-G1824,0))</f>
        <v/>
      </c>
      <c r="J1824" s="23" t="str">
        <f aca="false">IF($B1824="","",IFERROR(INDEX(고객사!$G$5:$G$104,MATCH($B1824,고객사!$A$5:$A$104,0)),""))</f>
        <v/>
      </c>
      <c r="K1824" s="16"/>
      <c r="L1824" s="22" t="str">
        <f aca="false">IF($B1824="","",K1824*IFERROR(INDEX(고객사!$L$5:$L$104,MATCH($B1824,고객사!$A$5:$A$104,0)),0))</f>
        <v/>
      </c>
      <c r="M1824" s="23" t="str">
        <f aca="false">IF($B1824="","",IF(AND(J1824="N",G1824&gt;0,K1824=0,IFERROR(INDEX(고객사!$H$5:$H$104,MATCH($B1824,고객사!$A$5:$A$104,0)),"")="자사 차량 운행"),"차량 미배정",""))</f>
        <v/>
      </c>
      <c r="N1824" s="22" t="str">
        <f aca="false">IF($B1824="","",IFERROR(INDEX(고객사!$J$5:$J$104,MATCH($B1824,고객사!$A$5:$A$104,0)),0))</f>
        <v/>
      </c>
      <c r="O1824" s="22" t="str">
        <f aca="false">IF($B1824="","",G1824*N1824)</f>
        <v/>
      </c>
      <c r="P1824" s="22" t="str">
        <f aca="false">IF($B1824="","",IFERROR(INDEX(고객사!$K$5:$K$104,MATCH($B1824,고객사!$A$5:$A$104,0)),0))</f>
        <v/>
      </c>
      <c r="Q1824" s="22" t="str">
        <f aca="false">IF($B1824="","",G1824*P1824)</f>
        <v/>
      </c>
      <c r="R1824" s="22" t="str">
        <f aca="false">IF($B1824="","",O1824-Q1824-L1824)</f>
        <v/>
      </c>
      <c r="S1824" s="21" t="str">
        <f aca="false">IF(OR($B1824="",N(O1824)=0),"",R1824/O1824)</f>
        <v/>
      </c>
      <c r="T1824" s="14"/>
      <c r="U1824" s="19" t="n">
        <f aca="false">IF(OR($B1824="",$A1824=""),0,IF(COUNTIFS($A$5:$A1824,$A1824,$B$5:$B1824,$B1824)=1,1,0))</f>
        <v>0</v>
      </c>
    </row>
    <row r="1825" customFormat="false" ht="15" hidden="false" customHeight="false" outlineLevel="0" collapsed="false">
      <c r="A1825" s="17"/>
      <c r="B1825" s="13"/>
      <c r="C1825" s="20" t="str">
        <f aca="false">IF($B1825="","",IFERROR(INDEX(고객사!$B$5:$B$104,MATCH($B1825,고객사!$A$5:$A$104,0)),"코드 확인"))</f>
        <v/>
      </c>
      <c r="D1825" s="15"/>
      <c r="E1825" s="15"/>
      <c r="F1825" s="16"/>
      <c r="G1825" s="16"/>
      <c r="H1825" s="21" t="str">
        <f aca="false">IF(OR($B1825="",F1825=0),"",G1825/F1825)</f>
        <v/>
      </c>
      <c r="I1825" s="22" t="str">
        <f aca="false">IF($B1825="","",MAX(F1825-G1825,0))</f>
        <v/>
      </c>
      <c r="J1825" s="23" t="str">
        <f aca="false">IF($B1825="","",IFERROR(INDEX(고객사!$G$5:$G$104,MATCH($B1825,고객사!$A$5:$A$104,0)),""))</f>
        <v/>
      </c>
      <c r="K1825" s="16"/>
      <c r="L1825" s="22" t="str">
        <f aca="false">IF($B1825="","",K1825*IFERROR(INDEX(고객사!$L$5:$L$104,MATCH($B1825,고객사!$A$5:$A$104,0)),0))</f>
        <v/>
      </c>
      <c r="M1825" s="23" t="str">
        <f aca="false">IF($B1825="","",IF(AND(J1825="N",G1825&gt;0,K1825=0,IFERROR(INDEX(고객사!$H$5:$H$104,MATCH($B1825,고객사!$A$5:$A$104,0)),"")="자사 차량 운행"),"차량 미배정",""))</f>
        <v/>
      </c>
      <c r="N1825" s="22" t="str">
        <f aca="false">IF($B1825="","",IFERROR(INDEX(고객사!$J$5:$J$104,MATCH($B1825,고객사!$A$5:$A$104,0)),0))</f>
        <v/>
      </c>
      <c r="O1825" s="22" t="str">
        <f aca="false">IF($B1825="","",G1825*N1825)</f>
        <v/>
      </c>
      <c r="P1825" s="22" t="str">
        <f aca="false">IF($B1825="","",IFERROR(INDEX(고객사!$K$5:$K$104,MATCH($B1825,고객사!$A$5:$A$104,0)),0))</f>
        <v/>
      </c>
      <c r="Q1825" s="22" t="str">
        <f aca="false">IF($B1825="","",G1825*P1825)</f>
        <v/>
      </c>
      <c r="R1825" s="22" t="str">
        <f aca="false">IF($B1825="","",O1825-Q1825-L1825)</f>
        <v/>
      </c>
      <c r="S1825" s="21" t="str">
        <f aca="false">IF(OR($B1825="",N(O1825)=0),"",R1825/O1825)</f>
        <v/>
      </c>
      <c r="T1825" s="14"/>
      <c r="U1825" s="19" t="n">
        <f aca="false">IF(OR($B1825="",$A1825=""),0,IF(COUNTIFS($A$5:$A1825,$A1825,$B$5:$B1825,$B1825)=1,1,0))</f>
        <v>0</v>
      </c>
    </row>
    <row r="1826" customFormat="false" ht="15" hidden="false" customHeight="false" outlineLevel="0" collapsed="false">
      <c r="A1826" s="17"/>
      <c r="B1826" s="13"/>
      <c r="C1826" s="20" t="str">
        <f aca="false">IF($B1826="","",IFERROR(INDEX(고객사!$B$5:$B$104,MATCH($B1826,고객사!$A$5:$A$104,0)),"코드 확인"))</f>
        <v/>
      </c>
      <c r="D1826" s="15"/>
      <c r="E1826" s="15"/>
      <c r="F1826" s="16"/>
      <c r="G1826" s="16"/>
      <c r="H1826" s="21" t="str">
        <f aca="false">IF(OR($B1826="",F1826=0),"",G1826/F1826)</f>
        <v/>
      </c>
      <c r="I1826" s="22" t="str">
        <f aca="false">IF($B1826="","",MAX(F1826-G1826,0))</f>
        <v/>
      </c>
      <c r="J1826" s="23" t="str">
        <f aca="false">IF($B1826="","",IFERROR(INDEX(고객사!$G$5:$G$104,MATCH($B1826,고객사!$A$5:$A$104,0)),""))</f>
        <v/>
      </c>
      <c r="K1826" s="16"/>
      <c r="L1826" s="22" t="str">
        <f aca="false">IF($B1826="","",K1826*IFERROR(INDEX(고객사!$L$5:$L$104,MATCH($B1826,고객사!$A$5:$A$104,0)),0))</f>
        <v/>
      </c>
      <c r="M1826" s="23" t="str">
        <f aca="false">IF($B1826="","",IF(AND(J1826="N",G1826&gt;0,K1826=0,IFERROR(INDEX(고객사!$H$5:$H$104,MATCH($B1826,고객사!$A$5:$A$104,0)),"")="자사 차량 운행"),"차량 미배정",""))</f>
        <v/>
      </c>
      <c r="N1826" s="22" t="str">
        <f aca="false">IF($B1826="","",IFERROR(INDEX(고객사!$J$5:$J$104,MATCH($B1826,고객사!$A$5:$A$104,0)),0))</f>
        <v/>
      </c>
      <c r="O1826" s="22" t="str">
        <f aca="false">IF($B1826="","",G1826*N1826)</f>
        <v/>
      </c>
      <c r="P1826" s="22" t="str">
        <f aca="false">IF($B1826="","",IFERROR(INDEX(고객사!$K$5:$K$104,MATCH($B1826,고객사!$A$5:$A$104,0)),0))</f>
        <v/>
      </c>
      <c r="Q1826" s="22" t="str">
        <f aca="false">IF($B1826="","",G1826*P1826)</f>
        <v/>
      </c>
      <c r="R1826" s="22" t="str">
        <f aca="false">IF($B1826="","",O1826-Q1826-L1826)</f>
        <v/>
      </c>
      <c r="S1826" s="21" t="str">
        <f aca="false">IF(OR($B1826="",N(O1826)=0),"",R1826/O1826)</f>
        <v/>
      </c>
      <c r="T1826" s="14"/>
      <c r="U1826" s="19" t="n">
        <f aca="false">IF(OR($B1826="",$A1826=""),0,IF(COUNTIFS($A$5:$A1826,$A1826,$B$5:$B1826,$B1826)=1,1,0))</f>
        <v>0</v>
      </c>
    </row>
    <row r="1827" customFormat="false" ht="15" hidden="false" customHeight="false" outlineLevel="0" collapsed="false">
      <c r="A1827" s="17"/>
      <c r="B1827" s="13"/>
      <c r="C1827" s="20" t="str">
        <f aca="false">IF($B1827="","",IFERROR(INDEX(고객사!$B$5:$B$104,MATCH($B1827,고객사!$A$5:$A$104,0)),"코드 확인"))</f>
        <v/>
      </c>
      <c r="D1827" s="15"/>
      <c r="E1827" s="15"/>
      <c r="F1827" s="16"/>
      <c r="G1827" s="16"/>
      <c r="H1827" s="21" t="str">
        <f aca="false">IF(OR($B1827="",F1827=0),"",G1827/F1827)</f>
        <v/>
      </c>
      <c r="I1827" s="22" t="str">
        <f aca="false">IF($B1827="","",MAX(F1827-G1827,0))</f>
        <v/>
      </c>
      <c r="J1827" s="23" t="str">
        <f aca="false">IF($B1827="","",IFERROR(INDEX(고객사!$G$5:$G$104,MATCH($B1827,고객사!$A$5:$A$104,0)),""))</f>
        <v/>
      </c>
      <c r="K1827" s="16"/>
      <c r="L1827" s="22" t="str">
        <f aca="false">IF($B1827="","",K1827*IFERROR(INDEX(고객사!$L$5:$L$104,MATCH($B1827,고객사!$A$5:$A$104,0)),0))</f>
        <v/>
      </c>
      <c r="M1827" s="23" t="str">
        <f aca="false">IF($B1827="","",IF(AND(J1827="N",G1827&gt;0,K1827=0,IFERROR(INDEX(고객사!$H$5:$H$104,MATCH($B1827,고객사!$A$5:$A$104,0)),"")="자사 차량 운행"),"차량 미배정",""))</f>
        <v/>
      </c>
      <c r="N1827" s="22" t="str">
        <f aca="false">IF($B1827="","",IFERROR(INDEX(고객사!$J$5:$J$104,MATCH($B1827,고객사!$A$5:$A$104,0)),0))</f>
        <v/>
      </c>
      <c r="O1827" s="22" t="str">
        <f aca="false">IF($B1827="","",G1827*N1827)</f>
        <v/>
      </c>
      <c r="P1827" s="22" t="str">
        <f aca="false">IF($B1827="","",IFERROR(INDEX(고객사!$K$5:$K$104,MATCH($B1827,고객사!$A$5:$A$104,0)),0))</f>
        <v/>
      </c>
      <c r="Q1827" s="22" t="str">
        <f aca="false">IF($B1827="","",G1827*P1827)</f>
        <v/>
      </c>
      <c r="R1827" s="22" t="str">
        <f aca="false">IF($B1827="","",O1827-Q1827-L1827)</f>
        <v/>
      </c>
      <c r="S1827" s="21" t="str">
        <f aca="false">IF(OR($B1827="",N(O1827)=0),"",R1827/O1827)</f>
        <v/>
      </c>
      <c r="T1827" s="14"/>
      <c r="U1827" s="19" t="n">
        <f aca="false">IF(OR($B1827="",$A1827=""),0,IF(COUNTIFS($A$5:$A1827,$A1827,$B$5:$B1827,$B1827)=1,1,0))</f>
        <v>0</v>
      </c>
    </row>
    <row r="1828" customFormat="false" ht="15" hidden="false" customHeight="false" outlineLevel="0" collapsed="false">
      <c r="A1828" s="17"/>
      <c r="B1828" s="13"/>
      <c r="C1828" s="20" t="str">
        <f aca="false">IF($B1828="","",IFERROR(INDEX(고객사!$B$5:$B$104,MATCH($B1828,고객사!$A$5:$A$104,0)),"코드 확인"))</f>
        <v/>
      </c>
      <c r="D1828" s="15"/>
      <c r="E1828" s="15"/>
      <c r="F1828" s="16"/>
      <c r="G1828" s="16"/>
      <c r="H1828" s="21" t="str">
        <f aca="false">IF(OR($B1828="",F1828=0),"",G1828/F1828)</f>
        <v/>
      </c>
      <c r="I1828" s="22" t="str">
        <f aca="false">IF($B1828="","",MAX(F1828-G1828,0))</f>
        <v/>
      </c>
      <c r="J1828" s="23" t="str">
        <f aca="false">IF($B1828="","",IFERROR(INDEX(고객사!$G$5:$G$104,MATCH($B1828,고객사!$A$5:$A$104,0)),""))</f>
        <v/>
      </c>
      <c r="K1828" s="16"/>
      <c r="L1828" s="22" t="str">
        <f aca="false">IF($B1828="","",K1828*IFERROR(INDEX(고객사!$L$5:$L$104,MATCH($B1828,고객사!$A$5:$A$104,0)),0))</f>
        <v/>
      </c>
      <c r="M1828" s="23" t="str">
        <f aca="false">IF($B1828="","",IF(AND(J1828="N",G1828&gt;0,K1828=0,IFERROR(INDEX(고객사!$H$5:$H$104,MATCH($B1828,고객사!$A$5:$A$104,0)),"")="자사 차량 운행"),"차량 미배정",""))</f>
        <v/>
      </c>
      <c r="N1828" s="22" t="str">
        <f aca="false">IF($B1828="","",IFERROR(INDEX(고객사!$J$5:$J$104,MATCH($B1828,고객사!$A$5:$A$104,0)),0))</f>
        <v/>
      </c>
      <c r="O1828" s="22" t="str">
        <f aca="false">IF($B1828="","",G1828*N1828)</f>
        <v/>
      </c>
      <c r="P1828" s="22" t="str">
        <f aca="false">IF($B1828="","",IFERROR(INDEX(고객사!$K$5:$K$104,MATCH($B1828,고객사!$A$5:$A$104,0)),0))</f>
        <v/>
      </c>
      <c r="Q1828" s="22" t="str">
        <f aca="false">IF($B1828="","",G1828*P1828)</f>
        <v/>
      </c>
      <c r="R1828" s="22" t="str">
        <f aca="false">IF($B1828="","",O1828-Q1828-L1828)</f>
        <v/>
      </c>
      <c r="S1828" s="21" t="str">
        <f aca="false">IF(OR($B1828="",N(O1828)=0),"",R1828/O1828)</f>
        <v/>
      </c>
      <c r="T1828" s="14"/>
      <c r="U1828" s="19" t="n">
        <f aca="false">IF(OR($B1828="",$A1828=""),0,IF(COUNTIFS($A$5:$A1828,$A1828,$B$5:$B1828,$B1828)=1,1,0))</f>
        <v>0</v>
      </c>
    </row>
    <row r="1829" customFormat="false" ht="15" hidden="false" customHeight="false" outlineLevel="0" collapsed="false">
      <c r="A1829" s="17"/>
      <c r="B1829" s="13"/>
      <c r="C1829" s="20" t="str">
        <f aca="false">IF($B1829="","",IFERROR(INDEX(고객사!$B$5:$B$104,MATCH($B1829,고객사!$A$5:$A$104,0)),"코드 확인"))</f>
        <v/>
      </c>
      <c r="D1829" s="15"/>
      <c r="E1829" s="15"/>
      <c r="F1829" s="16"/>
      <c r="G1829" s="16"/>
      <c r="H1829" s="21" t="str">
        <f aca="false">IF(OR($B1829="",F1829=0),"",G1829/F1829)</f>
        <v/>
      </c>
      <c r="I1829" s="22" t="str">
        <f aca="false">IF($B1829="","",MAX(F1829-G1829,0))</f>
        <v/>
      </c>
      <c r="J1829" s="23" t="str">
        <f aca="false">IF($B1829="","",IFERROR(INDEX(고객사!$G$5:$G$104,MATCH($B1829,고객사!$A$5:$A$104,0)),""))</f>
        <v/>
      </c>
      <c r="K1829" s="16"/>
      <c r="L1829" s="22" t="str">
        <f aca="false">IF($B1829="","",K1829*IFERROR(INDEX(고객사!$L$5:$L$104,MATCH($B1829,고객사!$A$5:$A$104,0)),0))</f>
        <v/>
      </c>
      <c r="M1829" s="23" t="str">
        <f aca="false">IF($B1829="","",IF(AND(J1829="N",G1829&gt;0,K1829=0,IFERROR(INDEX(고객사!$H$5:$H$104,MATCH($B1829,고객사!$A$5:$A$104,0)),"")="자사 차량 운행"),"차량 미배정",""))</f>
        <v/>
      </c>
      <c r="N1829" s="22" t="str">
        <f aca="false">IF($B1829="","",IFERROR(INDEX(고객사!$J$5:$J$104,MATCH($B1829,고객사!$A$5:$A$104,0)),0))</f>
        <v/>
      </c>
      <c r="O1829" s="22" t="str">
        <f aca="false">IF($B1829="","",G1829*N1829)</f>
        <v/>
      </c>
      <c r="P1829" s="22" t="str">
        <f aca="false">IF($B1829="","",IFERROR(INDEX(고객사!$K$5:$K$104,MATCH($B1829,고객사!$A$5:$A$104,0)),0))</f>
        <v/>
      </c>
      <c r="Q1829" s="22" t="str">
        <f aca="false">IF($B1829="","",G1829*P1829)</f>
        <v/>
      </c>
      <c r="R1829" s="22" t="str">
        <f aca="false">IF($B1829="","",O1829-Q1829-L1829)</f>
        <v/>
      </c>
      <c r="S1829" s="21" t="str">
        <f aca="false">IF(OR($B1829="",N(O1829)=0),"",R1829/O1829)</f>
        <v/>
      </c>
      <c r="T1829" s="14"/>
      <c r="U1829" s="19" t="n">
        <f aca="false">IF(OR($B1829="",$A1829=""),0,IF(COUNTIFS($A$5:$A1829,$A1829,$B$5:$B1829,$B1829)=1,1,0))</f>
        <v>0</v>
      </c>
    </row>
    <row r="1830" customFormat="false" ht="15" hidden="false" customHeight="false" outlineLevel="0" collapsed="false">
      <c r="A1830" s="17"/>
      <c r="B1830" s="13"/>
      <c r="C1830" s="20" t="str">
        <f aca="false">IF($B1830="","",IFERROR(INDEX(고객사!$B$5:$B$104,MATCH($B1830,고객사!$A$5:$A$104,0)),"코드 확인"))</f>
        <v/>
      </c>
      <c r="D1830" s="15"/>
      <c r="E1830" s="15"/>
      <c r="F1830" s="16"/>
      <c r="G1830" s="16"/>
      <c r="H1830" s="21" t="str">
        <f aca="false">IF(OR($B1830="",F1830=0),"",G1830/F1830)</f>
        <v/>
      </c>
      <c r="I1830" s="22" t="str">
        <f aca="false">IF($B1830="","",MAX(F1830-G1830,0))</f>
        <v/>
      </c>
      <c r="J1830" s="23" t="str">
        <f aca="false">IF($B1830="","",IFERROR(INDEX(고객사!$G$5:$G$104,MATCH($B1830,고객사!$A$5:$A$104,0)),""))</f>
        <v/>
      </c>
      <c r="K1830" s="16"/>
      <c r="L1830" s="22" t="str">
        <f aca="false">IF($B1830="","",K1830*IFERROR(INDEX(고객사!$L$5:$L$104,MATCH($B1830,고객사!$A$5:$A$104,0)),0))</f>
        <v/>
      </c>
      <c r="M1830" s="23" t="str">
        <f aca="false">IF($B1830="","",IF(AND(J1830="N",G1830&gt;0,K1830=0,IFERROR(INDEX(고객사!$H$5:$H$104,MATCH($B1830,고객사!$A$5:$A$104,0)),"")="자사 차량 운행"),"차량 미배정",""))</f>
        <v/>
      </c>
      <c r="N1830" s="22" t="str">
        <f aca="false">IF($B1830="","",IFERROR(INDEX(고객사!$J$5:$J$104,MATCH($B1830,고객사!$A$5:$A$104,0)),0))</f>
        <v/>
      </c>
      <c r="O1830" s="22" t="str">
        <f aca="false">IF($B1830="","",G1830*N1830)</f>
        <v/>
      </c>
      <c r="P1830" s="22" t="str">
        <f aca="false">IF($B1830="","",IFERROR(INDEX(고객사!$K$5:$K$104,MATCH($B1830,고객사!$A$5:$A$104,0)),0))</f>
        <v/>
      </c>
      <c r="Q1830" s="22" t="str">
        <f aca="false">IF($B1830="","",G1830*P1830)</f>
        <v/>
      </c>
      <c r="R1830" s="22" t="str">
        <f aca="false">IF($B1830="","",O1830-Q1830-L1830)</f>
        <v/>
      </c>
      <c r="S1830" s="21" t="str">
        <f aca="false">IF(OR($B1830="",N(O1830)=0),"",R1830/O1830)</f>
        <v/>
      </c>
      <c r="T1830" s="14"/>
      <c r="U1830" s="19" t="n">
        <f aca="false">IF(OR($B1830="",$A1830=""),0,IF(COUNTIFS($A$5:$A1830,$A1830,$B$5:$B1830,$B1830)=1,1,0))</f>
        <v>0</v>
      </c>
    </row>
    <row r="1831" customFormat="false" ht="15" hidden="false" customHeight="false" outlineLevel="0" collapsed="false">
      <c r="A1831" s="17"/>
      <c r="B1831" s="13"/>
      <c r="C1831" s="20" t="str">
        <f aca="false">IF($B1831="","",IFERROR(INDEX(고객사!$B$5:$B$104,MATCH($B1831,고객사!$A$5:$A$104,0)),"코드 확인"))</f>
        <v/>
      </c>
      <c r="D1831" s="15"/>
      <c r="E1831" s="15"/>
      <c r="F1831" s="16"/>
      <c r="G1831" s="16"/>
      <c r="H1831" s="21" t="str">
        <f aca="false">IF(OR($B1831="",F1831=0),"",G1831/F1831)</f>
        <v/>
      </c>
      <c r="I1831" s="22" t="str">
        <f aca="false">IF($B1831="","",MAX(F1831-G1831,0))</f>
        <v/>
      </c>
      <c r="J1831" s="23" t="str">
        <f aca="false">IF($B1831="","",IFERROR(INDEX(고객사!$G$5:$G$104,MATCH($B1831,고객사!$A$5:$A$104,0)),""))</f>
        <v/>
      </c>
      <c r="K1831" s="16"/>
      <c r="L1831" s="22" t="str">
        <f aca="false">IF($B1831="","",K1831*IFERROR(INDEX(고객사!$L$5:$L$104,MATCH($B1831,고객사!$A$5:$A$104,0)),0))</f>
        <v/>
      </c>
      <c r="M1831" s="23" t="str">
        <f aca="false">IF($B1831="","",IF(AND(J1831="N",G1831&gt;0,K1831=0,IFERROR(INDEX(고객사!$H$5:$H$104,MATCH($B1831,고객사!$A$5:$A$104,0)),"")="자사 차량 운행"),"차량 미배정",""))</f>
        <v/>
      </c>
      <c r="N1831" s="22" t="str">
        <f aca="false">IF($B1831="","",IFERROR(INDEX(고객사!$J$5:$J$104,MATCH($B1831,고객사!$A$5:$A$104,0)),0))</f>
        <v/>
      </c>
      <c r="O1831" s="22" t="str">
        <f aca="false">IF($B1831="","",G1831*N1831)</f>
        <v/>
      </c>
      <c r="P1831" s="22" t="str">
        <f aca="false">IF($B1831="","",IFERROR(INDEX(고객사!$K$5:$K$104,MATCH($B1831,고객사!$A$5:$A$104,0)),0))</f>
        <v/>
      </c>
      <c r="Q1831" s="22" t="str">
        <f aca="false">IF($B1831="","",G1831*P1831)</f>
        <v/>
      </c>
      <c r="R1831" s="22" t="str">
        <f aca="false">IF($B1831="","",O1831-Q1831-L1831)</f>
        <v/>
      </c>
      <c r="S1831" s="21" t="str">
        <f aca="false">IF(OR($B1831="",N(O1831)=0),"",R1831/O1831)</f>
        <v/>
      </c>
      <c r="T1831" s="14"/>
      <c r="U1831" s="19" t="n">
        <f aca="false">IF(OR($B1831="",$A1831=""),0,IF(COUNTIFS($A$5:$A1831,$A1831,$B$5:$B1831,$B1831)=1,1,0))</f>
        <v>0</v>
      </c>
    </row>
    <row r="1832" customFormat="false" ht="15" hidden="false" customHeight="false" outlineLevel="0" collapsed="false">
      <c r="A1832" s="17"/>
      <c r="B1832" s="13"/>
      <c r="C1832" s="20" t="str">
        <f aca="false">IF($B1832="","",IFERROR(INDEX(고객사!$B$5:$B$104,MATCH($B1832,고객사!$A$5:$A$104,0)),"코드 확인"))</f>
        <v/>
      </c>
      <c r="D1832" s="15"/>
      <c r="E1832" s="15"/>
      <c r="F1832" s="16"/>
      <c r="G1832" s="16"/>
      <c r="H1832" s="21" t="str">
        <f aca="false">IF(OR($B1832="",F1832=0),"",G1832/F1832)</f>
        <v/>
      </c>
      <c r="I1832" s="22" t="str">
        <f aca="false">IF($B1832="","",MAX(F1832-G1832,0))</f>
        <v/>
      </c>
      <c r="J1832" s="23" t="str">
        <f aca="false">IF($B1832="","",IFERROR(INDEX(고객사!$G$5:$G$104,MATCH($B1832,고객사!$A$5:$A$104,0)),""))</f>
        <v/>
      </c>
      <c r="K1832" s="16"/>
      <c r="L1832" s="22" t="str">
        <f aca="false">IF($B1832="","",K1832*IFERROR(INDEX(고객사!$L$5:$L$104,MATCH($B1832,고객사!$A$5:$A$104,0)),0))</f>
        <v/>
      </c>
      <c r="M1832" s="23" t="str">
        <f aca="false">IF($B1832="","",IF(AND(J1832="N",G1832&gt;0,K1832=0,IFERROR(INDEX(고객사!$H$5:$H$104,MATCH($B1832,고객사!$A$5:$A$104,0)),"")="자사 차량 운행"),"차량 미배정",""))</f>
        <v/>
      </c>
      <c r="N1832" s="22" t="str">
        <f aca="false">IF($B1832="","",IFERROR(INDEX(고객사!$J$5:$J$104,MATCH($B1832,고객사!$A$5:$A$104,0)),0))</f>
        <v/>
      </c>
      <c r="O1832" s="22" t="str">
        <f aca="false">IF($B1832="","",G1832*N1832)</f>
        <v/>
      </c>
      <c r="P1832" s="22" t="str">
        <f aca="false">IF($B1832="","",IFERROR(INDEX(고객사!$K$5:$K$104,MATCH($B1832,고객사!$A$5:$A$104,0)),0))</f>
        <v/>
      </c>
      <c r="Q1832" s="22" t="str">
        <f aca="false">IF($B1832="","",G1832*P1832)</f>
        <v/>
      </c>
      <c r="R1832" s="22" t="str">
        <f aca="false">IF($B1832="","",O1832-Q1832-L1832)</f>
        <v/>
      </c>
      <c r="S1832" s="21" t="str">
        <f aca="false">IF(OR($B1832="",N(O1832)=0),"",R1832/O1832)</f>
        <v/>
      </c>
      <c r="T1832" s="14"/>
      <c r="U1832" s="19" t="n">
        <f aca="false">IF(OR($B1832="",$A1832=""),0,IF(COUNTIFS($A$5:$A1832,$A1832,$B$5:$B1832,$B1832)=1,1,0))</f>
        <v>0</v>
      </c>
    </row>
    <row r="1833" customFormat="false" ht="15" hidden="false" customHeight="false" outlineLevel="0" collapsed="false">
      <c r="A1833" s="17"/>
      <c r="B1833" s="13"/>
      <c r="C1833" s="20" t="str">
        <f aca="false">IF($B1833="","",IFERROR(INDEX(고객사!$B$5:$B$104,MATCH($B1833,고객사!$A$5:$A$104,0)),"코드 확인"))</f>
        <v/>
      </c>
      <c r="D1833" s="15"/>
      <c r="E1833" s="15"/>
      <c r="F1833" s="16"/>
      <c r="G1833" s="16"/>
      <c r="H1833" s="21" t="str">
        <f aca="false">IF(OR($B1833="",F1833=0),"",G1833/F1833)</f>
        <v/>
      </c>
      <c r="I1833" s="22" t="str">
        <f aca="false">IF($B1833="","",MAX(F1833-G1833,0))</f>
        <v/>
      </c>
      <c r="J1833" s="23" t="str">
        <f aca="false">IF($B1833="","",IFERROR(INDEX(고객사!$G$5:$G$104,MATCH($B1833,고객사!$A$5:$A$104,0)),""))</f>
        <v/>
      </c>
      <c r="K1833" s="16"/>
      <c r="L1833" s="22" t="str">
        <f aca="false">IF($B1833="","",K1833*IFERROR(INDEX(고객사!$L$5:$L$104,MATCH($B1833,고객사!$A$5:$A$104,0)),0))</f>
        <v/>
      </c>
      <c r="M1833" s="23" t="str">
        <f aca="false">IF($B1833="","",IF(AND(J1833="N",G1833&gt;0,K1833=0,IFERROR(INDEX(고객사!$H$5:$H$104,MATCH($B1833,고객사!$A$5:$A$104,0)),"")="자사 차량 운행"),"차량 미배정",""))</f>
        <v/>
      </c>
      <c r="N1833" s="22" t="str">
        <f aca="false">IF($B1833="","",IFERROR(INDEX(고객사!$J$5:$J$104,MATCH($B1833,고객사!$A$5:$A$104,0)),0))</f>
        <v/>
      </c>
      <c r="O1833" s="22" t="str">
        <f aca="false">IF($B1833="","",G1833*N1833)</f>
        <v/>
      </c>
      <c r="P1833" s="22" t="str">
        <f aca="false">IF($B1833="","",IFERROR(INDEX(고객사!$K$5:$K$104,MATCH($B1833,고객사!$A$5:$A$104,0)),0))</f>
        <v/>
      </c>
      <c r="Q1833" s="22" t="str">
        <f aca="false">IF($B1833="","",G1833*P1833)</f>
        <v/>
      </c>
      <c r="R1833" s="22" t="str">
        <f aca="false">IF($B1833="","",O1833-Q1833-L1833)</f>
        <v/>
      </c>
      <c r="S1833" s="21" t="str">
        <f aca="false">IF(OR($B1833="",N(O1833)=0),"",R1833/O1833)</f>
        <v/>
      </c>
      <c r="T1833" s="14"/>
      <c r="U1833" s="19" t="n">
        <f aca="false">IF(OR($B1833="",$A1833=""),0,IF(COUNTIFS($A$5:$A1833,$A1833,$B$5:$B1833,$B1833)=1,1,0))</f>
        <v>0</v>
      </c>
    </row>
    <row r="1834" customFormat="false" ht="15" hidden="false" customHeight="false" outlineLevel="0" collapsed="false">
      <c r="A1834" s="17"/>
      <c r="B1834" s="13"/>
      <c r="C1834" s="20" t="str">
        <f aca="false">IF($B1834="","",IFERROR(INDEX(고객사!$B$5:$B$104,MATCH($B1834,고객사!$A$5:$A$104,0)),"코드 확인"))</f>
        <v/>
      </c>
      <c r="D1834" s="15"/>
      <c r="E1834" s="15"/>
      <c r="F1834" s="16"/>
      <c r="G1834" s="16"/>
      <c r="H1834" s="21" t="str">
        <f aca="false">IF(OR($B1834="",F1834=0),"",G1834/F1834)</f>
        <v/>
      </c>
      <c r="I1834" s="22" t="str">
        <f aca="false">IF($B1834="","",MAX(F1834-G1834,0))</f>
        <v/>
      </c>
      <c r="J1834" s="23" t="str">
        <f aca="false">IF($B1834="","",IFERROR(INDEX(고객사!$G$5:$G$104,MATCH($B1834,고객사!$A$5:$A$104,0)),""))</f>
        <v/>
      </c>
      <c r="K1834" s="16"/>
      <c r="L1834" s="22" t="str">
        <f aca="false">IF($B1834="","",K1834*IFERROR(INDEX(고객사!$L$5:$L$104,MATCH($B1834,고객사!$A$5:$A$104,0)),0))</f>
        <v/>
      </c>
      <c r="M1834" s="23" t="str">
        <f aca="false">IF($B1834="","",IF(AND(J1834="N",G1834&gt;0,K1834=0,IFERROR(INDEX(고객사!$H$5:$H$104,MATCH($B1834,고객사!$A$5:$A$104,0)),"")="자사 차량 운행"),"차량 미배정",""))</f>
        <v/>
      </c>
      <c r="N1834" s="22" t="str">
        <f aca="false">IF($B1834="","",IFERROR(INDEX(고객사!$J$5:$J$104,MATCH($B1834,고객사!$A$5:$A$104,0)),0))</f>
        <v/>
      </c>
      <c r="O1834" s="22" t="str">
        <f aca="false">IF($B1834="","",G1834*N1834)</f>
        <v/>
      </c>
      <c r="P1834" s="22" t="str">
        <f aca="false">IF($B1834="","",IFERROR(INDEX(고객사!$K$5:$K$104,MATCH($B1834,고객사!$A$5:$A$104,0)),0))</f>
        <v/>
      </c>
      <c r="Q1834" s="22" t="str">
        <f aca="false">IF($B1834="","",G1834*P1834)</f>
        <v/>
      </c>
      <c r="R1834" s="22" t="str">
        <f aca="false">IF($B1834="","",O1834-Q1834-L1834)</f>
        <v/>
      </c>
      <c r="S1834" s="21" t="str">
        <f aca="false">IF(OR($B1834="",N(O1834)=0),"",R1834/O1834)</f>
        <v/>
      </c>
      <c r="T1834" s="14"/>
      <c r="U1834" s="19" t="n">
        <f aca="false">IF(OR($B1834="",$A1834=""),0,IF(COUNTIFS($A$5:$A1834,$A1834,$B$5:$B1834,$B1834)=1,1,0))</f>
        <v>0</v>
      </c>
    </row>
    <row r="1835" customFormat="false" ht="15" hidden="false" customHeight="false" outlineLevel="0" collapsed="false">
      <c r="A1835" s="17"/>
      <c r="B1835" s="13"/>
      <c r="C1835" s="20" t="str">
        <f aca="false">IF($B1835="","",IFERROR(INDEX(고객사!$B$5:$B$104,MATCH($B1835,고객사!$A$5:$A$104,0)),"코드 확인"))</f>
        <v/>
      </c>
      <c r="D1835" s="15"/>
      <c r="E1835" s="15"/>
      <c r="F1835" s="16"/>
      <c r="G1835" s="16"/>
      <c r="H1835" s="21" t="str">
        <f aca="false">IF(OR($B1835="",F1835=0),"",G1835/F1835)</f>
        <v/>
      </c>
      <c r="I1835" s="22" t="str">
        <f aca="false">IF($B1835="","",MAX(F1835-G1835,0))</f>
        <v/>
      </c>
      <c r="J1835" s="23" t="str">
        <f aca="false">IF($B1835="","",IFERROR(INDEX(고객사!$G$5:$G$104,MATCH($B1835,고객사!$A$5:$A$104,0)),""))</f>
        <v/>
      </c>
      <c r="K1835" s="16"/>
      <c r="L1835" s="22" t="str">
        <f aca="false">IF($B1835="","",K1835*IFERROR(INDEX(고객사!$L$5:$L$104,MATCH($B1835,고객사!$A$5:$A$104,0)),0))</f>
        <v/>
      </c>
      <c r="M1835" s="23" t="str">
        <f aca="false">IF($B1835="","",IF(AND(J1835="N",G1835&gt;0,K1835=0,IFERROR(INDEX(고객사!$H$5:$H$104,MATCH($B1835,고객사!$A$5:$A$104,0)),"")="자사 차량 운행"),"차량 미배정",""))</f>
        <v/>
      </c>
      <c r="N1835" s="22" t="str">
        <f aca="false">IF($B1835="","",IFERROR(INDEX(고객사!$J$5:$J$104,MATCH($B1835,고객사!$A$5:$A$104,0)),0))</f>
        <v/>
      </c>
      <c r="O1835" s="22" t="str">
        <f aca="false">IF($B1835="","",G1835*N1835)</f>
        <v/>
      </c>
      <c r="P1835" s="22" t="str">
        <f aca="false">IF($B1835="","",IFERROR(INDEX(고객사!$K$5:$K$104,MATCH($B1835,고객사!$A$5:$A$104,0)),0))</f>
        <v/>
      </c>
      <c r="Q1835" s="22" t="str">
        <f aca="false">IF($B1835="","",G1835*P1835)</f>
        <v/>
      </c>
      <c r="R1835" s="22" t="str">
        <f aca="false">IF($B1835="","",O1835-Q1835-L1835)</f>
        <v/>
      </c>
      <c r="S1835" s="21" t="str">
        <f aca="false">IF(OR($B1835="",N(O1835)=0),"",R1835/O1835)</f>
        <v/>
      </c>
      <c r="T1835" s="14"/>
      <c r="U1835" s="19" t="n">
        <f aca="false">IF(OR($B1835="",$A1835=""),0,IF(COUNTIFS($A$5:$A1835,$A1835,$B$5:$B1835,$B1835)=1,1,0))</f>
        <v>0</v>
      </c>
    </row>
    <row r="1836" customFormat="false" ht="15" hidden="false" customHeight="false" outlineLevel="0" collapsed="false">
      <c r="A1836" s="17"/>
      <c r="B1836" s="13"/>
      <c r="C1836" s="20" t="str">
        <f aca="false">IF($B1836="","",IFERROR(INDEX(고객사!$B$5:$B$104,MATCH($B1836,고객사!$A$5:$A$104,0)),"코드 확인"))</f>
        <v/>
      </c>
      <c r="D1836" s="15"/>
      <c r="E1836" s="15"/>
      <c r="F1836" s="16"/>
      <c r="G1836" s="16"/>
      <c r="H1836" s="21" t="str">
        <f aca="false">IF(OR($B1836="",F1836=0),"",G1836/F1836)</f>
        <v/>
      </c>
      <c r="I1836" s="22" t="str">
        <f aca="false">IF($B1836="","",MAX(F1836-G1836,0))</f>
        <v/>
      </c>
      <c r="J1836" s="23" t="str">
        <f aca="false">IF($B1836="","",IFERROR(INDEX(고객사!$G$5:$G$104,MATCH($B1836,고객사!$A$5:$A$104,0)),""))</f>
        <v/>
      </c>
      <c r="K1836" s="16"/>
      <c r="L1836" s="22" t="str">
        <f aca="false">IF($B1836="","",K1836*IFERROR(INDEX(고객사!$L$5:$L$104,MATCH($B1836,고객사!$A$5:$A$104,0)),0))</f>
        <v/>
      </c>
      <c r="M1836" s="23" t="str">
        <f aca="false">IF($B1836="","",IF(AND(J1836="N",G1836&gt;0,K1836=0,IFERROR(INDEX(고객사!$H$5:$H$104,MATCH($B1836,고객사!$A$5:$A$104,0)),"")="자사 차량 운행"),"차량 미배정",""))</f>
        <v/>
      </c>
      <c r="N1836" s="22" t="str">
        <f aca="false">IF($B1836="","",IFERROR(INDEX(고객사!$J$5:$J$104,MATCH($B1836,고객사!$A$5:$A$104,0)),0))</f>
        <v/>
      </c>
      <c r="O1836" s="22" t="str">
        <f aca="false">IF($B1836="","",G1836*N1836)</f>
        <v/>
      </c>
      <c r="P1836" s="22" t="str">
        <f aca="false">IF($B1836="","",IFERROR(INDEX(고객사!$K$5:$K$104,MATCH($B1836,고객사!$A$5:$A$104,0)),0))</f>
        <v/>
      </c>
      <c r="Q1836" s="22" t="str">
        <f aca="false">IF($B1836="","",G1836*P1836)</f>
        <v/>
      </c>
      <c r="R1836" s="22" t="str">
        <f aca="false">IF($B1836="","",O1836-Q1836-L1836)</f>
        <v/>
      </c>
      <c r="S1836" s="21" t="str">
        <f aca="false">IF(OR($B1836="",N(O1836)=0),"",R1836/O1836)</f>
        <v/>
      </c>
      <c r="T1836" s="14"/>
      <c r="U1836" s="19" t="n">
        <f aca="false">IF(OR($B1836="",$A1836=""),0,IF(COUNTIFS($A$5:$A1836,$A1836,$B$5:$B1836,$B1836)=1,1,0))</f>
        <v>0</v>
      </c>
    </row>
    <row r="1837" customFormat="false" ht="15" hidden="false" customHeight="false" outlineLevel="0" collapsed="false">
      <c r="A1837" s="17"/>
      <c r="B1837" s="13"/>
      <c r="C1837" s="20" t="str">
        <f aca="false">IF($B1837="","",IFERROR(INDEX(고객사!$B$5:$B$104,MATCH($B1837,고객사!$A$5:$A$104,0)),"코드 확인"))</f>
        <v/>
      </c>
      <c r="D1837" s="15"/>
      <c r="E1837" s="15"/>
      <c r="F1837" s="16"/>
      <c r="G1837" s="16"/>
      <c r="H1837" s="21" t="str">
        <f aca="false">IF(OR($B1837="",F1837=0),"",G1837/F1837)</f>
        <v/>
      </c>
      <c r="I1837" s="22" t="str">
        <f aca="false">IF($B1837="","",MAX(F1837-G1837,0))</f>
        <v/>
      </c>
      <c r="J1837" s="23" t="str">
        <f aca="false">IF($B1837="","",IFERROR(INDEX(고객사!$G$5:$G$104,MATCH($B1837,고객사!$A$5:$A$104,0)),""))</f>
        <v/>
      </c>
      <c r="K1837" s="16"/>
      <c r="L1837" s="22" t="str">
        <f aca="false">IF($B1837="","",K1837*IFERROR(INDEX(고객사!$L$5:$L$104,MATCH($B1837,고객사!$A$5:$A$104,0)),0))</f>
        <v/>
      </c>
      <c r="M1837" s="23" t="str">
        <f aca="false">IF($B1837="","",IF(AND(J1837="N",G1837&gt;0,K1837=0,IFERROR(INDEX(고객사!$H$5:$H$104,MATCH($B1837,고객사!$A$5:$A$104,0)),"")="자사 차량 운행"),"차량 미배정",""))</f>
        <v/>
      </c>
      <c r="N1837" s="22" t="str">
        <f aca="false">IF($B1837="","",IFERROR(INDEX(고객사!$J$5:$J$104,MATCH($B1837,고객사!$A$5:$A$104,0)),0))</f>
        <v/>
      </c>
      <c r="O1837" s="22" t="str">
        <f aca="false">IF($B1837="","",G1837*N1837)</f>
        <v/>
      </c>
      <c r="P1837" s="22" t="str">
        <f aca="false">IF($B1837="","",IFERROR(INDEX(고객사!$K$5:$K$104,MATCH($B1837,고객사!$A$5:$A$104,0)),0))</f>
        <v/>
      </c>
      <c r="Q1837" s="22" t="str">
        <f aca="false">IF($B1837="","",G1837*P1837)</f>
        <v/>
      </c>
      <c r="R1837" s="22" t="str">
        <f aca="false">IF($B1837="","",O1837-Q1837-L1837)</f>
        <v/>
      </c>
      <c r="S1837" s="21" t="str">
        <f aca="false">IF(OR($B1837="",N(O1837)=0),"",R1837/O1837)</f>
        <v/>
      </c>
      <c r="T1837" s="14"/>
      <c r="U1837" s="19" t="n">
        <f aca="false">IF(OR($B1837="",$A1837=""),0,IF(COUNTIFS($A$5:$A1837,$A1837,$B$5:$B1837,$B1837)=1,1,0))</f>
        <v>0</v>
      </c>
    </row>
    <row r="1838" customFormat="false" ht="15" hidden="false" customHeight="false" outlineLevel="0" collapsed="false">
      <c r="A1838" s="17"/>
      <c r="B1838" s="13"/>
      <c r="C1838" s="20" t="str">
        <f aca="false">IF($B1838="","",IFERROR(INDEX(고객사!$B$5:$B$104,MATCH($B1838,고객사!$A$5:$A$104,0)),"코드 확인"))</f>
        <v/>
      </c>
      <c r="D1838" s="15"/>
      <c r="E1838" s="15"/>
      <c r="F1838" s="16"/>
      <c r="G1838" s="16"/>
      <c r="H1838" s="21" t="str">
        <f aca="false">IF(OR($B1838="",F1838=0),"",G1838/F1838)</f>
        <v/>
      </c>
      <c r="I1838" s="22" t="str">
        <f aca="false">IF($B1838="","",MAX(F1838-G1838,0))</f>
        <v/>
      </c>
      <c r="J1838" s="23" t="str">
        <f aca="false">IF($B1838="","",IFERROR(INDEX(고객사!$G$5:$G$104,MATCH($B1838,고객사!$A$5:$A$104,0)),""))</f>
        <v/>
      </c>
      <c r="K1838" s="16"/>
      <c r="L1838" s="22" t="str">
        <f aca="false">IF($B1838="","",K1838*IFERROR(INDEX(고객사!$L$5:$L$104,MATCH($B1838,고객사!$A$5:$A$104,0)),0))</f>
        <v/>
      </c>
      <c r="M1838" s="23" t="str">
        <f aca="false">IF($B1838="","",IF(AND(J1838="N",G1838&gt;0,K1838=0,IFERROR(INDEX(고객사!$H$5:$H$104,MATCH($B1838,고객사!$A$5:$A$104,0)),"")="자사 차량 운행"),"차량 미배정",""))</f>
        <v/>
      </c>
      <c r="N1838" s="22" t="str">
        <f aca="false">IF($B1838="","",IFERROR(INDEX(고객사!$J$5:$J$104,MATCH($B1838,고객사!$A$5:$A$104,0)),0))</f>
        <v/>
      </c>
      <c r="O1838" s="22" t="str">
        <f aca="false">IF($B1838="","",G1838*N1838)</f>
        <v/>
      </c>
      <c r="P1838" s="22" t="str">
        <f aca="false">IF($B1838="","",IFERROR(INDEX(고객사!$K$5:$K$104,MATCH($B1838,고객사!$A$5:$A$104,0)),0))</f>
        <v/>
      </c>
      <c r="Q1838" s="22" t="str">
        <f aca="false">IF($B1838="","",G1838*P1838)</f>
        <v/>
      </c>
      <c r="R1838" s="22" t="str">
        <f aca="false">IF($B1838="","",O1838-Q1838-L1838)</f>
        <v/>
      </c>
      <c r="S1838" s="21" t="str">
        <f aca="false">IF(OR($B1838="",N(O1838)=0),"",R1838/O1838)</f>
        <v/>
      </c>
      <c r="T1838" s="14"/>
      <c r="U1838" s="19" t="n">
        <f aca="false">IF(OR($B1838="",$A1838=""),0,IF(COUNTIFS($A$5:$A1838,$A1838,$B$5:$B1838,$B1838)=1,1,0))</f>
        <v>0</v>
      </c>
    </row>
    <row r="1839" customFormat="false" ht="15" hidden="false" customHeight="false" outlineLevel="0" collapsed="false">
      <c r="A1839" s="17"/>
      <c r="B1839" s="13"/>
      <c r="C1839" s="20" t="str">
        <f aca="false">IF($B1839="","",IFERROR(INDEX(고객사!$B$5:$B$104,MATCH($B1839,고객사!$A$5:$A$104,0)),"코드 확인"))</f>
        <v/>
      </c>
      <c r="D1839" s="15"/>
      <c r="E1839" s="15"/>
      <c r="F1839" s="16"/>
      <c r="G1839" s="16"/>
      <c r="H1839" s="21" t="str">
        <f aca="false">IF(OR($B1839="",F1839=0),"",G1839/F1839)</f>
        <v/>
      </c>
      <c r="I1839" s="22" t="str">
        <f aca="false">IF($B1839="","",MAX(F1839-G1839,0))</f>
        <v/>
      </c>
      <c r="J1839" s="23" t="str">
        <f aca="false">IF($B1839="","",IFERROR(INDEX(고객사!$G$5:$G$104,MATCH($B1839,고객사!$A$5:$A$104,0)),""))</f>
        <v/>
      </c>
      <c r="K1839" s="16"/>
      <c r="L1839" s="22" t="str">
        <f aca="false">IF($B1839="","",K1839*IFERROR(INDEX(고객사!$L$5:$L$104,MATCH($B1839,고객사!$A$5:$A$104,0)),0))</f>
        <v/>
      </c>
      <c r="M1839" s="23" t="str">
        <f aca="false">IF($B1839="","",IF(AND(J1839="N",G1839&gt;0,K1839=0,IFERROR(INDEX(고객사!$H$5:$H$104,MATCH($B1839,고객사!$A$5:$A$104,0)),"")="자사 차량 운행"),"차량 미배정",""))</f>
        <v/>
      </c>
      <c r="N1839" s="22" t="str">
        <f aca="false">IF($B1839="","",IFERROR(INDEX(고객사!$J$5:$J$104,MATCH($B1839,고객사!$A$5:$A$104,0)),0))</f>
        <v/>
      </c>
      <c r="O1839" s="22" t="str">
        <f aca="false">IF($B1839="","",G1839*N1839)</f>
        <v/>
      </c>
      <c r="P1839" s="22" t="str">
        <f aca="false">IF($B1839="","",IFERROR(INDEX(고객사!$K$5:$K$104,MATCH($B1839,고객사!$A$5:$A$104,0)),0))</f>
        <v/>
      </c>
      <c r="Q1839" s="22" t="str">
        <f aca="false">IF($B1839="","",G1839*P1839)</f>
        <v/>
      </c>
      <c r="R1839" s="22" t="str">
        <f aca="false">IF($B1839="","",O1839-Q1839-L1839)</f>
        <v/>
      </c>
      <c r="S1839" s="21" t="str">
        <f aca="false">IF(OR($B1839="",N(O1839)=0),"",R1839/O1839)</f>
        <v/>
      </c>
      <c r="T1839" s="14"/>
      <c r="U1839" s="19" t="n">
        <f aca="false">IF(OR($B1839="",$A1839=""),0,IF(COUNTIFS($A$5:$A1839,$A1839,$B$5:$B1839,$B1839)=1,1,0))</f>
        <v>0</v>
      </c>
    </row>
    <row r="1840" customFormat="false" ht="15" hidden="false" customHeight="false" outlineLevel="0" collapsed="false">
      <c r="A1840" s="17"/>
      <c r="B1840" s="13"/>
      <c r="C1840" s="20" t="str">
        <f aca="false">IF($B1840="","",IFERROR(INDEX(고객사!$B$5:$B$104,MATCH($B1840,고객사!$A$5:$A$104,0)),"코드 확인"))</f>
        <v/>
      </c>
      <c r="D1840" s="15"/>
      <c r="E1840" s="15"/>
      <c r="F1840" s="16"/>
      <c r="G1840" s="16"/>
      <c r="H1840" s="21" t="str">
        <f aca="false">IF(OR($B1840="",F1840=0),"",G1840/F1840)</f>
        <v/>
      </c>
      <c r="I1840" s="22" t="str">
        <f aca="false">IF($B1840="","",MAX(F1840-G1840,0))</f>
        <v/>
      </c>
      <c r="J1840" s="23" t="str">
        <f aca="false">IF($B1840="","",IFERROR(INDEX(고객사!$G$5:$G$104,MATCH($B1840,고객사!$A$5:$A$104,0)),""))</f>
        <v/>
      </c>
      <c r="K1840" s="16"/>
      <c r="L1840" s="22" t="str">
        <f aca="false">IF($B1840="","",K1840*IFERROR(INDEX(고객사!$L$5:$L$104,MATCH($B1840,고객사!$A$5:$A$104,0)),0))</f>
        <v/>
      </c>
      <c r="M1840" s="23" t="str">
        <f aca="false">IF($B1840="","",IF(AND(J1840="N",G1840&gt;0,K1840=0,IFERROR(INDEX(고객사!$H$5:$H$104,MATCH($B1840,고객사!$A$5:$A$104,0)),"")="자사 차량 운행"),"차량 미배정",""))</f>
        <v/>
      </c>
      <c r="N1840" s="22" t="str">
        <f aca="false">IF($B1840="","",IFERROR(INDEX(고객사!$J$5:$J$104,MATCH($B1840,고객사!$A$5:$A$104,0)),0))</f>
        <v/>
      </c>
      <c r="O1840" s="22" t="str">
        <f aca="false">IF($B1840="","",G1840*N1840)</f>
        <v/>
      </c>
      <c r="P1840" s="22" t="str">
        <f aca="false">IF($B1840="","",IFERROR(INDEX(고객사!$K$5:$K$104,MATCH($B1840,고객사!$A$5:$A$104,0)),0))</f>
        <v/>
      </c>
      <c r="Q1840" s="22" t="str">
        <f aca="false">IF($B1840="","",G1840*P1840)</f>
        <v/>
      </c>
      <c r="R1840" s="22" t="str">
        <f aca="false">IF($B1840="","",O1840-Q1840-L1840)</f>
        <v/>
      </c>
      <c r="S1840" s="21" t="str">
        <f aca="false">IF(OR($B1840="",N(O1840)=0),"",R1840/O1840)</f>
        <v/>
      </c>
      <c r="T1840" s="14"/>
      <c r="U1840" s="19" t="n">
        <f aca="false">IF(OR($B1840="",$A1840=""),0,IF(COUNTIFS($A$5:$A1840,$A1840,$B$5:$B1840,$B1840)=1,1,0))</f>
        <v>0</v>
      </c>
    </row>
    <row r="1841" customFormat="false" ht="15" hidden="false" customHeight="false" outlineLevel="0" collapsed="false">
      <c r="A1841" s="17"/>
      <c r="B1841" s="13"/>
      <c r="C1841" s="20" t="str">
        <f aca="false">IF($B1841="","",IFERROR(INDEX(고객사!$B$5:$B$104,MATCH($B1841,고객사!$A$5:$A$104,0)),"코드 확인"))</f>
        <v/>
      </c>
      <c r="D1841" s="15"/>
      <c r="E1841" s="15"/>
      <c r="F1841" s="16"/>
      <c r="G1841" s="16"/>
      <c r="H1841" s="21" t="str">
        <f aca="false">IF(OR($B1841="",F1841=0),"",G1841/F1841)</f>
        <v/>
      </c>
      <c r="I1841" s="22" t="str">
        <f aca="false">IF($B1841="","",MAX(F1841-G1841,0))</f>
        <v/>
      </c>
      <c r="J1841" s="23" t="str">
        <f aca="false">IF($B1841="","",IFERROR(INDEX(고객사!$G$5:$G$104,MATCH($B1841,고객사!$A$5:$A$104,0)),""))</f>
        <v/>
      </c>
      <c r="K1841" s="16"/>
      <c r="L1841" s="22" t="str">
        <f aca="false">IF($B1841="","",K1841*IFERROR(INDEX(고객사!$L$5:$L$104,MATCH($B1841,고객사!$A$5:$A$104,0)),0))</f>
        <v/>
      </c>
      <c r="M1841" s="23" t="str">
        <f aca="false">IF($B1841="","",IF(AND(J1841="N",G1841&gt;0,K1841=0,IFERROR(INDEX(고객사!$H$5:$H$104,MATCH($B1841,고객사!$A$5:$A$104,0)),"")="자사 차량 운행"),"차량 미배정",""))</f>
        <v/>
      </c>
      <c r="N1841" s="22" t="str">
        <f aca="false">IF($B1841="","",IFERROR(INDEX(고객사!$J$5:$J$104,MATCH($B1841,고객사!$A$5:$A$104,0)),0))</f>
        <v/>
      </c>
      <c r="O1841" s="22" t="str">
        <f aca="false">IF($B1841="","",G1841*N1841)</f>
        <v/>
      </c>
      <c r="P1841" s="22" t="str">
        <f aca="false">IF($B1841="","",IFERROR(INDEX(고객사!$K$5:$K$104,MATCH($B1841,고객사!$A$5:$A$104,0)),0))</f>
        <v/>
      </c>
      <c r="Q1841" s="22" t="str">
        <f aca="false">IF($B1841="","",G1841*P1841)</f>
        <v/>
      </c>
      <c r="R1841" s="22" t="str">
        <f aca="false">IF($B1841="","",O1841-Q1841-L1841)</f>
        <v/>
      </c>
      <c r="S1841" s="21" t="str">
        <f aca="false">IF(OR($B1841="",N(O1841)=0),"",R1841/O1841)</f>
        <v/>
      </c>
      <c r="T1841" s="14"/>
      <c r="U1841" s="19" t="n">
        <f aca="false">IF(OR($B1841="",$A1841=""),0,IF(COUNTIFS($A$5:$A1841,$A1841,$B$5:$B1841,$B1841)=1,1,0))</f>
        <v>0</v>
      </c>
    </row>
    <row r="1842" customFormat="false" ht="15" hidden="false" customHeight="false" outlineLevel="0" collapsed="false">
      <c r="A1842" s="17"/>
      <c r="B1842" s="13"/>
      <c r="C1842" s="20" t="str">
        <f aca="false">IF($B1842="","",IFERROR(INDEX(고객사!$B$5:$B$104,MATCH($B1842,고객사!$A$5:$A$104,0)),"코드 확인"))</f>
        <v/>
      </c>
      <c r="D1842" s="15"/>
      <c r="E1842" s="15"/>
      <c r="F1842" s="16"/>
      <c r="G1842" s="16"/>
      <c r="H1842" s="21" t="str">
        <f aca="false">IF(OR($B1842="",F1842=0),"",G1842/F1842)</f>
        <v/>
      </c>
      <c r="I1842" s="22" t="str">
        <f aca="false">IF($B1842="","",MAX(F1842-G1842,0))</f>
        <v/>
      </c>
      <c r="J1842" s="23" t="str">
        <f aca="false">IF($B1842="","",IFERROR(INDEX(고객사!$G$5:$G$104,MATCH($B1842,고객사!$A$5:$A$104,0)),""))</f>
        <v/>
      </c>
      <c r="K1842" s="16"/>
      <c r="L1842" s="22" t="str">
        <f aca="false">IF($B1842="","",K1842*IFERROR(INDEX(고객사!$L$5:$L$104,MATCH($B1842,고객사!$A$5:$A$104,0)),0))</f>
        <v/>
      </c>
      <c r="M1842" s="23" t="str">
        <f aca="false">IF($B1842="","",IF(AND(J1842="N",G1842&gt;0,K1842=0,IFERROR(INDEX(고객사!$H$5:$H$104,MATCH($B1842,고객사!$A$5:$A$104,0)),"")="자사 차량 운행"),"차량 미배정",""))</f>
        <v/>
      </c>
      <c r="N1842" s="22" t="str">
        <f aca="false">IF($B1842="","",IFERROR(INDEX(고객사!$J$5:$J$104,MATCH($B1842,고객사!$A$5:$A$104,0)),0))</f>
        <v/>
      </c>
      <c r="O1842" s="22" t="str">
        <f aca="false">IF($B1842="","",G1842*N1842)</f>
        <v/>
      </c>
      <c r="P1842" s="22" t="str">
        <f aca="false">IF($B1842="","",IFERROR(INDEX(고객사!$K$5:$K$104,MATCH($B1842,고객사!$A$5:$A$104,0)),0))</f>
        <v/>
      </c>
      <c r="Q1842" s="22" t="str">
        <f aca="false">IF($B1842="","",G1842*P1842)</f>
        <v/>
      </c>
      <c r="R1842" s="22" t="str">
        <f aca="false">IF($B1842="","",O1842-Q1842-L1842)</f>
        <v/>
      </c>
      <c r="S1842" s="21" t="str">
        <f aca="false">IF(OR($B1842="",N(O1842)=0),"",R1842/O1842)</f>
        <v/>
      </c>
      <c r="T1842" s="14"/>
      <c r="U1842" s="19" t="n">
        <f aca="false">IF(OR($B1842="",$A1842=""),0,IF(COUNTIFS($A$5:$A1842,$A1842,$B$5:$B1842,$B1842)=1,1,0))</f>
        <v>0</v>
      </c>
    </row>
    <row r="1843" customFormat="false" ht="15" hidden="false" customHeight="false" outlineLevel="0" collapsed="false">
      <c r="A1843" s="17"/>
      <c r="B1843" s="13"/>
      <c r="C1843" s="20" t="str">
        <f aca="false">IF($B1843="","",IFERROR(INDEX(고객사!$B$5:$B$104,MATCH($B1843,고객사!$A$5:$A$104,0)),"코드 확인"))</f>
        <v/>
      </c>
      <c r="D1843" s="15"/>
      <c r="E1843" s="15"/>
      <c r="F1843" s="16"/>
      <c r="G1843" s="16"/>
      <c r="H1843" s="21" t="str">
        <f aca="false">IF(OR($B1843="",F1843=0),"",G1843/F1843)</f>
        <v/>
      </c>
      <c r="I1843" s="22" t="str">
        <f aca="false">IF($B1843="","",MAX(F1843-G1843,0))</f>
        <v/>
      </c>
      <c r="J1843" s="23" t="str">
        <f aca="false">IF($B1843="","",IFERROR(INDEX(고객사!$G$5:$G$104,MATCH($B1843,고객사!$A$5:$A$104,0)),""))</f>
        <v/>
      </c>
      <c r="K1843" s="16"/>
      <c r="L1843" s="22" t="str">
        <f aca="false">IF($B1843="","",K1843*IFERROR(INDEX(고객사!$L$5:$L$104,MATCH($B1843,고객사!$A$5:$A$104,0)),0))</f>
        <v/>
      </c>
      <c r="M1843" s="23" t="str">
        <f aca="false">IF($B1843="","",IF(AND(J1843="N",G1843&gt;0,K1843=0,IFERROR(INDEX(고객사!$H$5:$H$104,MATCH($B1843,고객사!$A$5:$A$104,0)),"")="자사 차량 운행"),"차량 미배정",""))</f>
        <v/>
      </c>
      <c r="N1843" s="22" t="str">
        <f aca="false">IF($B1843="","",IFERROR(INDEX(고객사!$J$5:$J$104,MATCH($B1843,고객사!$A$5:$A$104,0)),0))</f>
        <v/>
      </c>
      <c r="O1843" s="22" t="str">
        <f aca="false">IF($B1843="","",G1843*N1843)</f>
        <v/>
      </c>
      <c r="P1843" s="22" t="str">
        <f aca="false">IF($B1843="","",IFERROR(INDEX(고객사!$K$5:$K$104,MATCH($B1843,고객사!$A$5:$A$104,0)),0))</f>
        <v/>
      </c>
      <c r="Q1843" s="22" t="str">
        <f aca="false">IF($B1843="","",G1843*P1843)</f>
        <v/>
      </c>
      <c r="R1843" s="22" t="str">
        <f aca="false">IF($B1843="","",O1843-Q1843-L1843)</f>
        <v/>
      </c>
      <c r="S1843" s="21" t="str">
        <f aca="false">IF(OR($B1843="",N(O1843)=0),"",R1843/O1843)</f>
        <v/>
      </c>
      <c r="T1843" s="14"/>
      <c r="U1843" s="19" t="n">
        <f aca="false">IF(OR($B1843="",$A1843=""),0,IF(COUNTIFS($A$5:$A1843,$A1843,$B$5:$B1843,$B1843)=1,1,0))</f>
        <v>0</v>
      </c>
    </row>
    <row r="1844" customFormat="false" ht="15" hidden="false" customHeight="false" outlineLevel="0" collapsed="false">
      <c r="A1844" s="17"/>
      <c r="B1844" s="13"/>
      <c r="C1844" s="20" t="str">
        <f aca="false">IF($B1844="","",IFERROR(INDEX(고객사!$B$5:$B$104,MATCH($B1844,고객사!$A$5:$A$104,0)),"코드 확인"))</f>
        <v/>
      </c>
      <c r="D1844" s="15"/>
      <c r="E1844" s="15"/>
      <c r="F1844" s="16"/>
      <c r="G1844" s="16"/>
      <c r="H1844" s="21" t="str">
        <f aca="false">IF(OR($B1844="",F1844=0),"",G1844/F1844)</f>
        <v/>
      </c>
      <c r="I1844" s="22" t="str">
        <f aca="false">IF($B1844="","",MAX(F1844-G1844,0))</f>
        <v/>
      </c>
      <c r="J1844" s="23" t="str">
        <f aca="false">IF($B1844="","",IFERROR(INDEX(고객사!$G$5:$G$104,MATCH($B1844,고객사!$A$5:$A$104,0)),""))</f>
        <v/>
      </c>
      <c r="K1844" s="16"/>
      <c r="L1844" s="22" t="str">
        <f aca="false">IF($B1844="","",K1844*IFERROR(INDEX(고객사!$L$5:$L$104,MATCH($B1844,고객사!$A$5:$A$104,0)),0))</f>
        <v/>
      </c>
      <c r="M1844" s="23" t="str">
        <f aca="false">IF($B1844="","",IF(AND(J1844="N",G1844&gt;0,K1844=0,IFERROR(INDEX(고객사!$H$5:$H$104,MATCH($B1844,고객사!$A$5:$A$104,0)),"")="자사 차량 운행"),"차량 미배정",""))</f>
        <v/>
      </c>
      <c r="N1844" s="22" t="str">
        <f aca="false">IF($B1844="","",IFERROR(INDEX(고객사!$J$5:$J$104,MATCH($B1844,고객사!$A$5:$A$104,0)),0))</f>
        <v/>
      </c>
      <c r="O1844" s="22" t="str">
        <f aca="false">IF($B1844="","",G1844*N1844)</f>
        <v/>
      </c>
      <c r="P1844" s="22" t="str">
        <f aca="false">IF($B1844="","",IFERROR(INDEX(고객사!$K$5:$K$104,MATCH($B1844,고객사!$A$5:$A$104,0)),0))</f>
        <v/>
      </c>
      <c r="Q1844" s="22" t="str">
        <f aca="false">IF($B1844="","",G1844*P1844)</f>
        <v/>
      </c>
      <c r="R1844" s="22" t="str">
        <f aca="false">IF($B1844="","",O1844-Q1844-L1844)</f>
        <v/>
      </c>
      <c r="S1844" s="21" t="str">
        <f aca="false">IF(OR($B1844="",N(O1844)=0),"",R1844/O1844)</f>
        <v/>
      </c>
      <c r="T1844" s="14"/>
      <c r="U1844" s="19" t="n">
        <f aca="false">IF(OR($B1844="",$A1844=""),0,IF(COUNTIFS($A$5:$A1844,$A1844,$B$5:$B1844,$B1844)=1,1,0))</f>
        <v>0</v>
      </c>
    </row>
    <row r="1845" customFormat="false" ht="15" hidden="false" customHeight="false" outlineLevel="0" collapsed="false">
      <c r="A1845" s="17"/>
      <c r="B1845" s="13"/>
      <c r="C1845" s="20" t="str">
        <f aca="false">IF($B1845="","",IFERROR(INDEX(고객사!$B$5:$B$104,MATCH($B1845,고객사!$A$5:$A$104,0)),"코드 확인"))</f>
        <v/>
      </c>
      <c r="D1845" s="15"/>
      <c r="E1845" s="15"/>
      <c r="F1845" s="16"/>
      <c r="G1845" s="16"/>
      <c r="H1845" s="21" t="str">
        <f aca="false">IF(OR($B1845="",F1845=0),"",G1845/F1845)</f>
        <v/>
      </c>
      <c r="I1845" s="22" t="str">
        <f aca="false">IF($B1845="","",MAX(F1845-G1845,0))</f>
        <v/>
      </c>
      <c r="J1845" s="23" t="str">
        <f aca="false">IF($B1845="","",IFERROR(INDEX(고객사!$G$5:$G$104,MATCH($B1845,고객사!$A$5:$A$104,0)),""))</f>
        <v/>
      </c>
      <c r="K1845" s="16"/>
      <c r="L1845" s="22" t="str">
        <f aca="false">IF($B1845="","",K1845*IFERROR(INDEX(고객사!$L$5:$L$104,MATCH($B1845,고객사!$A$5:$A$104,0)),0))</f>
        <v/>
      </c>
      <c r="M1845" s="23" t="str">
        <f aca="false">IF($B1845="","",IF(AND(J1845="N",G1845&gt;0,K1845=0,IFERROR(INDEX(고객사!$H$5:$H$104,MATCH($B1845,고객사!$A$5:$A$104,0)),"")="자사 차량 운행"),"차량 미배정",""))</f>
        <v/>
      </c>
      <c r="N1845" s="22" t="str">
        <f aca="false">IF($B1845="","",IFERROR(INDEX(고객사!$J$5:$J$104,MATCH($B1845,고객사!$A$5:$A$104,0)),0))</f>
        <v/>
      </c>
      <c r="O1845" s="22" t="str">
        <f aca="false">IF($B1845="","",G1845*N1845)</f>
        <v/>
      </c>
      <c r="P1845" s="22" t="str">
        <f aca="false">IF($B1845="","",IFERROR(INDEX(고객사!$K$5:$K$104,MATCH($B1845,고객사!$A$5:$A$104,0)),0))</f>
        <v/>
      </c>
      <c r="Q1845" s="22" t="str">
        <f aca="false">IF($B1845="","",G1845*P1845)</f>
        <v/>
      </c>
      <c r="R1845" s="22" t="str">
        <f aca="false">IF($B1845="","",O1845-Q1845-L1845)</f>
        <v/>
      </c>
      <c r="S1845" s="21" t="str">
        <f aca="false">IF(OR($B1845="",N(O1845)=0),"",R1845/O1845)</f>
        <v/>
      </c>
      <c r="T1845" s="14"/>
      <c r="U1845" s="19" t="n">
        <f aca="false">IF(OR($B1845="",$A1845=""),0,IF(COUNTIFS($A$5:$A1845,$A1845,$B$5:$B1845,$B1845)=1,1,0))</f>
        <v>0</v>
      </c>
    </row>
    <row r="1846" customFormat="false" ht="15" hidden="false" customHeight="false" outlineLevel="0" collapsed="false">
      <c r="A1846" s="17"/>
      <c r="B1846" s="13"/>
      <c r="C1846" s="20" t="str">
        <f aca="false">IF($B1846="","",IFERROR(INDEX(고객사!$B$5:$B$104,MATCH($B1846,고객사!$A$5:$A$104,0)),"코드 확인"))</f>
        <v/>
      </c>
      <c r="D1846" s="15"/>
      <c r="E1846" s="15"/>
      <c r="F1846" s="16"/>
      <c r="G1846" s="16"/>
      <c r="H1846" s="21" t="str">
        <f aca="false">IF(OR($B1846="",F1846=0),"",G1846/F1846)</f>
        <v/>
      </c>
      <c r="I1846" s="22" t="str">
        <f aca="false">IF($B1846="","",MAX(F1846-G1846,0))</f>
        <v/>
      </c>
      <c r="J1846" s="23" t="str">
        <f aca="false">IF($B1846="","",IFERROR(INDEX(고객사!$G$5:$G$104,MATCH($B1846,고객사!$A$5:$A$104,0)),""))</f>
        <v/>
      </c>
      <c r="K1846" s="16"/>
      <c r="L1846" s="22" t="str">
        <f aca="false">IF($B1846="","",K1846*IFERROR(INDEX(고객사!$L$5:$L$104,MATCH($B1846,고객사!$A$5:$A$104,0)),0))</f>
        <v/>
      </c>
      <c r="M1846" s="23" t="str">
        <f aca="false">IF($B1846="","",IF(AND(J1846="N",G1846&gt;0,K1846=0,IFERROR(INDEX(고객사!$H$5:$H$104,MATCH($B1846,고객사!$A$5:$A$104,0)),"")="자사 차량 운행"),"차량 미배정",""))</f>
        <v/>
      </c>
      <c r="N1846" s="22" t="str">
        <f aca="false">IF($B1846="","",IFERROR(INDEX(고객사!$J$5:$J$104,MATCH($B1846,고객사!$A$5:$A$104,0)),0))</f>
        <v/>
      </c>
      <c r="O1846" s="22" t="str">
        <f aca="false">IF($B1846="","",G1846*N1846)</f>
        <v/>
      </c>
      <c r="P1846" s="22" t="str">
        <f aca="false">IF($B1846="","",IFERROR(INDEX(고객사!$K$5:$K$104,MATCH($B1846,고객사!$A$5:$A$104,0)),0))</f>
        <v/>
      </c>
      <c r="Q1846" s="22" t="str">
        <f aca="false">IF($B1846="","",G1846*P1846)</f>
        <v/>
      </c>
      <c r="R1846" s="22" t="str">
        <f aca="false">IF($B1846="","",O1846-Q1846-L1846)</f>
        <v/>
      </c>
      <c r="S1846" s="21" t="str">
        <f aca="false">IF(OR($B1846="",N(O1846)=0),"",R1846/O1846)</f>
        <v/>
      </c>
      <c r="T1846" s="14"/>
      <c r="U1846" s="19" t="n">
        <f aca="false">IF(OR($B1846="",$A1846=""),0,IF(COUNTIFS($A$5:$A1846,$A1846,$B$5:$B1846,$B1846)=1,1,0))</f>
        <v>0</v>
      </c>
    </row>
    <row r="1847" customFormat="false" ht="15" hidden="false" customHeight="false" outlineLevel="0" collapsed="false">
      <c r="A1847" s="17"/>
      <c r="B1847" s="13"/>
      <c r="C1847" s="20" t="str">
        <f aca="false">IF($B1847="","",IFERROR(INDEX(고객사!$B$5:$B$104,MATCH($B1847,고객사!$A$5:$A$104,0)),"코드 확인"))</f>
        <v/>
      </c>
      <c r="D1847" s="15"/>
      <c r="E1847" s="15"/>
      <c r="F1847" s="16"/>
      <c r="G1847" s="16"/>
      <c r="H1847" s="21" t="str">
        <f aca="false">IF(OR($B1847="",F1847=0),"",G1847/F1847)</f>
        <v/>
      </c>
      <c r="I1847" s="22" t="str">
        <f aca="false">IF($B1847="","",MAX(F1847-G1847,0))</f>
        <v/>
      </c>
      <c r="J1847" s="23" t="str">
        <f aca="false">IF($B1847="","",IFERROR(INDEX(고객사!$G$5:$G$104,MATCH($B1847,고객사!$A$5:$A$104,0)),""))</f>
        <v/>
      </c>
      <c r="K1847" s="16"/>
      <c r="L1847" s="22" t="str">
        <f aca="false">IF($B1847="","",K1847*IFERROR(INDEX(고객사!$L$5:$L$104,MATCH($B1847,고객사!$A$5:$A$104,0)),0))</f>
        <v/>
      </c>
      <c r="M1847" s="23" t="str">
        <f aca="false">IF($B1847="","",IF(AND(J1847="N",G1847&gt;0,K1847=0,IFERROR(INDEX(고객사!$H$5:$H$104,MATCH($B1847,고객사!$A$5:$A$104,0)),"")="자사 차량 운행"),"차량 미배정",""))</f>
        <v/>
      </c>
      <c r="N1847" s="22" t="str">
        <f aca="false">IF($B1847="","",IFERROR(INDEX(고객사!$J$5:$J$104,MATCH($B1847,고객사!$A$5:$A$104,0)),0))</f>
        <v/>
      </c>
      <c r="O1847" s="22" t="str">
        <f aca="false">IF($B1847="","",G1847*N1847)</f>
        <v/>
      </c>
      <c r="P1847" s="22" t="str">
        <f aca="false">IF($B1847="","",IFERROR(INDEX(고객사!$K$5:$K$104,MATCH($B1847,고객사!$A$5:$A$104,0)),0))</f>
        <v/>
      </c>
      <c r="Q1847" s="22" t="str">
        <f aca="false">IF($B1847="","",G1847*P1847)</f>
        <v/>
      </c>
      <c r="R1847" s="22" t="str">
        <f aca="false">IF($B1847="","",O1847-Q1847-L1847)</f>
        <v/>
      </c>
      <c r="S1847" s="21" t="str">
        <f aca="false">IF(OR($B1847="",N(O1847)=0),"",R1847/O1847)</f>
        <v/>
      </c>
      <c r="T1847" s="14"/>
      <c r="U1847" s="19" t="n">
        <f aca="false">IF(OR($B1847="",$A1847=""),0,IF(COUNTIFS($A$5:$A1847,$A1847,$B$5:$B1847,$B1847)=1,1,0))</f>
        <v>0</v>
      </c>
    </row>
    <row r="1848" customFormat="false" ht="15" hidden="false" customHeight="false" outlineLevel="0" collapsed="false">
      <c r="A1848" s="17"/>
      <c r="B1848" s="13"/>
      <c r="C1848" s="20" t="str">
        <f aca="false">IF($B1848="","",IFERROR(INDEX(고객사!$B$5:$B$104,MATCH($B1848,고객사!$A$5:$A$104,0)),"코드 확인"))</f>
        <v/>
      </c>
      <c r="D1848" s="15"/>
      <c r="E1848" s="15"/>
      <c r="F1848" s="16"/>
      <c r="G1848" s="16"/>
      <c r="H1848" s="21" t="str">
        <f aca="false">IF(OR($B1848="",F1848=0),"",G1848/F1848)</f>
        <v/>
      </c>
      <c r="I1848" s="22" t="str">
        <f aca="false">IF($B1848="","",MAX(F1848-G1848,0))</f>
        <v/>
      </c>
      <c r="J1848" s="23" t="str">
        <f aca="false">IF($B1848="","",IFERROR(INDEX(고객사!$G$5:$G$104,MATCH($B1848,고객사!$A$5:$A$104,0)),""))</f>
        <v/>
      </c>
      <c r="K1848" s="16"/>
      <c r="L1848" s="22" t="str">
        <f aca="false">IF($B1848="","",K1848*IFERROR(INDEX(고객사!$L$5:$L$104,MATCH($B1848,고객사!$A$5:$A$104,0)),0))</f>
        <v/>
      </c>
      <c r="M1848" s="23" t="str">
        <f aca="false">IF($B1848="","",IF(AND(J1848="N",G1848&gt;0,K1848=0,IFERROR(INDEX(고객사!$H$5:$H$104,MATCH($B1848,고객사!$A$5:$A$104,0)),"")="자사 차량 운행"),"차량 미배정",""))</f>
        <v/>
      </c>
      <c r="N1848" s="22" t="str">
        <f aca="false">IF($B1848="","",IFERROR(INDEX(고객사!$J$5:$J$104,MATCH($B1848,고객사!$A$5:$A$104,0)),0))</f>
        <v/>
      </c>
      <c r="O1848" s="22" t="str">
        <f aca="false">IF($B1848="","",G1848*N1848)</f>
        <v/>
      </c>
      <c r="P1848" s="22" t="str">
        <f aca="false">IF($B1848="","",IFERROR(INDEX(고객사!$K$5:$K$104,MATCH($B1848,고객사!$A$5:$A$104,0)),0))</f>
        <v/>
      </c>
      <c r="Q1848" s="22" t="str">
        <f aca="false">IF($B1848="","",G1848*P1848)</f>
        <v/>
      </c>
      <c r="R1848" s="22" t="str">
        <f aca="false">IF($B1848="","",O1848-Q1848-L1848)</f>
        <v/>
      </c>
      <c r="S1848" s="21" t="str">
        <f aca="false">IF(OR($B1848="",N(O1848)=0),"",R1848/O1848)</f>
        <v/>
      </c>
      <c r="T1848" s="14"/>
      <c r="U1848" s="19" t="n">
        <f aca="false">IF(OR($B1848="",$A1848=""),0,IF(COUNTIFS($A$5:$A1848,$A1848,$B$5:$B1848,$B1848)=1,1,0))</f>
        <v>0</v>
      </c>
    </row>
    <row r="1849" customFormat="false" ht="15" hidden="false" customHeight="false" outlineLevel="0" collapsed="false">
      <c r="A1849" s="17"/>
      <c r="B1849" s="13"/>
      <c r="C1849" s="20" t="str">
        <f aca="false">IF($B1849="","",IFERROR(INDEX(고객사!$B$5:$B$104,MATCH($B1849,고객사!$A$5:$A$104,0)),"코드 확인"))</f>
        <v/>
      </c>
      <c r="D1849" s="15"/>
      <c r="E1849" s="15"/>
      <c r="F1849" s="16"/>
      <c r="G1849" s="16"/>
      <c r="H1849" s="21" t="str">
        <f aca="false">IF(OR($B1849="",F1849=0),"",G1849/F1849)</f>
        <v/>
      </c>
      <c r="I1849" s="22" t="str">
        <f aca="false">IF($B1849="","",MAX(F1849-G1849,0))</f>
        <v/>
      </c>
      <c r="J1849" s="23" t="str">
        <f aca="false">IF($B1849="","",IFERROR(INDEX(고객사!$G$5:$G$104,MATCH($B1849,고객사!$A$5:$A$104,0)),""))</f>
        <v/>
      </c>
      <c r="K1849" s="16"/>
      <c r="L1849" s="22" t="str">
        <f aca="false">IF($B1849="","",K1849*IFERROR(INDEX(고객사!$L$5:$L$104,MATCH($B1849,고객사!$A$5:$A$104,0)),0))</f>
        <v/>
      </c>
      <c r="M1849" s="23" t="str">
        <f aca="false">IF($B1849="","",IF(AND(J1849="N",G1849&gt;0,K1849=0,IFERROR(INDEX(고객사!$H$5:$H$104,MATCH($B1849,고객사!$A$5:$A$104,0)),"")="자사 차량 운행"),"차량 미배정",""))</f>
        <v/>
      </c>
      <c r="N1849" s="22" t="str">
        <f aca="false">IF($B1849="","",IFERROR(INDEX(고객사!$J$5:$J$104,MATCH($B1849,고객사!$A$5:$A$104,0)),0))</f>
        <v/>
      </c>
      <c r="O1849" s="22" t="str">
        <f aca="false">IF($B1849="","",G1849*N1849)</f>
        <v/>
      </c>
      <c r="P1849" s="22" t="str">
        <f aca="false">IF($B1849="","",IFERROR(INDEX(고객사!$K$5:$K$104,MATCH($B1849,고객사!$A$5:$A$104,0)),0))</f>
        <v/>
      </c>
      <c r="Q1849" s="22" t="str">
        <f aca="false">IF($B1849="","",G1849*P1849)</f>
        <v/>
      </c>
      <c r="R1849" s="22" t="str">
        <f aca="false">IF($B1849="","",O1849-Q1849-L1849)</f>
        <v/>
      </c>
      <c r="S1849" s="21" t="str">
        <f aca="false">IF(OR($B1849="",N(O1849)=0),"",R1849/O1849)</f>
        <v/>
      </c>
      <c r="T1849" s="14"/>
      <c r="U1849" s="19" t="n">
        <f aca="false">IF(OR($B1849="",$A1849=""),0,IF(COUNTIFS($A$5:$A1849,$A1849,$B$5:$B1849,$B1849)=1,1,0))</f>
        <v>0</v>
      </c>
    </row>
    <row r="1850" customFormat="false" ht="15" hidden="false" customHeight="false" outlineLevel="0" collapsed="false">
      <c r="A1850" s="17"/>
      <c r="B1850" s="13"/>
      <c r="C1850" s="20" t="str">
        <f aca="false">IF($B1850="","",IFERROR(INDEX(고객사!$B$5:$B$104,MATCH($B1850,고객사!$A$5:$A$104,0)),"코드 확인"))</f>
        <v/>
      </c>
      <c r="D1850" s="15"/>
      <c r="E1850" s="15"/>
      <c r="F1850" s="16"/>
      <c r="G1850" s="16"/>
      <c r="H1850" s="21" t="str">
        <f aca="false">IF(OR($B1850="",F1850=0),"",G1850/F1850)</f>
        <v/>
      </c>
      <c r="I1850" s="22" t="str">
        <f aca="false">IF($B1850="","",MAX(F1850-G1850,0))</f>
        <v/>
      </c>
      <c r="J1850" s="23" t="str">
        <f aca="false">IF($B1850="","",IFERROR(INDEX(고객사!$G$5:$G$104,MATCH($B1850,고객사!$A$5:$A$104,0)),""))</f>
        <v/>
      </c>
      <c r="K1850" s="16"/>
      <c r="L1850" s="22" t="str">
        <f aca="false">IF($B1850="","",K1850*IFERROR(INDEX(고객사!$L$5:$L$104,MATCH($B1850,고객사!$A$5:$A$104,0)),0))</f>
        <v/>
      </c>
      <c r="M1850" s="23" t="str">
        <f aca="false">IF($B1850="","",IF(AND(J1850="N",G1850&gt;0,K1850=0,IFERROR(INDEX(고객사!$H$5:$H$104,MATCH($B1850,고객사!$A$5:$A$104,0)),"")="자사 차량 운행"),"차량 미배정",""))</f>
        <v/>
      </c>
      <c r="N1850" s="22" t="str">
        <f aca="false">IF($B1850="","",IFERROR(INDEX(고객사!$J$5:$J$104,MATCH($B1850,고객사!$A$5:$A$104,0)),0))</f>
        <v/>
      </c>
      <c r="O1850" s="22" t="str">
        <f aca="false">IF($B1850="","",G1850*N1850)</f>
        <v/>
      </c>
      <c r="P1850" s="22" t="str">
        <f aca="false">IF($B1850="","",IFERROR(INDEX(고객사!$K$5:$K$104,MATCH($B1850,고객사!$A$5:$A$104,0)),0))</f>
        <v/>
      </c>
      <c r="Q1850" s="22" t="str">
        <f aca="false">IF($B1850="","",G1850*P1850)</f>
        <v/>
      </c>
      <c r="R1850" s="22" t="str">
        <f aca="false">IF($B1850="","",O1850-Q1850-L1850)</f>
        <v/>
      </c>
      <c r="S1850" s="21" t="str">
        <f aca="false">IF(OR($B1850="",N(O1850)=0),"",R1850/O1850)</f>
        <v/>
      </c>
      <c r="T1850" s="14"/>
      <c r="U1850" s="19" t="n">
        <f aca="false">IF(OR($B1850="",$A1850=""),0,IF(COUNTIFS($A$5:$A1850,$A1850,$B$5:$B1850,$B1850)=1,1,0))</f>
        <v>0</v>
      </c>
    </row>
    <row r="1851" customFormat="false" ht="15" hidden="false" customHeight="false" outlineLevel="0" collapsed="false">
      <c r="A1851" s="17"/>
      <c r="B1851" s="13"/>
      <c r="C1851" s="20" t="str">
        <f aca="false">IF($B1851="","",IFERROR(INDEX(고객사!$B$5:$B$104,MATCH($B1851,고객사!$A$5:$A$104,0)),"코드 확인"))</f>
        <v/>
      </c>
      <c r="D1851" s="15"/>
      <c r="E1851" s="15"/>
      <c r="F1851" s="16"/>
      <c r="G1851" s="16"/>
      <c r="H1851" s="21" t="str">
        <f aca="false">IF(OR($B1851="",F1851=0),"",G1851/F1851)</f>
        <v/>
      </c>
      <c r="I1851" s="22" t="str">
        <f aca="false">IF($B1851="","",MAX(F1851-G1851,0))</f>
        <v/>
      </c>
      <c r="J1851" s="23" t="str">
        <f aca="false">IF($B1851="","",IFERROR(INDEX(고객사!$G$5:$G$104,MATCH($B1851,고객사!$A$5:$A$104,0)),""))</f>
        <v/>
      </c>
      <c r="K1851" s="16"/>
      <c r="L1851" s="22" t="str">
        <f aca="false">IF($B1851="","",K1851*IFERROR(INDEX(고객사!$L$5:$L$104,MATCH($B1851,고객사!$A$5:$A$104,0)),0))</f>
        <v/>
      </c>
      <c r="M1851" s="23" t="str">
        <f aca="false">IF($B1851="","",IF(AND(J1851="N",G1851&gt;0,K1851=0,IFERROR(INDEX(고객사!$H$5:$H$104,MATCH($B1851,고객사!$A$5:$A$104,0)),"")="자사 차량 운행"),"차량 미배정",""))</f>
        <v/>
      </c>
      <c r="N1851" s="22" t="str">
        <f aca="false">IF($B1851="","",IFERROR(INDEX(고객사!$J$5:$J$104,MATCH($B1851,고객사!$A$5:$A$104,0)),0))</f>
        <v/>
      </c>
      <c r="O1851" s="22" t="str">
        <f aca="false">IF($B1851="","",G1851*N1851)</f>
        <v/>
      </c>
      <c r="P1851" s="22" t="str">
        <f aca="false">IF($B1851="","",IFERROR(INDEX(고객사!$K$5:$K$104,MATCH($B1851,고객사!$A$5:$A$104,0)),0))</f>
        <v/>
      </c>
      <c r="Q1851" s="22" t="str">
        <f aca="false">IF($B1851="","",G1851*P1851)</f>
        <v/>
      </c>
      <c r="R1851" s="22" t="str">
        <f aca="false">IF($B1851="","",O1851-Q1851-L1851)</f>
        <v/>
      </c>
      <c r="S1851" s="21" t="str">
        <f aca="false">IF(OR($B1851="",N(O1851)=0),"",R1851/O1851)</f>
        <v/>
      </c>
      <c r="T1851" s="14"/>
      <c r="U1851" s="19" t="n">
        <f aca="false">IF(OR($B1851="",$A1851=""),0,IF(COUNTIFS($A$5:$A1851,$A1851,$B$5:$B1851,$B1851)=1,1,0))</f>
        <v>0</v>
      </c>
    </row>
    <row r="1852" customFormat="false" ht="15" hidden="false" customHeight="false" outlineLevel="0" collapsed="false">
      <c r="A1852" s="17"/>
      <c r="B1852" s="13"/>
      <c r="C1852" s="20" t="str">
        <f aca="false">IF($B1852="","",IFERROR(INDEX(고객사!$B$5:$B$104,MATCH($B1852,고객사!$A$5:$A$104,0)),"코드 확인"))</f>
        <v/>
      </c>
      <c r="D1852" s="15"/>
      <c r="E1852" s="15"/>
      <c r="F1852" s="16"/>
      <c r="G1852" s="16"/>
      <c r="H1852" s="21" t="str">
        <f aca="false">IF(OR($B1852="",F1852=0),"",G1852/F1852)</f>
        <v/>
      </c>
      <c r="I1852" s="22" t="str">
        <f aca="false">IF($B1852="","",MAX(F1852-G1852,0))</f>
        <v/>
      </c>
      <c r="J1852" s="23" t="str">
        <f aca="false">IF($B1852="","",IFERROR(INDEX(고객사!$G$5:$G$104,MATCH($B1852,고객사!$A$5:$A$104,0)),""))</f>
        <v/>
      </c>
      <c r="K1852" s="16"/>
      <c r="L1852" s="22" t="str">
        <f aca="false">IF($B1852="","",K1852*IFERROR(INDEX(고객사!$L$5:$L$104,MATCH($B1852,고객사!$A$5:$A$104,0)),0))</f>
        <v/>
      </c>
      <c r="M1852" s="23" t="str">
        <f aca="false">IF($B1852="","",IF(AND(J1852="N",G1852&gt;0,K1852=0,IFERROR(INDEX(고객사!$H$5:$H$104,MATCH($B1852,고객사!$A$5:$A$104,0)),"")="자사 차량 운행"),"차량 미배정",""))</f>
        <v/>
      </c>
      <c r="N1852" s="22" t="str">
        <f aca="false">IF($B1852="","",IFERROR(INDEX(고객사!$J$5:$J$104,MATCH($B1852,고객사!$A$5:$A$104,0)),0))</f>
        <v/>
      </c>
      <c r="O1852" s="22" t="str">
        <f aca="false">IF($B1852="","",G1852*N1852)</f>
        <v/>
      </c>
      <c r="P1852" s="22" t="str">
        <f aca="false">IF($B1852="","",IFERROR(INDEX(고객사!$K$5:$K$104,MATCH($B1852,고객사!$A$5:$A$104,0)),0))</f>
        <v/>
      </c>
      <c r="Q1852" s="22" t="str">
        <f aca="false">IF($B1852="","",G1852*P1852)</f>
        <v/>
      </c>
      <c r="R1852" s="22" t="str">
        <f aca="false">IF($B1852="","",O1852-Q1852-L1852)</f>
        <v/>
      </c>
      <c r="S1852" s="21" t="str">
        <f aca="false">IF(OR($B1852="",N(O1852)=0),"",R1852/O1852)</f>
        <v/>
      </c>
      <c r="T1852" s="14"/>
      <c r="U1852" s="19" t="n">
        <f aca="false">IF(OR($B1852="",$A1852=""),0,IF(COUNTIFS($A$5:$A1852,$A1852,$B$5:$B1852,$B1852)=1,1,0))</f>
        <v>0</v>
      </c>
    </row>
    <row r="1853" customFormat="false" ht="15" hidden="false" customHeight="false" outlineLevel="0" collapsed="false">
      <c r="A1853" s="17"/>
      <c r="B1853" s="13"/>
      <c r="C1853" s="20" t="str">
        <f aca="false">IF($B1853="","",IFERROR(INDEX(고객사!$B$5:$B$104,MATCH($B1853,고객사!$A$5:$A$104,0)),"코드 확인"))</f>
        <v/>
      </c>
      <c r="D1853" s="15"/>
      <c r="E1853" s="15"/>
      <c r="F1853" s="16"/>
      <c r="G1853" s="16"/>
      <c r="H1853" s="21" t="str">
        <f aca="false">IF(OR($B1853="",F1853=0),"",G1853/F1853)</f>
        <v/>
      </c>
      <c r="I1853" s="22" t="str">
        <f aca="false">IF($B1853="","",MAX(F1853-G1853,0))</f>
        <v/>
      </c>
      <c r="J1853" s="23" t="str">
        <f aca="false">IF($B1853="","",IFERROR(INDEX(고객사!$G$5:$G$104,MATCH($B1853,고객사!$A$5:$A$104,0)),""))</f>
        <v/>
      </c>
      <c r="K1853" s="16"/>
      <c r="L1853" s="22" t="str">
        <f aca="false">IF($B1853="","",K1853*IFERROR(INDEX(고객사!$L$5:$L$104,MATCH($B1853,고객사!$A$5:$A$104,0)),0))</f>
        <v/>
      </c>
      <c r="M1853" s="23" t="str">
        <f aca="false">IF($B1853="","",IF(AND(J1853="N",G1853&gt;0,K1853=0,IFERROR(INDEX(고객사!$H$5:$H$104,MATCH($B1853,고객사!$A$5:$A$104,0)),"")="자사 차량 운행"),"차량 미배정",""))</f>
        <v/>
      </c>
      <c r="N1853" s="22" t="str">
        <f aca="false">IF($B1853="","",IFERROR(INDEX(고객사!$J$5:$J$104,MATCH($B1853,고객사!$A$5:$A$104,0)),0))</f>
        <v/>
      </c>
      <c r="O1853" s="22" t="str">
        <f aca="false">IF($B1853="","",G1853*N1853)</f>
        <v/>
      </c>
      <c r="P1853" s="22" t="str">
        <f aca="false">IF($B1853="","",IFERROR(INDEX(고객사!$K$5:$K$104,MATCH($B1853,고객사!$A$5:$A$104,0)),0))</f>
        <v/>
      </c>
      <c r="Q1853" s="22" t="str">
        <f aca="false">IF($B1853="","",G1853*P1853)</f>
        <v/>
      </c>
      <c r="R1853" s="22" t="str">
        <f aca="false">IF($B1853="","",O1853-Q1853-L1853)</f>
        <v/>
      </c>
      <c r="S1853" s="21" t="str">
        <f aca="false">IF(OR($B1853="",N(O1853)=0),"",R1853/O1853)</f>
        <v/>
      </c>
      <c r="T1853" s="14"/>
      <c r="U1853" s="19" t="n">
        <f aca="false">IF(OR($B1853="",$A1853=""),0,IF(COUNTIFS($A$5:$A1853,$A1853,$B$5:$B1853,$B1853)=1,1,0))</f>
        <v>0</v>
      </c>
    </row>
    <row r="1854" customFormat="false" ht="15" hidden="false" customHeight="false" outlineLevel="0" collapsed="false">
      <c r="A1854" s="17"/>
      <c r="B1854" s="13"/>
      <c r="C1854" s="20" t="str">
        <f aca="false">IF($B1854="","",IFERROR(INDEX(고객사!$B$5:$B$104,MATCH($B1854,고객사!$A$5:$A$104,0)),"코드 확인"))</f>
        <v/>
      </c>
      <c r="D1854" s="15"/>
      <c r="E1854" s="15"/>
      <c r="F1854" s="16"/>
      <c r="G1854" s="16"/>
      <c r="H1854" s="21" t="str">
        <f aca="false">IF(OR($B1854="",F1854=0),"",G1854/F1854)</f>
        <v/>
      </c>
      <c r="I1854" s="22" t="str">
        <f aca="false">IF($B1854="","",MAX(F1854-G1854,0))</f>
        <v/>
      </c>
      <c r="J1854" s="23" t="str">
        <f aca="false">IF($B1854="","",IFERROR(INDEX(고객사!$G$5:$G$104,MATCH($B1854,고객사!$A$5:$A$104,0)),""))</f>
        <v/>
      </c>
      <c r="K1854" s="16"/>
      <c r="L1854" s="22" t="str">
        <f aca="false">IF($B1854="","",K1854*IFERROR(INDEX(고객사!$L$5:$L$104,MATCH($B1854,고객사!$A$5:$A$104,0)),0))</f>
        <v/>
      </c>
      <c r="M1854" s="23" t="str">
        <f aca="false">IF($B1854="","",IF(AND(J1854="N",G1854&gt;0,K1854=0,IFERROR(INDEX(고객사!$H$5:$H$104,MATCH($B1854,고객사!$A$5:$A$104,0)),"")="자사 차량 운행"),"차량 미배정",""))</f>
        <v/>
      </c>
      <c r="N1854" s="22" t="str">
        <f aca="false">IF($B1854="","",IFERROR(INDEX(고객사!$J$5:$J$104,MATCH($B1854,고객사!$A$5:$A$104,0)),0))</f>
        <v/>
      </c>
      <c r="O1854" s="22" t="str">
        <f aca="false">IF($B1854="","",G1854*N1854)</f>
        <v/>
      </c>
      <c r="P1854" s="22" t="str">
        <f aca="false">IF($B1854="","",IFERROR(INDEX(고객사!$K$5:$K$104,MATCH($B1854,고객사!$A$5:$A$104,0)),0))</f>
        <v/>
      </c>
      <c r="Q1854" s="22" t="str">
        <f aca="false">IF($B1854="","",G1854*P1854)</f>
        <v/>
      </c>
      <c r="R1854" s="22" t="str">
        <f aca="false">IF($B1854="","",O1854-Q1854-L1854)</f>
        <v/>
      </c>
      <c r="S1854" s="21" t="str">
        <f aca="false">IF(OR($B1854="",N(O1854)=0),"",R1854/O1854)</f>
        <v/>
      </c>
      <c r="T1854" s="14"/>
      <c r="U1854" s="19" t="n">
        <f aca="false">IF(OR($B1854="",$A1854=""),0,IF(COUNTIFS($A$5:$A1854,$A1854,$B$5:$B1854,$B1854)=1,1,0))</f>
        <v>0</v>
      </c>
    </row>
    <row r="1855" customFormat="false" ht="15" hidden="false" customHeight="false" outlineLevel="0" collapsed="false">
      <c r="A1855" s="17"/>
      <c r="B1855" s="13"/>
      <c r="C1855" s="20" t="str">
        <f aca="false">IF($B1855="","",IFERROR(INDEX(고객사!$B$5:$B$104,MATCH($B1855,고객사!$A$5:$A$104,0)),"코드 확인"))</f>
        <v/>
      </c>
      <c r="D1855" s="15"/>
      <c r="E1855" s="15"/>
      <c r="F1855" s="16"/>
      <c r="G1855" s="16"/>
      <c r="H1855" s="21" t="str">
        <f aca="false">IF(OR($B1855="",F1855=0),"",G1855/F1855)</f>
        <v/>
      </c>
      <c r="I1855" s="22" t="str">
        <f aca="false">IF($B1855="","",MAX(F1855-G1855,0))</f>
        <v/>
      </c>
      <c r="J1855" s="23" t="str">
        <f aca="false">IF($B1855="","",IFERROR(INDEX(고객사!$G$5:$G$104,MATCH($B1855,고객사!$A$5:$A$104,0)),""))</f>
        <v/>
      </c>
      <c r="K1855" s="16"/>
      <c r="L1855" s="22" t="str">
        <f aca="false">IF($B1855="","",K1855*IFERROR(INDEX(고객사!$L$5:$L$104,MATCH($B1855,고객사!$A$5:$A$104,0)),0))</f>
        <v/>
      </c>
      <c r="M1855" s="23" t="str">
        <f aca="false">IF($B1855="","",IF(AND(J1855="N",G1855&gt;0,K1855=0,IFERROR(INDEX(고객사!$H$5:$H$104,MATCH($B1855,고객사!$A$5:$A$104,0)),"")="자사 차량 운행"),"차량 미배정",""))</f>
        <v/>
      </c>
      <c r="N1855" s="22" t="str">
        <f aca="false">IF($B1855="","",IFERROR(INDEX(고객사!$J$5:$J$104,MATCH($B1855,고객사!$A$5:$A$104,0)),0))</f>
        <v/>
      </c>
      <c r="O1855" s="22" t="str">
        <f aca="false">IF($B1855="","",G1855*N1855)</f>
        <v/>
      </c>
      <c r="P1855" s="22" t="str">
        <f aca="false">IF($B1855="","",IFERROR(INDEX(고객사!$K$5:$K$104,MATCH($B1855,고객사!$A$5:$A$104,0)),0))</f>
        <v/>
      </c>
      <c r="Q1855" s="22" t="str">
        <f aca="false">IF($B1855="","",G1855*P1855)</f>
        <v/>
      </c>
      <c r="R1855" s="22" t="str">
        <f aca="false">IF($B1855="","",O1855-Q1855-L1855)</f>
        <v/>
      </c>
      <c r="S1855" s="21" t="str">
        <f aca="false">IF(OR($B1855="",N(O1855)=0),"",R1855/O1855)</f>
        <v/>
      </c>
      <c r="T1855" s="14"/>
      <c r="U1855" s="19" t="n">
        <f aca="false">IF(OR($B1855="",$A1855=""),0,IF(COUNTIFS($A$5:$A1855,$A1855,$B$5:$B1855,$B1855)=1,1,0))</f>
        <v>0</v>
      </c>
    </row>
    <row r="1856" customFormat="false" ht="15" hidden="false" customHeight="false" outlineLevel="0" collapsed="false">
      <c r="A1856" s="17"/>
      <c r="B1856" s="13"/>
      <c r="C1856" s="20" t="str">
        <f aca="false">IF($B1856="","",IFERROR(INDEX(고객사!$B$5:$B$104,MATCH($B1856,고객사!$A$5:$A$104,0)),"코드 확인"))</f>
        <v/>
      </c>
      <c r="D1856" s="15"/>
      <c r="E1856" s="15"/>
      <c r="F1856" s="16"/>
      <c r="G1856" s="16"/>
      <c r="H1856" s="21" t="str">
        <f aca="false">IF(OR($B1856="",F1856=0),"",G1856/F1856)</f>
        <v/>
      </c>
      <c r="I1856" s="22" t="str">
        <f aca="false">IF($B1856="","",MAX(F1856-G1856,0))</f>
        <v/>
      </c>
      <c r="J1856" s="23" t="str">
        <f aca="false">IF($B1856="","",IFERROR(INDEX(고객사!$G$5:$G$104,MATCH($B1856,고객사!$A$5:$A$104,0)),""))</f>
        <v/>
      </c>
      <c r="K1856" s="16"/>
      <c r="L1856" s="22" t="str">
        <f aca="false">IF($B1856="","",K1856*IFERROR(INDEX(고객사!$L$5:$L$104,MATCH($B1856,고객사!$A$5:$A$104,0)),0))</f>
        <v/>
      </c>
      <c r="M1856" s="23" t="str">
        <f aca="false">IF($B1856="","",IF(AND(J1856="N",G1856&gt;0,K1856=0,IFERROR(INDEX(고객사!$H$5:$H$104,MATCH($B1856,고객사!$A$5:$A$104,0)),"")="자사 차량 운행"),"차량 미배정",""))</f>
        <v/>
      </c>
      <c r="N1856" s="22" t="str">
        <f aca="false">IF($B1856="","",IFERROR(INDEX(고객사!$J$5:$J$104,MATCH($B1856,고객사!$A$5:$A$104,0)),0))</f>
        <v/>
      </c>
      <c r="O1856" s="22" t="str">
        <f aca="false">IF($B1856="","",G1856*N1856)</f>
        <v/>
      </c>
      <c r="P1856" s="22" t="str">
        <f aca="false">IF($B1856="","",IFERROR(INDEX(고객사!$K$5:$K$104,MATCH($B1856,고객사!$A$5:$A$104,0)),0))</f>
        <v/>
      </c>
      <c r="Q1856" s="22" t="str">
        <f aca="false">IF($B1856="","",G1856*P1856)</f>
        <v/>
      </c>
      <c r="R1856" s="22" t="str">
        <f aca="false">IF($B1856="","",O1856-Q1856-L1856)</f>
        <v/>
      </c>
      <c r="S1856" s="21" t="str">
        <f aca="false">IF(OR($B1856="",N(O1856)=0),"",R1856/O1856)</f>
        <v/>
      </c>
      <c r="T1856" s="14"/>
      <c r="U1856" s="19" t="n">
        <f aca="false">IF(OR($B1856="",$A1856=""),0,IF(COUNTIFS($A$5:$A1856,$A1856,$B$5:$B1856,$B1856)=1,1,0))</f>
        <v>0</v>
      </c>
    </row>
    <row r="1857" customFormat="false" ht="15" hidden="false" customHeight="false" outlineLevel="0" collapsed="false">
      <c r="A1857" s="17"/>
      <c r="B1857" s="13"/>
      <c r="C1857" s="20" t="str">
        <f aca="false">IF($B1857="","",IFERROR(INDEX(고객사!$B$5:$B$104,MATCH($B1857,고객사!$A$5:$A$104,0)),"코드 확인"))</f>
        <v/>
      </c>
      <c r="D1857" s="15"/>
      <c r="E1857" s="15"/>
      <c r="F1857" s="16"/>
      <c r="G1857" s="16"/>
      <c r="H1857" s="21" t="str">
        <f aca="false">IF(OR($B1857="",F1857=0),"",G1857/F1857)</f>
        <v/>
      </c>
      <c r="I1857" s="22" t="str">
        <f aca="false">IF($B1857="","",MAX(F1857-G1857,0))</f>
        <v/>
      </c>
      <c r="J1857" s="23" t="str">
        <f aca="false">IF($B1857="","",IFERROR(INDEX(고객사!$G$5:$G$104,MATCH($B1857,고객사!$A$5:$A$104,0)),""))</f>
        <v/>
      </c>
      <c r="K1857" s="16"/>
      <c r="L1857" s="22" t="str">
        <f aca="false">IF($B1857="","",K1857*IFERROR(INDEX(고객사!$L$5:$L$104,MATCH($B1857,고객사!$A$5:$A$104,0)),0))</f>
        <v/>
      </c>
      <c r="M1857" s="23" t="str">
        <f aca="false">IF($B1857="","",IF(AND(J1857="N",G1857&gt;0,K1857=0,IFERROR(INDEX(고객사!$H$5:$H$104,MATCH($B1857,고객사!$A$5:$A$104,0)),"")="자사 차량 운행"),"차량 미배정",""))</f>
        <v/>
      </c>
      <c r="N1857" s="22" t="str">
        <f aca="false">IF($B1857="","",IFERROR(INDEX(고객사!$J$5:$J$104,MATCH($B1857,고객사!$A$5:$A$104,0)),0))</f>
        <v/>
      </c>
      <c r="O1857" s="22" t="str">
        <f aca="false">IF($B1857="","",G1857*N1857)</f>
        <v/>
      </c>
      <c r="P1857" s="22" t="str">
        <f aca="false">IF($B1857="","",IFERROR(INDEX(고객사!$K$5:$K$104,MATCH($B1857,고객사!$A$5:$A$104,0)),0))</f>
        <v/>
      </c>
      <c r="Q1857" s="22" t="str">
        <f aca="false">IF($B1857="","",G1857*P1857)</f>
        <v/>
      </c>
      <c r="R1857" s="22" t="str">
        <f aca="false">IF($B1857="","",O1857-Q1857-L1857)</f>
        <v/>
      </c>
      <c r="S1857" s="21" t="str">
        <f aca="false">IF(OR($B1857="",N(O1857)=0),"",R1857/O1857)</f>
        <v/>
      </c>
      <c r="T1857" s="14"/>
      <c r="U1857" s="19" t="n">
        <f aca="false">IF(OR($B1857="",$A1857=""),0,IF(COUNTIFS($A$5:$A1857,$A1857,$B$5:$B1857,$B1857)=1,1,0))</f>
        <v>0</v>
      </c>
    </row>
    <row r="1858" customFormat="false" ht="15" hidden="false" customHeight="false" outlineLevel="0" collapsed="false">
      <c r="A1858" s="17"/>
      <c r="B1858" s="13"/>
      <c r="C1858" s="20" t="str">
        <f aca="false">IF($B1858="","",IFERROR(INDEX(고객사!$B$5:$B$104,MATCH($B1858,고객사!$A$5:$A$104,0)),"코드 확인"))</f>
        <v/>
      </c>
      <c r="D1858" s="15"/>
      <c r="E1858" s="15"/>
      <c r="F1858" s="16"/>
      <c r="G1858" s="16"/>
      <c r="H1858" s="21" t="str">
        <f aca="false">IF(OR($B1858="",F1858=0),"",G1858/F1858)</f>
        <v/>
      </c>
      <c r="I1858" s="22" t="str">
        <f aca="false">IF($B1858="","",MAX(F1858-G1858,0))</f>
        <v/>
      </c>
      <c r="J1858" s="23" t="str">
        <f aca="false">IF($B1858="","",IFERROR(INDEX(고객사!$G$5:$G$104,MATCH($B1858,고객사!$A$5:$A$104,0)),""))</f>
        <v/>
      </c>
      <c r="K1858" s="16"/>
      <c r="L1858" s="22" t="str">
        <f aca="false">IF($B1858="","",K1858*IFERROR(INDEX(고객사!$L$5:$L$104,MATCH($B1858,고객사!$A$5:$A$104,0)),0))</f>
        <v/>
      </c>
      <c r="M1858" s="23" t="str">
        <f aca="false">IF($B1858="","",IF(AND(J1858="N",G1858&gt;0,K1858=0,IFERROR(INDEX(고객사!$H$5:$H$104,MATCH($B1858,고객사!$A$5:$A$104,0)),"")="자사 차량 운행"),"차량 미배정",""))</f>
        <v/>
      </c>
      <c r="N1858" s="22" t="str">
        <f aca="false">IF($B1858="","",IFERROR(INDEX(고객사!$J$5:$J$104,MATCH($B1858,고객사!$A$5:$A$104,0)),0))</f>
        <v/>
      </c>
      <c r="O1858" s="22" t="str">
        <f aca="false">IF($B1858="","",G1858*N1858)</f>
        <v/>
      </c>
      <c r="P1858" s="22" t="str">
        <f aca="false">IF($B1858="","",IFERROR(INDEX(고객사!$K$5:$K$104,MATCH($B1858,고객사!$A$5:$A$104,0)),0))</f>
        <v/>
      </c>
      <c r="Q1858" s="22" t="str">
        <f aca="false">IF($B1858="","",G1858*P1858)</f>
        <v/>
      </c>
      <c r="R1858" s="22" t="str">
        <f aca="false">IF($B1858="","",O1858-Q1858-L1858)</f>
        <v/>
      </c>
      <c r="S1858" s="21" t="str">
        <f aca="false">IF(OR($B1858="",N(O1858)=0),"",R1858/O1858)</f>
        <v/>
      </c>
      <c r="T1858" s="14"/>
      <c r="U1858" s="19" t="n">
        <f aca="false">IF(OR($B1858="",$A1858=""),0,IF(COUNTIFS($A$5:$A1858,$A1858,$B$5:$B1858,$B1858)=1,1,0))</f>
        <v>0</v>
      </c>
    </row>
    <row r="1859" customFormat="false" ht="15" hidden="false" customHeight="false" outlineLevel="0" collapsed="false">
      <c r="A1859" s="17"/>
      <c r="B1859" s="13"/>
      <c r="C1859" s="20" t="str">
        <f aca="false">IF($B1859="","",IFERROR(INDEX(고객사!$B$5:$B$104,MATCH($B1859,고객사!$A$5:$A$104,0)),"코드 확인"))</f>
        <v/>
      </c>
      <c r="D1859" s="15"/>
      <c r="E1859" s="15"/>
      <c r="F1859" s="16"/>
      <c r="G1859" s="16"/>
      <c r="H1859" s="21" t="str">
        <f aca="false">IF(OR($B1859="",F1859=0),"",G1859/F1859)</f>
        <v/>
      </c>
      <c r="I1859" s="22" t="str">
        <f aca="false">IF($B1859="","",MAX(F1859-G1859,0))</f>
        <v/>
      </c>
      <c r="J1859" s="23" t="str">
        <f aca="false">IF($B1859="","",IFERROR(INDEX(고객사!$G$5:$G$104,MATCH($B1859,고객사!$A$5:$A$104,0)),""))</f>
        <v/>
      </c>
      <c r="K1859" s="16"/>
      <c r="L1859" s="22" t="str">
        <f aca="false">IF($B1859="","",K1859*IFERROR(INDEX(고객사!$L$5:$L$104,MATCH($B1859,고객사!$A$5:$A$104,0)),0))</f>
        <v/>
      </c>
      <c r="M1859" s="23" t="str">
        <f aca="false">IF($B1859="","",IF(AND(J1859="N",G1859&gt;0,K1859=0,IFERROR(INDEX(고객사!$H$5:$H$104,MATCH($B1859,고객사!$A$5:$A$104,0)),"")="자사 차량 운행"),"차량 미배정",""))</f>
        <v/>
      </c>
      <c r="N1859" s="22" t="str">
        <f aca="false">IF($B1859="","",IFERROR(INDEX(고객사!$J$5:$J$104,MATCH($B1859,고객사!$A$5:$A$104,0)),0))</f>
        <v/>
      </c>
      <c r="O1859" s="22" t="str">
        <f aca="false">IF($B1859="","",G1859*N1859)</f>
        <v/>
      </c>
      <c r="P1859" s="22" t="str">
        <f aca="false">IF($B1859="","",IFERROR(INDEX(고객사!$K$5:$K$104,MATCH($B1859,고객사!$A$5:$A$104,0)),0))</f>
        <v/>
      </c>
      <c r="Q1859" s="22" t="str">
        <f aca="false">IF($B1859="","",G1859*P1859)</f>
        <v/>
      </c>
      <c r="R1859" s="22" t="str">
        <f aca="false">IF($B1859="","",O1859-Q1859-L1859)</f>
        <v/>
      </c>
      <c r="S1859" s="21" t="str">
        <f aca="false">IF(OR($B1859="",N(O1859)=0),"",R1859/O1859)</f>
        <v/>
      </c>
      <c r="T1859" s="14"/>
      <c r="U1859" s="19" t="n">
        <f aca="false">IF(OR($B1859="",$A1859=""),0,IF(COUNTIFS($A$5:$A1859,$A1859,$B$5:$B1859,$B1859)=1,1,0))</f>
        <v>0</v>
      </c>
    </row>
    <row r="1860" customFormat="false" ht="15" hidden="false" customHeight="false" outlineLevel="0" collapsed="false">
      <c r="A1860" s="17"/>
      <c r="B1860" s="13"/>
      <c r="C1860" s="20" t="str">
        <f aca="false">IF($B1860="","",IFERROR(INDEX(고객사!$B$5:$B$104,MATCH($B1860,고객사!$A$5:$A$104,0)),"코드 확인"))</f>
        <v/>
      </c>
      <c r="D1860" s="15"/>
      <c r="E1860" s="15"/>
      <c r="F1860" s="16"/>
      <c r="G1860" s="16"/>
      <c r="H1860" s="21" t="str">
        <f aca="false">IF(OR($B1860="",F1860=0),"",G1860/F1860)</f>
        <v/>
      </c>
      <c r="I1860" s="22" t="str">
        <f aca="false">IF($B1860="","",MAX(F1860-G1860,0))</f>
        <v/>
      </c>
      <c r="J1860" s="23" t="str">
        <f aca="false">IF($B1860="","",IFERROR(INDEX(고객사!$G$5:$G$104,MATCH($B1860,고객사!$A$5:$A$104,0)),""))</f>
        <v/>
      </c>
      <c r="K1860" s="16"/>
      <c r="L1860" s="22" t="str">
        <f aca="false">IF($B1860="","",K1860*IFERROR(INDEX(고객사!$L$5:$L$104,MATCH($B1860,고객사!$A$5:$A$104,0)),0))</f>
        <v/>
      </c>
      <c r="M1860" s="23" t="str">
        <f aca="false">IF($B1860="","",IF(AND(J1860="N",G1860&gt;0,K1860=0,IFERROR(INDEX(고객사!$H$5:$H$104,MATCH($B1860,고객사!$A$5:$A$104,0)),"")="자사 차량 운행"),"차량 미배정",""))</f>
        <v/>
      </c>
      <c r="N1860" s="22" t="str">
        <f aca="false">IF($B1860="","",IFERROR(INDEX(고객사!$J$5:$J$104,MATCH($B1860,고객사!$A$5:$A$104,0)),0))</f>
        <v/>
      </c>
      <c r="O1860" s="22" t="str">
        <f aca="false">IF($B1860="","",G1860*N1860)</f>
        <v/>
      </c>
      <c r="P1860" s="22" t="str">
        <f aca="false">IF($B1860="","",IFERROR(INDEX(고객사!$K$5:$K$104,MATCH($B1860,고객사!$A$5:$A$104,0)),0))</f>
        <v/>
      </c>
      <c r="Q1860" s="22" t="str">
        <f aca="false">IF($B1860="","",G1860*P1860)</f>
        <v/>
      </c>
      <c r="R1860" s="22" t="str">
        <f aca="false">IF($B1860="","",O1860-Q1860-L1860)</f>
        <v/>
      </c>
      <c r="S1860" s="21" t="str">
        <f aca="false">IF(OR($B1860="",N(O1860)=0),"",R1860/O1860)</f>
        <v/>
      </c>
      <c r="T1860" s="14"/>
      <c r="U1860" s="19" t="n">
        <f aca="false">IF(OR($B1860="",$A1860=""),0,IF(COUNTIFS($A$5:$A1860,$A1860,$B$5:$B1860,$B1860)=1,1,0))</f>
        <v>0</v>
      </c>
    </row>
    <row r="1861" customFormat="false" ht="15" hidden="false" customHeight="false" outlineLevel="0" collapsed="false">
      <c r="A1861" s="17"/>
      <c r="B1861" s="13"/>
      <c r="C1861" s="20" t="str">
        <f aca="false">IF($B1861="","",IFERROR(INDEX(고객사!$B$5:$B$104,MATCH($B1861,고객사!$A$5:$A$104,0)),"코드 확인"))</f>
        <v/>
      </c>
      <c r="D1861" s="15"/>
      <c r="E1861" s="15"/>
      <c r="F1861" s="16"/>
      <c r="G1861" s="16"/>
      <c r="H1861" s="21" t="str">
        <f aca="false">IF(OR($B1861="",F1861=0),"",G1861/F1861)</f>
        <v/>
      </c>
      <c r="I1861" s="22" t="str">
        <f aca="false">IF($B1861="","",MAX(F1861-G1861,0))</f>
        <v/>
      </c>
      <c r="J1861" s="23" t="str">
        <f aca="false">IF($B1861="","",IFERROR(INDEX(고객사!$G$5:$G$104,MATCH($B1861,고객사!$A$5:$A$104,0)),""))</f>
        <v/>
      </c>
      <c r="K1861" s="16"/>
      <c r="L1861" s="22" t="str">
        <f aca="false">IF($B1861="","",K1861*IFERROR(INDEX(고객사!$L$5:$L$104,MATCH($B1861,고객사!$A$5:$A$104,0)),0))</f>
        <v/>
      </c>
      <c r="M1861" s="23" t="str">
        <f aca="false">IF($B1861="","",IF(AND(J1861="N",G1861&gt;0,K1861=0,IFERROR(INDEX(고객사!$H$5:$H$104,MATCH($B1861,고객사!$A$5:$A$104,0)),"")="자사 차량 운행"),"차량 미배정",""))</f>
        <v/>
      </c>
      <c r="N1861" s="22" t="str">
        <f aca="false">IF($B1861="","",IFERROR(INDEX(고객사!$J$5:$J$104,MATCH($B1861,고객사!$A$5:$A$104,0)),0))</f>
        <v/>
      </c>
      <c r="O1861" s="22" t="str">
        <f aca="false">IF($B1861="","",G1861*N1861)</f>
        <v/>
      </c>
      <c r="P1861" s="22" t="str">
        <f aca="false">IF($B1861="","",IFERROR(INDEX(고객사!$K$5:$K$104,MATCH($B1861,고객사!$A$5:$A$104,0)),0))</f>
        <v/>
      </c>
      <c r="Q1861" s="22" t="str">
        <f aca="false">IF($B1861="","",G1861*P1861)</f>
        <v/>
      </c>
      <c r="R1861" s="22" t="str">
        <f aca="false">IF($B1861="","",O1861-Q1861-L1861)</f>
        <v/>
      </c>
      <c r="S1861" s="21" t="str">
        <f aca="false">IF(OR($B1861="",N(O1861)=0),"",R1861/O1861)</f>
        <v/>
      </c>
      <c r="T1861" s="14"/>
      <c r="U1861" s="19" t="n">
        <f aca="false">IF(OR($B1861="",$A1861=""),0,IF(COUNTIFS($A$5:$A1861,$A1861,$B$5:$B1861,$B1861)=1,1,0))</f>
        <v>0</v>
      </c>
    </row>
    <row r="1862" customFormat="false" ht="15" hidden="false" customHeight="false" outlineLevel="0" collapsed="false">
      <c r="A1862" s="17"/>
      <c r="B1862" s="13"/>
      <c r="C1862" s="20" t="str">
        <f aca="false">IF($B1862="","",IFERROR(INDEX(고객사!$B$5:$B$104,MATCH($B1862,고객사!$A$5:$A$104,0)),"코드 확인"))</f>
        <v/>
      </c>
      <c r="D1862" s="15"/>
      <c r="E1862" s="15"/>
      <c r="F1862" s="16"/>
      <c r="G1862" s="16"/>
      <c r="H1862" s="21" t="str">
        <f aca="false">IF(OR($B1862="",F1862=0),"",G1862/F1862)</f>
        <v/>
      </c>
      <c r="I1862" s="22" t="str">
        <f aca="false">IF($B1862="","",MAX(F1862-G1862,0))</f>
        <v/>
      </c>
      <c r="J1862" s="23" t="str">
        <f aca="false">IF($B1862="","",IFERROR(INDEX(고객사!$G$5:$G$104,MATCH($B1862,고객사!$A$5:$A$104,0)),""))</f>
        <v/>
      </c>
      <c r="K1862" s="16"/>
      <c r="L1862" s="22" t="str">
        <f aca="false">IF($B1862="","",K1862*IFERROR(INDEX(고객사!$L$5:$L$104,MATCH($B1862,고객사!$A$5:$A$104,0)),0))</f>
        <v/>
      </c>
      <c r="M1862" s="23" t="str">
        <f aca="false">IF($B1862="","",IF(AND(J1862="N",G1862&gt;0,K1862=0,IFERROR(INDEX(고객사!$H$5:$H$104,MATCH($B1862,고객사!$A$5:$A$104,0)),"")="자사 차량 운행"),"차량 미배정",""))</f>
        <v/>
      </c>
      <c r="N1862" s="22" t="str">
        <f aca="false">IF($B1862="","",IFERROR(INDEX(고객사!$J$5:$J$104,MATCH($B1862,고객사!$A$5:$A$104,0)),0))</f>
        <v/>
      </c>
      <c r="O1862" s="22" t="str">
        <f aca="false">IF($B1862="","",G1862*N1862)</f>
        <v/>
      </c>
      <c r="P1862" s="22" t="str">
        <f aca="false">IF($B1862="","",IFERROR(INDEX(고객사!$K$5:$K$104,MATCH($B1862,고객사!$A$5:$A$104,0)),0))</f>
        <v/>
      </c>
      <c r="Q1862" s="22" t="str">
        <f aca="false">IF($B1862="","",G1862*P1862)</f>
        <v/>
      </c>
      <c r="R1862" s="22" t="str">
        <f aca="false">IF($B1862="","",O1862-Q1862-L1862)</f>
        <v/>
      </c>
      <c r="S1862" s="21" t="str">
        <f aca="false">IF(OR($B1862="",N(O1862)=0),"",R1862/O1862)</f>
        <v/>
      </c>
      <c r="T1862" s="14"/>
      <c r="U1862" s="19" t="n">
        <f aca="false">IF(OR($B1862="",$A1862=""),0,IF(COUNTIFS($A$5:$A1862,$A1862,$B$5:$B1862,$B1862)=1,1,0))</f>
        <v>0</v>
      </c>
    </row>
    <row r="1863" customFormat="false" ht="15" hidden="false" customHeight="false" outlineLevel="0" collapsed="false">
      <c r="A1863" s="17"/>
      <c r="B1863" s="13"/>
      <c r="C1863" s="20" t="str">
        <f aca="false">IF($B1863="","",IFERROR(INDEX(고객사!$B$5:$B$104,MATCH($B1863,고객사!$A$5:$A$104,0)),"코드 확인"))</f>
        <v/>
      </c>
      <c r="D1863" s="15"/>
      <c r="E1863" s="15"/>
      <c r="F1863" s="16"/>
      <c r="G1863" s="16"/>
      <c r="H1863" s="21" t="str">
        <f aca="false">IF(OR($B1863="",F1863=0),"",G1863/F1863)</f>
        <v/>
      </c>
      <c r="I1863" s="22" t="str">
        <f aca="false">IF($B1863="","",MAX(F1863-G1863,0))</f>
        <v/>
      </c>
      <c r="J1863" s="23" t="str">
        <f aca="false">IF($B1863="","",IFERROR(INDEX(고객사!$G$5:$G$104,MATCH($B1863,고객사!$A$5:$A$104,0)),""))</f>
        <v/>
      </c>
      <c r="K1863" s="16"/>
      <c r="L1863" s="22" t="str">
        <f aca="false">IF($B1863="","",K1863*IFERROR(INDEX(고객사!$L$5:$L$104,MATCH($B1863,고객사!$A$5:$A$104,0)),0))</f>
        <v/>
      </c>
      <c r="M1863" s="23" t="str">
        <f aca="false">IF($B1863="","",IF(AND(J1863="N",G1863&gt;0,K1863=0,IFERROR(INDEX(고객사!$H$5:$H$104,MATCH($B1863,고객사!$A$5:$A$104,0)),"")="자사 차량 운행"),"차량 미배정",""))</f>
        <v/>
      </c>
      <c r="N1863" s="22" t="str">
        <f aca="false">IF($B1863="","",IFERROR(INDEX(고객사!$J$5:$J$104,MATCH($B1863,고객사!$A$5:$A$104,0)),0))</f>
        <v/>
      </c>
      <c r="O1863" s="22" t="str">
        <f aca="false">IF($B1863="","",G1863*N1863)</f>
        <v/>
      </c>
      <c r="P1863" s="22" t="str">
        <f aca="false">IF($B1863="","",IFERROR(INDEX(고객사!$K$5:$K$104,MATCH($B1863,고객사!$A$5:$A$104,0)),0))</f>
        <v/>
      </c>
      <c r="Q1863" s="22" t="str">
        <f aca="false">IF($B1863="","",G1863*P1863)</f>
        <v/>
      </c>
      <c r="R1863" s="22" t="str">
        <f aca="false">IF($B1863="","",O1863-Q1863-L1863)</f>
        <v/>
      </c>
      <c r="S1863" s="21" t="str">
        <f aca="false">IF(OR($B1863="",N(O1863)=0),"",R1863/O1863)</f>
        <v/>
      </c>
      <c r="T1863" s="14"/>
      <c r="U1863" s="19" t="n">
        <f aca="false">IF(OR($B1863="",$A1863=""),0,IF(COUNTIFS($A$5:$A1863,$A1863,$B$5:$B1863,$B1863)=1,1,0))</f>
        <v>0</v>
      </c>
    </row>
    <row r="1864" customFormat="false" ht="15" hidden="false" customHeight="false" outlineLevel="0" collapsed="false">
      <c r="A1864" s="17"/>
      <c r="B1864" s="13"/>
      <c r="C1864" s="20" t="str">
        <f aca="false">IF($B1864="","",IFERROR(INDEX(고객사!$B$5:$B$104,MATCH($B1864,고객사!$A$5:$A$104,0)),"코드 확인"))</f>
        <v/>
      </c>
      <c r="D1864" s="15"/>
      <c r="E1864" s="15"/>
      <c r="F1864" s="16"/>
      <c r="G1864" s="16"/>
      <c r="H1864" s="21" t="str">
        <f aca="false">IF(OR($B1864="",F1864=0),"",G1864/F1864)</f>
        <v/>
      </c>
      <c r="I1864" s="22" t="str">
        <f aca="false">IF($B1864="","",MAX(F1864-G1864,0))</f>
        <v/>
      </c>
      <c r="J1864" s="23" t="str">
        <f aca="false">IF($B1864="","",IFERROR(INDEX(고객사!$G$5:$G$104,MATCH($B1864,고객사!$A$5:$A$104,0)),""))</f>
        <v/>
      </c>
      <c r="K1864" s="16"/>
      <c r="L1864" s="22" t="str">
        <f aca="false">IF($B1864="","",K1864*IFERROR(INDEX(고객사!$L$5:$L$104,MATCH($B1864,고객사!$A$5:$A$104,0)),0))</f>
        <v/>
      </c>
      <c r="M1864" s="23" t="str">
        <f aca="false">IF($B1864="","",IF(AND(J1864="N",G1864&gt;0,K1864=0,IFERROR(INDEX(고객사!$H$5:$H$104,MATCH($B1864,고객사!$A$5:$A$104,0)),"")="자사 차량 운행"),"차량 미배정",""))</f>
        <v/>
      </c>
      <c r="N1864" s="22" t="str">
        <f aca="false">IF($B1864="","",IFERROR(INDEX(고객사!$J$5:$J$104,MATCH($B1864,고객사!$A$5:$A$104,0)),0))</f>
        <v/>
      </c>
      <c r="O1864" s="22" t="str">
        <f aca="false">IF($B1864="","",G1864*N1864)</f>
        <v/>
      </c>
      <c r="P1864" s="22" t="str">
        <f aca="false">IF($B1864="","",IFERROR(INDEX(고객사!$K$5:$K$104,MATCH($B1864,고객사!$A$5:$A$104,0)),0))</f>
        <v/>
      </c>
      <c r="Q1864" s="22" t="str">
        <f aca="false">IF($B1864="","",G1864*P1864)</f>
        <v/>
      </c>
      <c r="R1864" s="22" t="str">
        <f aca="false">IF($B1864="","",O1864-Q1864-L1864)</f>
        <v/>
      </c>
      <c r="S1864" s="21" t="str">
        <f aca="false">IF(OR($B1864="",N(O1864)=0),"",R1864/O1864)</f>
        <v/>
      </c>
      <c r="T1864" s="14"/>
      <c r="U1864" s="19" t="n">
        <f aca="false">IF(OR($B1864="",$A1864=""),0,IF(COUNTIFS($A$5:$A1864,$A1864,$B$5:$B1864,$B1864)=1,1,0))</f>
        <v>0</v>
      </c>
    </row>
    <row r="1865" customFormat="false" ht="15" hidden="false" customHeight="false" outlineLevel="0" collapsed="false">
      <c r="A1865" s="17"/>
      <c r="B1865" s="13"/>
      <c r="C1865" s="20" t="str">
        <f aca="false">IF($B1865="","",IFERROR(INDEX(고객사!$B$5:$B$104,MATCH($B1865,고객사!$A$5:$A$104,0)),"코드 확인"))</f>
        <v/>
      </c>
      <c r="D1865" s="15"/>
      <c r="E1865" s="15"/>
      <c r="F1865" s="16"/>
      <c r="G1865" s="16"/>
      <c r="H1865" s="21" t="str">
        <f aca="false">IF(OR($B1865="",F1865=0),"",G1865/F1865)</f>
        <v/>
      </c>
      <c r="I1865" s="22" t="str">
        <f aca="false">IF($B1865="","",MAX(F1865-G1865,0))</f>
        <v/>
      </c>
      <c r="J1865" s="23" t="str">
        <f aca="false">IF($B1865="","",IFERROR(INDEX(고객사!$G$5:$G$104,MATCH($B1865,고객사!$A$5:$A$104,0)),""))</f>
        <v/>
      </c>
      <c r="K1865" s="16"/>
      <c r="L1865" s="22" t="str">
        <f aca="false">IF($B1865="","",K1865*IFERROR(INDEX(고객사!$L$5:$L$104,MATCH($B1865,고객사!$A$5:$A$104,0)),0))</f>
        <v/>
      </c>
      <c r="M1865" s="23" t="str">
        <f aca="false">IF($B1865="","",IF(AND(J1865="N",G1865&gt;0,K1865=0,IFERROR(INDEX(고객사!$H$5:$H$104,MATCH($B1865,고객사!$A$5:$A$104,0)),"")="자사 차량 운행"),"차량 미배정",""))</f>
        <v/>
      </c>
      <c r="N1865" s="22" t="str">
        <f aca="false">IF($B1865="","",IFERROR(INDEX(고객사!$J$5:$J$104,MATCH($B1865,고객사!$A$5:$A$104,0)),0))</f>
        <v/>
      </c>
      <c r="O1865" s="22" t="str">
        <f aca="false">IF($B1865="","",G1865*N1865)</f>
        <v/>
      </c>
      <c r="P1865" s="22" t="str">
        <f aca="false">IF($B1865="","",IFERROR(INDEX(고객사!$K$5:$K$104,MATCH($B1865,고객사!$A$5:$A$104,0)),0))</f>
        <v/>
      </c>
      <c r="Q1865" s="22" t="str">
        <f aca="false">IF($B1865="","",G1865*P1865)</f>
        <v/>
      </c>
      <c r="R1865" s="22" t="str">
        <f aca="false">IF($B1865="","",O1865-Q1865-L1865)</f>
        <v/>
      </c>
      <c r="S1865" s="21" t="str">
        <f aca="false">IF(OR($B1865="",N(O1865)=0),"",R1865/O1865)</f>
        <v/>
      </c>
      <c r="T1865" s="14"/>
      <c r="U1865" s="19" t="n">
        <f aca="false">IF(OR($B1865="",$A1865=""),0,IF(COUNTIFS($A$5:$A1865,$A1865,$B$5:$B1865,$B1865)=1,1,0))</f>
        <v>0</v>
      </c>
    </row>
    <row r="1866" customFormat="false" ht="15" hidden="false" customHeight="false" outlineLevel="0" collapsed="false">
      <c r="A1866" s="17"/>
      <c r="B1866" s="13"/>
      <c r="C1866" s="20" t="str">
        <f aca="false">IF($B1866="","",IFERROR(INDEX(고객사!$B$5:$B$104,MATCH($B1866,고객사!$A$5:$A$104,0)),"코드 확인"))</f>
        <v/>
      </c>
      <c r="D1866" s="15"/>
      <c r="E1866" s="15"/>
      <c r="F1866" s="16"/>
      <c r="G1866" s="16"/>
      <c r="H1866" s="21" t="str">
        <f aca="false">IF(OR($B1866="",F1866=0),"",G1866/F1866)</f>
        <v/>
      </c>
      <c r="I1866" s="22" t="str">
        <f aca="false">IF($B1866="","",MAX(F1866-G1866,0))</f>
        <v/>
      </c>
      <c r="J1866" s="23" t="str">
        <f aca="false">IF($B1866="","",IFERROR(INDEX(고객사!$G$5:$G$104,MATCH($B1866,고객사!$A$5:$A$104,0)),""))</f>
        <v/>
      </c>
      <c r="K1866" s="16"/>
      <c r="L1866" s="22" t="str">
        <f aca="false">IF($B1866="","",K1866*IFERROR(INDEX(고객사!$L$5:$L$104,MATCH($B1866,고객사!$A$5:$A$104,0)),0))</f>
        <v/>
      </c>
      <c r="M1866" s="23" t="str">
        <f aca="false">IF($B1866="","",IF(AND(J1866="N",G1866&gt;0,K1866=0,IFERROR(INDEX(고객사!$H$5:$H$104,MATCH($B1866,고객사!$A$5:$A$104,0)),"")="자사 차량 운행"),"차량 미배정",""))</f>
        <v/>
      </c>
      <c r="N1866" s="22" t="str">
        <f aca="false">IF($B1866="","",IFERROR(INDEX(고객사!$J$5:$J$104,MATCH($B1866,고객사!$A$5:$A$104,0)),0))</f>
        <v/>
      </c>
      <c r="O1866" s="22" t="str">
        <f aca="false">IF($B1866="","",G1866*N1866)</f>
        <v/>
      </c>
      <c r="P1866" s="22" t="str">
        <f aca="false">IF($B1866="","",IFERROR(INDEX(고객사!$K$5:$K$104,MATCH($B1866,고객사!$A$5:$A$104,0)),0))</f>
        <v/>
      </c>
      <c r="Q1866" s="22" t="str">
        <f aca="false">IF($B1866="","",G1866*P1866)</f>
        <v/>
      </c>
      <c r="R1866" s="22" t="str">
        <f aca="false">IF($B1866="","",O1866-Q1866-L1866)</f>
        <v/>
      </c>
      <c r="S1866" s="21" t="str">
        <f aca="false">IF(OR($B1866="",N(O1866)=0),"",R1866/O1866)</f>
        <v/>
      </c>
      <c r="T1866" s="14"/>
      <c r="U1866" s="19" t="n">
        <f aca="false">IF(OR($B1866="",$A1866=""),0,IF(COUNTIFS($A$5:$A1866,$A1866,$B$5:$B1866,$B1866)=1,1,0))</f>
        <v>0</v>
      </c>
    </row>
    <row r="1867" customFormat="false" ht="15" hidden="false" customHeight="false" outlineLevel="0" collapsed="false">
      <c r="A1867" s="17"/>
      <c r="B1867" s="13"/>
      <c r="C1867" s="20" t="str">
        <f aca="false">IF($B1867="","",IFERROR(INDEX(고객사!$B$5:$B$104,MATCH($B1867,고객사!$A$5:$A$104,0)),"코드 확인"))</f>
        <v/>
      </c>
      <c r="D1867" s="15"/>
      <c r="E1867" s="15"/>
      <c r="F1867" s="16"/>
      <c r="G1867" s="16"/>
      <c r="H1867" s="21" t="str">
        <f aca="false">IF(OR($B1867="",F1867=0),"",G1867/F1867)</f>
        <v/>
      </c>
      <c r="I1867" s="22" t="str">
        <f aca="false">IF($B1867="","",MAX(F1867-G1867,0))</f>
        <v/>
      </c>
      <c r="J1867" s="23" t="str">
        <f aca="false">IF($B1867="","",IFERROR(INDEX(고객사!$G$5:$G$104,MATCH($B1867,고객사!$A$5:$A$104,0)),""))</f>
        <v/>
      </c>
      <c r="K1867" s="16"/>
      <c r="L1867" s="22" t="str">
        <f aca="false">IF($B1867="","",K1867*IFERROR(INDEX(고객사!$L$5:$L$104,MATCH($B1867,고객사!$A$5:$A$104,0)),0))</f>
        <v/>
      </c>
      <c r="M1867" s="23" t="str">
        <f aca="false">IF($B1867="","",IF(AND(J1867="N",G1867&gt;0,K1867=0,IFERROR(INDEX(고객사!$H$5:$H$104,MATCH($B1867,고객사!$A$5:$A$104,0)),"")="자사 차량 운행"),"차량 미배정",""))</f>
        <v/>
      </c>
      <c r="N1867" s="22" t="str">
        <f aca="false">IF($B1867="","",IFERROR(INDEX(고객사!$J$5:$J$104,MATCH($B1867,고객사!$A$5:$A$104,0)),0))</f>
        <v/>
      </c>
      <c r="O1867" s="22" t="str">
        <f aca="false">IF($B1867="","",G1867*N1867)</f>
        <v/>
      </c>
      <c r="P1867" s="22" t="str">
        <f aca="false">IF($B1867="","",IFERROR(INDEX(고객사!$K$5:$K$104,MATCH($B1867,고객사!$A$5:$A$104,0)),0))</f>
        <v/>
      </c>
      <c r="Q1867" s="22" t="str">
        <f aca="false">IF($B1867="","",G1867*P1867)</f>
        <v/>
      </c>
      <c r="R1867" s="22" t="str">
        <f aca="false">IF($B1867="","",O1867-Q1867-L1867)</f>
        <v/>
      </c>
      <c r="S1867" s="21" t="str">
        <f aca="false">IF(OR($B1867="",N(O1867)=0),"",R1867/O1867)</f>
        <v/>
      </c>
      <c r="T1867" s="14"/>
      <c r="U1867" s="19" t="n">
        <f aca="false">IF(OR($B1867="",$A1867=""),0,IF(COUNTIFS($A$5:$A1867,$A1867,$B$5:$B1867,$B1867)=1,1,0))</f>
        <v>0</v>
      </c>
    </row>
    <row r="1868" customFormat="false" ht="15" hidden="false" customHeight="false" outlineLevel="0" collapsed="false">
      <c r="A1868" s="17"/>
      <c r="B1868" s="13"/>
      <c r="C1868" s="20" t="str">
        <f aca="false">IF($B1868="","",IFERROR(INDEX(고객사!$B$5:$B$104,MATCH($B1868,고객사!$A$5:$A$104,0)),"코드 확인"))</f>
        <v/>
      </c>
      <c r="D1868" s="15"/>
      <c r="E1868" s="15"/>
      <c r="F1868" s="16"/>
      <c r="G1868" s="16"/>
      <c r="H1868" s="21" t="str">
        <f aca="false">IF(OR($B1868="",F1868=0),"",G1868/F1868)</f>
        <v/>
      </c>
      <c r="I1868" s="22" t="str">
        <f aca="false">IF($B1868="","",MAX(F1868-G1868,0))</f>
        <v/>
      </c>
      <c r="J1868" s="23" t="str">
        <f aca="false">IF($B1868="","",IFERROR(INDEX(고객사!$G$5:$G$104,MATCH($B1868,고객사!$A$5:$A$104,0)),""))</f>
        <v/>
      </c>
      <c r="K1868" s="16"/>
      <c r="L1868" s="22" t="str">
        <f aca="false">IF($B1868="","",K1868*IFERROR(INDEX(고객사!$L$5:$L$104,MATCH($B1868,고객사!$A$5:$A$104,0)),0))</f>
        <v/>
      </c>
      <c r="M1868" s="23" t="str">
        <f aca="false">IF($B1868="","",IF(AND(J1868="N",G1868&gt;0,K1868=0,IFERROR(INDEX(고객사!$H$5:$H$104,MATCH($B1868,고객사!$A$5:$A$104,0)),"")="자사 차량 운행"),"차량 미배정",""))</f>
        <v/>
      </c>
      <c r="N1868" s="22" t="str">
        <f aca="false">IF($B1868="","",IFERROR(INDEX(고객사!$J$5:$J$104,MATCH($B1868,고객사!$A$5:$A$104,0)),0))</f>
        <v/>
      </c>
      <c r="O1868" s="22" t="str">
        <f aca="false">IF($B1868="","",G1868*N1868)</f>
        <v/>
      </c>
      <c r="P1868" s="22" t="str">
        <f aca="false">IF($B1868="","",IFERROR(INDEX(고객사!$K$5:$K$104,MATCH($B1868,고객사!$A$5:$A$104,0)),0))</f>
        <v/>
      </c>
      <c r="Q1868" s="22" t="str">
        <f aca="false">IF($B1868="","",G1868*P1868)</f>
        <v/>
      </c>
      <c r="R1868" s="22" t="str">
        <f aca="false">IF($B1868="","",O1868-Q1868-L1868)</f>
        <v/>
      </c>
      <c r="S1868" s="21" t="str">
        <f aca="false">IF(OR($B1868="",N(O1868)=0),"",R1868/O1868)</f>
        <v/>
      </c>
      <c r="T1868" s="14"/>
      <c r="U1868" s="19" t="n">
        <f aca="false">IF(OR($B1868="",$A1868=""),0,IF(COUNTIFS($A$5:$A1868,$A1868,$B$5:$B1868,$B1868)=1,1,0))</f>
        <v>0</v>
      </c>
    </row>
    <row r="1869" customFormat="false" ht="15" hidden="false" customHeight="false" outlineLevel="0" collapsed="false">
      <c r="A1869" s="17"/>
      <c r="B1869" s="13"/>
      <c r="C1869" s="20" t="str">
        <f aca="false">IF($B1869="","",IFERROR(INDEX(고객사!$B$5:$B$104,MATCH($B1869,고객사!$A$5:$A$104,0)),"코드 확인"))</f>
        <v/>
      </c>
      <c r="D1869" s="15"/>
      <c r="E1869" s="15"/>
      <c r="F1869" s="16"/>
      <c r="G1869" s="16"/>
      <c r="H1869" s="21" t="str">
        <f aca="false">IF(OR($B1869="",F1869=0),"",G1869/F1869)</f>
        <v/>
      </c>
      <c r="I1869" s="22" t="str">
        <f aca="false">IF($B1869="","",MAX(F1869-G1869,0))</f>
        <v/>
      </c>
      <c r="J1869" s="23" t="str">
        <f aca="false">IF($B1869="","",IFERROR(INDEX(고객사!$G$5:$G$104,MATCH($B1869,고객사!$A$5:$A$104,0)),""))</f>
        <v/>
      </c>
      <c r="K1869" s="16"/>
      <c r="L1869" s="22" t="str">
        <f aca="false">IF($B1869="","",K1869*IFERROR(INDEX(고객사!$L$5:$L$104,MATCH($B1869,고객사!$A$5:$A$104,0)),0))</f>
        <v/>
      </c>
      <c r="M1869" s="23" t="str">
        <f aca="false">IF($B1869="","",IF(AND(J1869="N",G1869&gt;0,K1869=0,IFERROR(INDEX(고객사!$H$5:$H$104,MATCH($B1869,고객사!$A$5:$A$104,0)),"")="자사 차량 운행"),"차량 미배정",""))</f>
        <v/>
      </c>
      <c r="N1869" s="22" t="str">
        <f aca="false">IF($B1869="","",IFERROR(INDEX(고객사!$J$5:$J$104,MATCH($B1869,고객사!$A$5:$A$104,0)),0))</f>
        <v/>
      </c>
      <c r="O1869" s="22" t="str">
        <f aca="false">IF($B1869="","",G1869*N1869)</f>
        <v/>
      </c>
      <c r="P1869" s="22" t="str">
        <f aca="false">IF($B1869="","",IFERROR(INDEX(고객사!$K$5:$K$104,MATCH($B1869,고객사!$A$5:$A$104,0)),0))</f>
        <v/>
      </c>
      <c r="Q1869" s="22" t="str">
        <f aca="false">IF($B1869="","",G1869*P1869)</f>
        <v/>
      </c>
      <c r="R1869" s="22" t="str">
        <f aca="false">IF($B1869="","",O1869-Q1869-L1869)</f>
        <v/>
      </c>
      <c r="S1869" s="21" t="str">
        <f aca="false">IF(OR($B1869="",N(O1869)=0),"",R1869/O1869)</f>
        <v/>
      </c>
      <c r="T1869" s="14"/>
      <c r="U1869" s="19" t="n">
        <f aca="false">IF(OR($B1869="",$A1869=""),0,IF(COUNTIFS($A$5:$A1869,$A1869,$B$5:$B1869,$B1869)=1,1,0))</f>
        <v>0</v>
      </c>
    </row>
    <row r="1870" customFormat="false" ht="15" hidden="false" customHeight="false" outlineLevel="0" collapsed="false">
      <c r="A1870" s="17"/>
      <c r="B1870" s="13"/>
      <c r="C1870" s="20" t="str">
        <f aca="false">IF($B1870="","",IFERROR(INDEX(고객사!$B$5:$B$104,MATCH($B1870,고객사!$A$5:$A$104,0)),"코드 확인"))</f>
        <v/>
      </c>
      <c r="D1870" s="15"/>
      <c r="E1870" s="15"/>
      <c r="F1870" s="16"/>
      <c r="G1870" s="16"/>
      <c r="H1870" s="21" t="str">
        <f aca="false">IF(OR($B1870="",F1870=0),"",G1870/F1870)</f>
        <v/>
      </c>
      <c r="I1870" s="22" t="str">
        <f aca="false">IF($B1870="","",MAX(F1870-G1870,0))</f>
        <v/>
      </c>
      <c r="J1870" s="23" t="str">
        <f aca="false">IF($B1870="","",IFERROR(INDEX(고객사!$G$5:$G$104,MATCH($B1870,고객사!$A$5:$A$104,0)),""))</f>
        <v/>
      </c>
      <c r="K1870" s="16"/>
      <c r="L1870" s="22" t="str">
        <f aca="false">IF($B1870="","",K1870*IFERROR(INDEX(고객사!$L$5:$L$104,MATCH($B1870,고객사!$A$5:$A$104,0)),0))</f>
        <v/>
      </c>
      <c r="M1870" s="23" t="str">
        <f aca="false">IF($B1870="","",IF(AND(J1870="N",G1870&gt;0,K1870=0,IFERROR(INDEX(고객사!$H$5:$H$104,MATCH($B1870,고객사!$A$5:$A$104,0)),"")="자사 차량 운행"),"차량 미배정",""))</f>
        <v/>
      </c>
      <c r="N1870" s="22" t="str">
        <f aca="false">IF($B1870="","",IFERROR(INDEX(고객사!$J$5:$J$104,MATCH($B1870,고객사!$A$5:$A$104,0)),0))</f>
        <v/>
      </c>
      <c r="O1870" s="22" t="str">
        <f aca="false">IF($B1870="","",G1870*N1870)</f>
        <v/>
      </c>
      <c r="P1870" s="22" t="str">
        <f aca="false">IF($B1870="","",IFERROR(INDEX(고객사!$K$5:$K$104,MATCH($B1870,고객사!$A$5:$A$104,0)),0))</f>
        <v/>
      </c>
      <c r="Q1870" s="22" t="str">
        <f aca="false">IF($B1870="","",G1870*P1870)</f>
        <v/>
      </c>
      <c r="R1870" s="22" t="str">
        <f aca="false">IF($B1870="","",O1870-Q1870-L1870)</f>
        <v/>
      </c>
      <c r="S1870" s="21" t="str">
        <f aca="false">IF(OR($B1870="",N(O1870)=0),"",R1870/O1870)</f>
        <v/>
      </c>
      <c r="T1870" s="14"/>
      <c r="U1870" s="19" t="n">
        <f aca="false">IF(OR($B1870="",$A1870=""),0,IF(COUNTIFS($A$5:$A1870,$A1870,$B$5:$B1870,$B1870)=1,1,0))</f>
        <v>0</v>
      </c>
    </row>
    <row r="1871" customFormat="false" ht="15" hidden="false" customHeight="false" outlineLevel="0" collapsed="false">
      <c r="A1871" s="17"/>
      <c r="B1871" s="13"/>
      <c r="C1871" s="20" t="str">
        <f aca="false">IF($B1871="","",IFERROR(INDEX(고객사!$B$5:$B$104,MATCH($B1871,고객사!$A$5:$A$104,0)),"코드 확인"))</f>
        <v/>
      </c>
      <c r="D1871" s="15"/>
      <c r="E1871" s="15"/>
      <c r="F1871" s="16"/>
      <c r="G1871" s="16"/>
      <c r="H1871" s="21" t="str">
        <f aca="false">IF(OR($B1871="",F1871=0),"",G1871/F1871)</f>
        <v/>
      </c>
      <c r="I1871" s="22" t="str">
        <f aca="false">IF($B1871="","",MAX(F1871-G1871,0))</f>
        <v/>
      </c>
      <c r="J1871" s="23" t="str">
        <f aca="false">IF($B1871="","",IFERROR(INDEX(고객사!$G$5:$G$104,MATCH($B1871,고객사!$A$5:$A$104,0)),""))</f>
        <v/>
      </c>
      <c r="K1871" s="16"/>
      <c r="L1871" s="22" t="str">
        <f aca="false">IF($B1871="","",K1871*IFERROR(INDEX(고객사!$L$5:$L$104,MATCH($B1871,고객사!$A$5:$A$104,0)),0))</f>
        <v/>
      </c>
      <c r="M1871" s="23" t="str">
        <f aca="false">IF($B1871="","",IF(AND(J1871="N",G1871&gt;0,K1871=0,IFERROR(INDEX(고객사!$H$5:$H$104,MATCH($B1871,고객사!$A$5:$A$104,0)),"")="자사 차량 운행"),"차량 미배정",""))</f>
        <v/>
      </c>
      <c r="N1871" s="22" t="str">
        <f aca="false">IF($B1871="","",IFERROR(INDEX(고객사!$J$5:$J$104,MATCH($B1871,고객사!$A$5:$A$104,0)),0))</f>
        <v/>
      </c>
      <c r="O1871" s="22" t="str">
        <f aca="false">IF($B1871="","",G1871*N1871)</f>
        <v/>
      </c>
      <c r="P1871" s="22" t="str">
        <f aca="false">IF($B1871="","",IFERROR(INDEX(고객사!$K$5:$K$104,MATCH($B1871,고객사!$A$5:$A$104,0)),0))</f>
        <v/>
      </c>
      <c r="Q1871" s="22" t="str">
        <f aca="false">IF($B1871="","",G1871*P1871)</f>
        <v/>
      </c>
      <c r="R1871" s="22" t="str">
        <f aca="false">IF($B1871="","",O1871-Q1871-L1871)</f>
        <v/>
      </c>
      <c r="S1871" s="21" t="str">
        <f aca="false">IF(OR($B1871="",N(O1871)=0),"",R1871/O1871)</f>
        <v/>
      </c>
      <c r="T1871" s="14"/>
      <c r="U1871" s="19" t="n">
        <f aca="false">IF(OR($B1871="",$A1871=""),0,IF(COUNTIFS($A$5:$A1871,$A1871,$B$5:$B1871,$B1871)=1,1,0))</f>
        <v>0</v>
      </c>
    </row>
    <row r="1872" customFormat="false" ht="15" hidden="false" customHeight="false" outlineLevel="0" collapsed="false">
      <c r="A1872" s="17"/>
      <c r="B1872" s="13"/>
      <c r="C1872" s="20" t="str">
        <f aca="false">IF($B1872="","",IFERROR(INDEX(고객사!$B$5:$B$104,MATCH($B1872,고객사!$A$5:$A$104,0)),"코드 확인"))</f>
        <v/>
      </c>
      <c r="D1872" s="15"/>
      <c r="E1872" s="15"/>
      <c r="F1872" s="16"/>
      <c r="G1872" s="16"/>
      <c r="H1872" s="21" t="str">
        <f aca="false">IF(OR($B1872="",F1872=0),"",G1872/F1872)</f>
        <v/>
      </c>
      <c r="I1872" s="22" t="str">
        <f aca="false">IF($B1872="","",MAX(F1872-G1872,0))</f>
        <v/>
      </c>
      <c r="J1872" s="23" t="str">
        <f aca="false">IF($B1872="","",IFERROR(INDEX(고객사!$G$5:$G$104,MATCH($B1872,고객사!$A$5:$A$104,0)),""))</f>
        <v/>
      </c>
      <c r="K1872" s="16"/>
      <c r="L1872" s="22" t="str">
        <f aca="false">IF($B1872="","",K1872*IFERROR(INDEX(고객사!$L$5:$L$104,MATCH($B1872,고객사!$A$5:$A$104,0)),0))</f>
        <v/>
      </c>
      <c r="M1872" s="23" t="str">
        <f aca="false">IF($B1872="","",IF(AND(J1872="N",G1872&gt;0,K1872=0,IFERROR(INDEX(고객사!$H$5:$H$104,MATCH($B1872,고객사!$A$5:$A$104,0)),"")="자사 차량 운행"),"차량 미배정",""))</f>
        <v/>
      </c>
      <c r="N1872" s="22" t="str">
        <f aca="false">IF($B1872="","",IFERROR(INDEX(고객사!$J$5:$J$104,MATCH($B1872,고객사!$A$5:$A$104,0)),0))</f>
        <v/>
      </c>
      <c r="O1872" s="22" t="str">
        <f aca="false">IF($B1872="","",G1872*N1872)</f>
        <v/>
      </c>
      <c r="P1872" s="22" t="str">
        <f aca="false">IF($B1872="","",IFERROR(INDEX(고객사!$K$5:$K$104,MATCH($B1872,고객사!$A$5:$A$104,0)),0))</f>
        <v/>
      </c>
      <c r="Q1872" s="22" t="str">
        <f aca="false">IF($B1872="","",G1872*P1872)</f>
        <v/>
      </c>
      <c r="R1872" s="22" t="str">
        <f aca="false">IF($B1872="","",O1872-Q1872-L1872)</f>
        <v/>
      </c>
      <c r="S1872" s="21" t="str">
        <f aca="false">IF(OR($B1872="",N(O1872)=0),"",R1872/O1872)</f>
        <v/>
      </c>
      <c r="T1872" s="14"/>
      <c r="U1872" s="19" t="n">
        <f aca="false">IF(OR($B1872="",$A1872=""),0,IF(COUNTIFS($A$5:$A1872,$A1872,$B$5:$B1872,$B1872)=1,1,0))</f>
        <v>0</v>
      </c>
    </row>
    <row r="1873" customFormat="false" ht="15" hidden="false" customHeight="false" outlineLevel="0" collapsed="false">
      <c r="A1873" s="17"/>
      <c r="B1873" s="13"/>
      <c r="C1873" s="20" t="str">
        <f aca="false">IF($B1873="","",IFERROR(INDEX(고객사!$B$5:$B$104,MATCH($B1873,고객사!$A$5:$A$104,0)),"코드 확인"))</f>
        <v/>
      </c>
      <c r="D1873" s="15"/>
      <c r="E1873" s="15"/>
      <c r="F1873" s="16"/>
      <c r="G1873" s="16"/>
      <c r="H1873" s="21" t="str">
        <f aca="false">IF(OR($B1873="",F1873=0),"",G1873/F1873)</f>
        <v/>
      </c>
      <c r="I1873" s="22" t="str">
        <f aca="false">IF($B1873="","",MAX(F1873-G1873,0))</f>
        <v/>
      </c>
      <c r="J1873" s="23" t="str">
        <f aca="false">IF($B1873="","",IFERROR(INDEX(고객사!$G$5:$G$104,MATCH($B1873,고객사!$A$5:$A$104,0)),""))</f>
        <v/>
      </c>
      <c r="K1873" s="16"/>
      <c r="L1873" s="22" t="str">
        <f aca="false">IF($B1873="","",K1873*IFERROR(INDEX(고객사!$L$5:$L$104,MATCH($B1873,고객사!$A$5:$A$104,0)),0))</f>
        <v/>
      </c>
      <c r="M1873" s="23" t="str">
        <f aca="false">IF($B1873="","",IF(AND(J1873="N",G1873&gt;0,K1873=0,IFERROR(INDEX(고객사!$H$5:$H$104,MATCH($B1873,고객사!$A$5:$A$104,0)),"")="자사 차량 운행"),"차량 미배정",""))</f>
        <v/>
      </c>
      <c r="N1873" s="22" t="str">
        <f aca="false">IF($B1873="","",IFERROR(INDEX(고객사!$J$5:$J$104,MATCH($B1873,고객사!$A$5:$A$104,0)),0))</f>
        <v/>
      </c>
      <c r="O1873" s="22" t="str">
        <f aca="false">IF($B1873="","",G1873*N1873)</f>
        <v/>
      </c>
      <c r="P1873" s="22" t="str">
        <f aca="false">IF($B1873="","",IFERROR(INDEX(고객사!$K$5:$K$104,MATCH($B1873,고객사!$A$5:$A$104,0)),0))</f>
        <v/>
      </c>
      <c r="Q1873" s="22" t="str">
        <f aca="false">IF($B1873="","",G1873*P1873)</f>
        <v/>
      </c>
      <c r="R1873" s="22" t="str">
        <f aca="false">IF($B1873="","",O1873-Q1873-L1873)</f>
        <v/>
      </c>
      <c r="S1873" s="21" t="str">
        <f aca="false">IF(OR($B1873="",N(O1873)=0),"",R1873/O1873)</f>
        <v/>
      </c>
      <c r="T1873" s="14"/>
      <c r="U1873" s="19" t="n">
        <f aca="false">IF(OR($B1873="",$A1873=""),0,IF(COUNTIFS($A$5:$A1873,$A1873,$B$5:$B1873,$B1873)=1,1,0))</f>
        <v>0</v>
      </c>
    </row>
    <row r="1874" customFormat="false" ht="15" hidden="false" customHeight="false" outlineLevel="0" collapsed="false">
      <c r="A1874" s="17"/>
      <c r="B1874" s="13"/>
      <c r="C1874" s="20" t="str">
        <f aca="false">IF($B1874="","",IFERROR(INDEX(고객사!$B$5:$B$104,MATCH($B1874,고객사!$A$5:$A$104,0)),"코드 확인"))</f>
        <v/>
      </c>
      <c r="D1874" s="15"/>
      <c r="E1874" s="15"/>
      <c r="F1874" s="16"/>
      <c r="G1874" s="16"/>
      <c r="H1874" s="21" t="str">
        <f aca="false">IF(OR($B1874="",F1874=0),"",G1874/F1874)</f>
        <v/>
      </c>
      <c r="I1874" s="22" t="str">
        <f aca="false">IF($B1874="","",MAX(F1874-G1874,0))</f>
        <v/>
      </c>
      <c r="J1874" s="23" t="str">
        <f aca="false">IF($B1874="","",IFERROR(INDEX(고객사!$G$5:$G$104,MATCH($B1874,고객사!$A$5:$A$104,0)),""))</f>
        <v/>
      </c>
      <c r="K1874" s="16"/>
      <c r="L1874" s="22" t="str">
        <f aca="false">IF($B1874="","",K1874*IFERROR(INDEX(고객사!$L$5:$L$104,MATCH($B1874,고객사!$A$5:$A$104,0)),0))</f>
        <v/>
      </c>
      <c r="M1874" s="23" t="str">
        <f aca="false">IF($B1874="","",IF(AND(J1874="N",G1874&gt;0,K1874=0,IFERROR(INDEX(고객사!$H$5:$H$104,MATCH($B1874,고객사!$A$5:$A$104,0)),"")="자사 차량 운행"),"차량 미배정",""))</f>
        <v/>
      </c>
      <c r="N1874" s="22" t="str">
        <f aca="false">IF($B1874="","",IFERROR(INDEX(고객사!$J$5:$J$104,MATCH($B1874,고객사!$A$5:$A$104,0)),0))</f>
        <v/>
      </c>
      <c r="O1874" s="22" t="str">
        <f aca="false">IF($B1874="","",G1874*N1874)</f>
        <v/>
      </c>
      <c r="P1874" s="22" t="str">
        <f aca="false">IF($B1874="","",IFERROR(INDEX(고객사!$K$5:$K$104,MATCH($B1874,고객사!$A$5:$A$104,0)),0))</f>
        <v/>
      </c>
      <c r="Q1874" s="22" t="str">
        <f aca="false">IF($B1874="","",G1874*P1874)</f>
        <v/>
      </c>
      <c r="R1874" s="22" t="str">
        <f aca="false">IF($B1874="","",O1874-Q1874-L1874)</f>
        <v/>
      </c>
      <c r="S1874" s="21" t="str">
        <f aca="false">IF(OR($B1874="",N(O1874)=0),"",R1874/O1874)</f>
        <v/>
      </c>
      <c r="T1874" s="14"/>
      <c r="U1874" s="19" t="n">
        <f aca="false">IF(OR($B1874="",$A1874=""),0,IF(COUNTIFS($A$5:$A1874,$A1874,$B$5:$B1874,$B1874)=1,1,0))</f>
        <v>0</v>
      </c>
    </row>
    <row r="1875" customFormat="false" ht="15" hidden="false" customHeight="false" outlineLevel="0" collapsed="false">
      <c r="A1875" s="17"/>
      <c r="B1875" s="13"/>
      <c r="C1875" s="20" t="str">
        <f aca="false">IF($B1875="","",IFERROR(INDEX(고객사!$B$5:$B$104,MATCH($B1875,고객사!$A$5:$A$104,0)),"코드 확인"))</f>
        <v/>
      </c>
      <c r="D1875" s="15"/>
      <c r="E1875" s="15"/>
      <c r="F1875" s="16"/>
      <c r="G1875" s="16"/>
      <c r="H1875" s="21" t="str">
        <f aca="false">IF(OR($B1875="",F1875=0),"",G1875/F1875)</f>
        <v/>
      </c>
      <c r="I1875" s="22" t="str">
        <f aca="false">IF($B1875="","",MAX(F1875-G1875,0))</f>
        <v/>
      </c>
      <c r="J1875" s="23" t="str">
        <f aca="false">IF($B1875="","",IFERROR(INDEX(고객사!$G$5:$G$104,MATCH($B1875,고객사!$A$5:$A$104,0)),""))</f>
        <v/>
      </c>
      <c r="K1875" s="16"/>
      <c r="L1875" s="22" t="str">
        <f aca="false">IF($B1875="","",K1875*IFERROR(INDEX(고객사!$L$5:$L$104,MATCH($B1875,고객사!$A$5:$A$104,0)),0))</f>
        <v/>
      </c>
      <c r="M1875" s="23" t="str">
        <f aca="false">IF($B1875="","",IF(AND(J1875="N",G1875&gt;0,K1875=0,IFERROR(INDEX(고객사!$H$5:$H$104,MATCH($B1875,고객사!$A$5:$A$104,0)),"")="자사 차량 운행"),"차량 미배정",""))</f>
        <v/>
      </c>
      <c r="N1875" s="22" t="str">
        <f aca="false">IF($B1875="","",IFERROR(INDEX(고객사!$J$5:$J$104,MATCH($B1875,고객사!$A$5:$A$104,0)),0))</f>
        <v/>
      </c>
      <c r="O1875" s="22" t="str">
        <f aca="false">IF($B1875="","",G1875*N1875)</f>
        <v/>
      </c>
      <c r="P1875" s="22" t="str">
        <f aca="false">IF($B1875="","",IFERROR(INDEX(고객사!$K$5:$K$104,MATCH($B1875,고객사!$A$5:$A$104,0)),0))</f>
        <v/>
      </c>
      <c r="Q1875" s="22" t="str">
        <f aca="false">IF($B1875="","",G1875*P1875)</f>
        <v/>
      </c>
      <c r="R1875" s="22" t="str">
        <f aca="false">IF($B1875="","",O1875-Q1875-L1875)</f>
        <v/>
      </c>
      <c r="S1875" s="21" t="str">
        <f aca="false">IF(OR($B1875="",N(O1875)=0),"",R1875/O1875)</f>
        <v/>
      </c>
      <c r="T1875" s="14"/>
      <c r="U1875" s="19" t="n">
        <f aca="false">IF(OR($B1875="",$A1875=""),0,IF(COUNTIFS($A$5:$A1875,$A1875,$B$5:$B1875,$B1875)=1,1,0))</f>
        <v>0</v>
      </c>
    </row>
    <row r="1876" customFormat="false" ht="15" hidden="false" customHeight="false" outlineLevel="0" collapsed="false">
      <c r="A1876" s="17"/>
      <c r="B1876" s="13"/>
      <c r="C1876" s="20" t="str">
        <f aca="false">IF($B1876="","",IFERROR(INDEX(고객사!$B$5:$B$104,MATCH($B1876,고객사!$A$5:$A$104,0)),"코드 확인"))</f>
        <v/>
      </c>
      <c r="D1876" s="15"/>
      <c r="E1876" s="15"/>
      <c r="F1876" s="16"/>
      <c r="G1876" s="16"/>
      <c r="H1876" s="21" t="str">
        <f aca="false">IF(OR($B1876="",F1876=0),"",G1876/F1876)</f>
        <v/>
      </c>
      <c r="I1876" s="22" t="str">
        <f aca="false">IF($B1876="","",MAX(F1876-G1876,0))</f>
        <v/>
      </c>
      <c r="J1876" s="23" t="str">
        <f aca="false">IF($B1876="","",IFERROR(INDEX(고객사!$G$5:$G$104,MATCH($B1876,고객사!$A$5:$A$104,0)),""))</f>
        <v/>
      </c>
      <c r="K1876" s="16"/>
      <c r="L1876" s="22" t="str">
        <f aca="false">IF($B1876="","",K1876*IFERROR(INDEX(고객사!$L$5:$L$104,MATCH($B1876,고객사!$A$5:$A$104,0)),0))</f>
        <v/>
      </c>
      <c r="M1876" s="23" t="str">
        <f aca="false">IF($B1876="","",IF(AND(J1876="N",G1876&gt;0,K1876=0,IFERROR(INDEX(고객사!$H$5:$H$104,MATCH($B1876,고객사!$A$5:$A$104,0)),"")="자사 차량 운행"),"차량 미배정",""))</f>
        <v/>
      </c>
      <c r="N1876" s="22" t="str">
        <f aca="false">IF($B1876="","",IFERROR(INDEX(고객사!$J$5:$J$104,MATCH($B1876,고객사!$A$5:$A$104,0)),0))</f>
        <v/>
      </c>
      <c r="O1876" s="22" t="str">
        <f aca="false">IF($B1876="","",G1876*N1876)</f>
        <v/>
      </c>
      <c r="P1876" s="22" t="str">
        <f aca="false">IF($B1876="","",IFERROR(INDEX(고객사!$K$5:$K$104,MATCH($B1876,고객사!$A$5:$A$104,0)),0))</f>
        <v/>
      </c>
      <c r="Q1876" s="22" t="str">
        <f aca="false">IF($B1876="","",G1876*P1876)</f>
        <v/>
      </c>
      <c r="R1876" s="22" t="str">
        <f aca="false">IF($B1876="","",O1876-Q1876-L1876)</f>
        <v/>
      </c>
      <c r="S1876" s="21" t="str">
        <f aca="false">IF(OR($B1876="",N(O1876)=0),"",R1876/O1876)</f>
        <v/>
      </c>
      <c r="T1876" s="14"/>
      <c r="U1876" s="19" t="n">
        <f aca="false">IF(OR($B1876="",$A1876=""),0,IF(COUNTIFS($A$5:$A1876,$A1876,$B$5:$B1876,$B1876)=1,1,0))</f>
        <v>0</v>
      </c>
    </row>
    <row r="1877" customFormat="false" ht="15" hidden="false" customHeight="false" outlineLevel="0" collapsed="false">
      <c r="A1877" s="17"/>
      <c r="B1877" s="13"/>
      <c r="C1877" s="20" t="str">
        <f aca="false">IF($B1877="","",IFERROR(INDEX(고객사!$B$5:$B$104,MATCH($B1877,고객사!$A$5:$A$104,0)),"코드 확인"))</f>
        <v/>
      </c>
      <c r="D1877" s="15"/>
      <c r="E1877" s="15"/>
      <c r="F1877" s="16"/>
      <c r="G1877" s="16"/>
      <c r="H1877" s="21" t="str">
        <f aca="false">IF(OR($B1877="",F1877=0),"",G1877/F1877)</f>
        <v/>
      </c>
      <c r="I1877" s="22" t="str">
        <f aca="false">IF($B1877="","",MAX(F1877-G1877,0))</f>
        <v/>
      </c>
      <c r="J1877" s="23" t="str">
        <f aca="false">IF($B1877="","",IFERROR(INDEX(고객사!$G$5:$G$104,MATCH($B1877,고객사!$A$5:$A$104,0)),""))</f>
        <v/>
      </c>
      <c r="K1877" s="16"/>
      <c r="L1877" s="22" t="str">
        <f aca="false">IF($B1877="","",K1877*IFERROR(INDEX(고객사!$L$5:$L$104,MATCH($B1877,고객사!$A$5:$A$104,0)),0))</f>
        <v/>
      </c>
      <c r="M1877" s="23" t="str">
        <f aca="false">IF($B1877="","",IF(AND(J1877="N",G1877&gt;0,K1877=0,IFERROR(INDEX(고객사!$H$5:$H$104,MATCH($B1877,고객사!$A$5:$A$104,0)),"")="자사 차량 운행"),"차량 미배정",""))</f>
        <v/>
      </c>
      <c r="N1877" s="22" t="str">
        <f aca="false">IF($B1877="","",IFERROR(INDEX(고객사!$J$5:$J$104,MATCH($B1877,고객사!$A$5:$A$104,0)),0))</f>
        <v/>
      </c>
      <c r="O1877" s="22" t="str">
        <f aca="false">IF($B1877="","",G1877*N1877)</f>
        <v/>
      </c>
      <c r="P1877" s="22" t="str">
        <f aca="false">IF($B1877="","",IFERROR(INDEX(고객사!$K$5:$K$104,MATCH($B1877,고객사!$A$5:$A$104,0)),0))</f>
        <v/>
      </c>
      <c r="Q1877" s="22" t="str">
        <f aca="false">IF($B1877="","",G1877*P1877)</f>
        <v/>
      </c>
      <c r="R1877" s="22" t="str">
        <f aca="false">IF($B1877="","",O1877-Q1877-L1877)</f>
        <v/>
      </c>
      <c r="S1877" s="21" t="str">
        <f aca="false">IF(OR($B1877="",N(O1877)=0),"",R1877/O1877)</f>
        <v/>
      </c>
      <c r="T1877" s="14"/>
      <c r="U1877" s="19" t="n">
        <f aca="false">IF(OR($B1877="",$A1877=""),0,IF(COUNTIFS($A$5:$A1877,$A1877,$B$5:$B1877,$B1877)=1,1,0))</f>
        <v>0</v>
      </c>
    </row>
    <row r="1878" customFormat="false" ht="15" hidden="false" customHeight="false" outlineLevel="0" collapsed="false">
      <c r="A1878" s="17"/>
      <c r="B1878" s="13"/>
      <c r="C1878" s="20" t="str">
        <f aca="false">IF($B1878="","",IFERROR(INDEX(고객사!$B$5:$B$104,MATCH($B1878,고객사!$A$5:$A$104,0)),"코드 확인"))</f>
        <v/>
      </c>
      <c r="D1878" s="15"/>
      <c r="E1878" s="15"/>
      <c r="F1878" s="16"/>
      <c r="G1878" s="16"/>
      <c r="H1878" s="21" t="str">
        <f aca="false">IF(OR($B1878="",F1878=0),"",G1878/F1878)</f>
        <v/>
      </c>
      <c r="I1878" s="22" t="str">
        <f aca="false">IF($B1878="","",MAX(F1878-G1878,0))</f>
        <v/>
      </c>
      <c r="J1878" s="23" t="str">
        <f aca="false">IF($B1878="","",IFERROR(INDEX(고객사!$G$5:$G$104,MATCH($B1878,고객사!$A$5:$A$104,0)),""))</f>
        <v/>
      </c>
      <c r="K1878" s="16"/>
      <c r="L1878" s="22" t="str">
        <f aca="false">IF($B1878="","",K1878*IFERROR(INDEX(고객사!$L$5:$L$104,MATCH($B1878,고객사!$A$5:$A$104,0)),0))</f>
        <v/>
      </c>
      <c r="M1878" s="23" t="str">
        <f aca="false">IF($B1878="","",IF(AND(J1878="N",G1878&gt;0,K1878=0,IFERROR(INDEX(고객사!$H$5:$H$104,MATCH($B1878,고객사!$A$5:$A$104,0)),"")="자사 차량 운행"),"차량 미배정",""))</f>
        <v/>
      </c>
      <c r="N1878" s="22" t="str">
        <f aca="false">IF($B1878="","",IFERROR(INDEX(고객사!$J$5:$J$104,MATCH($B1878,고객사!$A$5:$A$104,0)),0))</f>
        <v/>
      </c>
      <c r="O1878" s="22" t="str">
        <f aca="false">IF($B1878="","",G1878*N1878)</f>
        <v/>
      </c>
      <c r="P1878" s="22" t="str">
        <f aca="false">IF($B1878="","",IFERROR(INDEX(고객사!$K$5:$K$104,MATCH($B1878,고객사!$A$5:$A$104,0)),0))</f>
        <v/>
      </c>
      <c r="Q1878" s="22" t="str">
        <f aca="false">IF($B1878="","",G1878*P1878)</f>
        <v/>
      </c>
      <c r="R1878" s="22" t="str">
        <f aca="false">IF($B1878="","",O1878-Q1878-L1878)</f>
        <v/>
      </c>
      <c r="S1878" s="21" t="str">
        <f aca="false">IF(OR($B1878="",N(O1878)=0),"",R1878/O1878)</f>
        <v/>
      </c>
      <c r="T1878" s="14"/>
      <c r="U1878" s="19" t="n">
        <f aca="false">IF(OR($B1878="",$A1878=""),0,IF(COUNTIFS($A$5:$A1878,$A1878,$B$5:$B1878,$B1878)=1,1,0))</f>
        <v>0</v>
      </c>
    </row>
    <row r="1879" customFormat="false" ht="15" hidden="false" customHeight="false" outlineLevel="0" collapsed="false">
      <c r="A1879" s="17"/>
      <c r="B1879" s="13"/>
      <c r="C1879" s="20" t="str">
        <f aca="false">IF($B1879="","",IFERROR(INDEX(고객사!$B$5:$B$104,MATCH($B1879,고객사!$A$5:$A$104,0)),"코드 확인"))</f>
        <v/>
      </c>
      <c r="D1879" s="15"/>
      <c r="E1879" s="15"/>
      <c r="F1879" s="16"/>
      <c r="G1879" s="16"/>
      <c r="H1879" s="21" t="str">
        <f aca="false">IF(OR($B1879="",F1879=0),"",G1879/F1879)</f>
        <v/>
      </c>
      <c r="I1879" s="22" t="str">
        <f aca="false">IF($B1879="","",MAX(F1879-G1879,0))</f>
        <v/>
      </c>
      <c r="J1879" s="23" t="str">
        <f aca="false">IF($B1879="","",IFERROR(INDEX(고객사!$G$5:$G$104,MATCH($B1879,고객사!$A$5:$A$104,0)),""))</f>
        <v/>
      </c>
      <c r="K1879" s="16"/>
      <c r="L1879" s="22" t="str">
        <f aca="false">IF($B1879="","",K1879*IFERROR(INDEX(고객사!$L$5:$L$104,MATCH($B1879,고객사!$A$5:$A$104,0)),0))</f>
        <v/>
      </c>
      <c r="M1879" s="23" t="str">
        <f aca="false">IF($B1879="","",IF(AND(J1879="N",G1879&gt;0,K1879=0,IFERROR(INDEX(고객사!$H$5:$H$104,MATCH($B1879,고객사!$A$5:$A$104,0)),"")="자사 차량 운행"),"차량 미배정",""))</f>
        <v/>
      </c>
      <c r="N1879" s="22" t="str">
        <f aca="false">IF($B1879="","",IFERROR(INDEX(고객사!$J$5:$J$104,MATCH($B1879,고객사!$A$5:$A$104,0)),0))</f>
        <v/>
      </c>
      <c r="O1879" s="22" t="str">
        <f aca="false">IF($B1879="","",G1879*N1879)</f>
        <v/>
      </c>
      <c r="P1879" s="22" t="str">
        <f aca="false">IF($B1879="","",IFERROR(INDEX(고객사!$K$5:$K$104,MATCH($B1879,고객사!$A$5:$A$104,0)),0))</f>
        <v/>
      </c>
      <c r="Q1879" s="22" t="str">
        <f aca="false">IF($B1879="","",G1879*P1879)</f>
        <v/>
      </c>
      <c r="R1879" s="22" t="str">
        <f aca="false">IF($B1879="","",O1879-Q1879-L1879)</f>
        <v/>
      </c>
      <c r="S1879" s="21" t="str">
        <f aca="false">IF(OR($B1879="",N(O1879)=0),"",R1879/O1879)</f>
        <v/>
      </c>
      <c r="T1879" s="14"/>
      <c r="U1879" s="19" t="n">
        <f aca="false">IF(OR($B1879="",$A1879=""),0,IF(COUNTIFS($A$5:$A1879,$A1879,$B$5:$B1879,$B1879)=1,1,0))</f>
        <v>0</v>
      </c>
    </row>
    <row r="1880" customFormat="false" ht="15" hidden="false" customHeight="false" outlineLevel="0" collapsed="false">
      <c r="A1880" s="17"/>
      <c r="B1880" s="13"/>
      <c r="C1880" s="20" t="str">
        <f aca="false">IF($B1880="","",IFERROR(INDEX(고객사!$B$5:$B$104,MATCH($B1880,고객사!$A$5:$A$104,0)),"코드 확인"))</f>
        <v/>
      </c>
      <c r="D1880" s="15"/>
      <c r="E1880" s="15"/>
      <c r="F1880" s="16"/>
      <c r="G1880" s="16"/>
      <c r="H1880" s="21" t="str">
        <f aca="false">IF(OR($B1880="",F1880=0),"",G1880/F1880)</f>
        <v/>
      </c>
      <c r="I1880" s="22" t="str">
        <f aca="false">IF($B1880="","",MAX(F1880-G1880,0))</f>
        <v/>
      </c>
      <c r="J1880" s="23" t="str">
        <f aca="false">IF($B1880="","",IFERROR(INDEX(고객사!$G$5:$G$104,MATCH($B1880,고객사!$A$5:$A$104,0)),""))</f>
        <v/>
      </c>
      <c r="K1880" s="16"/>
      <c r="L1880" s="22" t="str">
        <f aca="false">IF($B1880="","",K1880*IFERROR(INDEX(고객사!$L$5:$L$104,MATCH($B1880,고객사!$A$5:$A$104,0)),0))</f>
        <v/>
      </c>
      <c r="M1880" s="23" t="str">
        <f aca="false">IF($B1880="","",IF(AND(J1880="N",G1880&gt;0,K1880=0,IFERROR(INDEX(고객사!$H$5:$H$104,MATCH($B1880,고객사!$A$5:$A$104,0)),"")="자사 차량 운행"),"차량 미배정",""))</f>
        <v/>
      </c>
      <c r="N1880" s="22" t="str">
        <f aca="false">IF($B1880="","",IFERROR(INDEX(고객사!$J$5:$J$104,MATCH($B1880,고객사!$A$5:$A$104,0)),0))</f>
        <v/>
      </c>
      <c r="O1880" s="22" t="str">
        <f aca="false">IF($B1880="","",G1880*N1880)</f>
        <v/>
      </c>
      <c r="P1880" s="22" t="str">
        <f aca="false">IF($B1880="","",IFERROR(INDEX(고객사!$K$5:$K$104,MATCH($B1880,고객사!$A$5:$A$104,0)),0))</f>
        <v/>
      </c>
      <c r="Q1880" s="22" t="str">
        <f aca="false">IF($B1880="","",G1880*P1880)</f>
        <v/>
      </c>
      <c r="R1880" s="22" t="str">
        <f aca="false">IF($B1880="","",O1880-Q1880-L1880)</f>
        <v/>
      </c>
      <c r="S1880" s="21" t="str">
        <f aca="false">IF(OR($B1880="",N(O1880)=0),"",R1880/O1880)</f>
        <v/>
      </c>
      <c r="T1880" s="14"/>
      <c r="U1880" s="19" t="n">
        <f aca="false">IF(OR($B1880="",$A1880=""),0,IF(COUNTIFS($A$5:$A1880,$A1880,$B$5:$B1880,$B1880)=1,1,0))</f>
        <v>0</v>
      </c>
    </row>
    <row r="1881" customFormat="false" ht="15" hidden="false" customHeight="false" outlineLevel="0" collapsed="false">
      <c r="A1881" s="17"/>
      <c r="B1881" s="13"/>
      <c r="C1881" s="20" t="str">
        <f aca="false">IF($B1881="","",IFERROR(INDEX(고객사!$B$5:$B$104,MATCH($B1881,고객사!$A$5:$A$104,0)),"코드 확인"))</f>
        <v/>
      </c>
      <c r="D1881" s="15"/>
      <c r="E1881" s="15"/>
      <c r="F1881" s="16"/>
      <c r="G1881" s="16"/>
      <c r="H1881" s="21" t="str">
        <f aca="false">IF(OR($B1881="",F1881=0),"",G1881/F1881)</f>
        <v/>
      </c>
      <c r="I1881" s="22" t="str">
        <f aca="false">IF($B1881="","",MAX(F1881-G1881,0))</f>
        <v/>
      </c>
      <c r="J1881" s="23" t="str">
        <f aca="false">IF($B1881="","",IFERROR(INDEX(고객사!$G$5:$G$104,MATCH($B1881,고객사!$A$5:$A$104,0)),""))</f>
        <v/>
      </c>
      <c r="K1881" s="16"/>
      <c r="L1881" s="22" t="str">
        <f aca="false">IF($B1881="","",K1881*IFERROR(INDEX(고객사!$L$5:$L$104,MATCH($B1881,고객사!$A$5:$A$104,0)),0))</f>
        <v/>
      </c>
      <c r="M1881" s="23" t="str">
        <f aca="false">IF($B1881="","",IF(AND(J1881="N",G1881&gt;0,K1881=0,IFERROR(INDEX(고객사!$H$5:$H$104,MATCH($B1881,고객사!$A$5:$A$104,0)),"")="자사 차량 운행"),"차량 미배정",""))</f>
        <v/>
      </c>
      <c r="N1881" s="22" t="str">
        <f aca="false">IF($B1881="","",IFERROR(INDEX(고객사!$J$5:$J$104,MATCH($B1881,고객사!$A$5:$A$104,0)),0))</f>
        <v/>
      </c>
      <c r="O1881" s="22" t="str">
        <f aca="false">IF($B1881="","",G1881*N1881)</f>
        <v/>
      </c>
      <c r="P1881" s="22" t="str">
        <f aca="false">IF($B1881="","",IFERROR(INDEX(고객사!$K$5:$K$104,MATCH($B1881,고객사!$A$5:$A$104,0)),0))</f>
        <v/>
      </c>
      <c r="Q1881" s="22" t="str">
        <f aca="false">IF($B1881="","",G1881*P1881)</f>
        <v/>
      </c>
      <c r="R1881" s="22" t="str">
        <f aca="false">IF($B1881="","",O1881-Q1881-L1881)</f>
        <v/>
      </c>
      <c r="S1881" s="21" t="str">
        <f aca="false">IF(OR($B1881="",N(O1881)=0),"",R1881/O1881)</f>
        <v/>
      </c>
      <c r="T1881" s="14"/>
      <c r="U1881" s="19" t="n">
        <f aca="false">IF(OR($B1881="",$A1881=""),0,IF(COUNTIFS($A$5:$A1881,$A1881,$B$5:$B1881,$B1881)=1,1,0))</f>
        <v>0</v>
      </c>
    </row>
    <row r="1882" customFormat="false" ht="15" hidden="false" customHeight="false" outlineLevel="0" collapsed="false">
      <c r="A1882" s="17"/>
      <c r="B1882" s="13"/>
      <c r="C1882" s="20" t="str">
        <f aca="false">IF($B1882="","",IFERROR(INDEX(고객사!$B$5:$B$104,MATCH($B1882,고객사!$A$5:$A$104,0)),"코드 확인"))</f>
        <v/>
      </c>
      <c r="D1882" s="15"/>
      <c r="E1882" s="15"/>
      <c r="F1882" s="16"/>
      <c r="G1882" s="16"/>
      <c r="H1882" s="21" t="str">
        <f aca="false">IF(OR($B1882="",F1882=0),"",G1882/F1882)</f>
        <v/>
      </c>
      <c r="I1882" s="22" t="str">
        <f aca="false">IF($B1882="","",MAX(F1882-G1882,0))</f>
        <v/>
      </c>
      <c r="J1882" s="23" t="str">
        <f aca="false">IF($B1882="","",IFERROR(INDEX(고객사!$G$5:$G$104,MATCH($B1882,고객사!$A$5:$A$104,0)),""))</f>
        <v/>
      </c>
      <c r="K1882" s="16"/>
      <c r="L1882" s="22" t="str">
        <f aca="false">IF($B1882="","",K1882*IFERROR(INDEX(고객사!$L$5:$L$104,MATCH($B1882,고객사!$A$5:$A$104,0)),0))</f>
        <v/>
      </c>
      <c r="M1882" s="23" t="str">
        <f aca="false">IF($B1882="","",IF(AND(J1882="N",G1882&gt;0,K1882=0,IFERROR(INDEX(고객사!$H$5:$H$104,MATCH($B1882,고객사!$A$5:$A$104,0)),"")="자사 차량 운행"),"차량 미배정",""))</f>
        <v/>
      </c>
      <c r="N1882" s="22" t="str">
        <f aca="false">IF($B1882="","",IFERROR(INDEX(고객사!$J$5:$J$104,MATCH($B1882,고객사!$A$5:$A$104,0)),0))</f>
        <v/>
      </c>
      <c r="O1882" s="22" t="str">
        <f aca="false">IF($B1882="","",G1882*N1882)</f>
        <v/>
      </c>
      <c r="P1882" s="22" t="str">
        <f aca="false">IF($B1882="","",IFERROR(INDEX(고객사!$K$5:$K$104,MATCH($B1882,고객사!$A$5:$A$104,0)),0))</f>
        <v/>
      </c>
      <c r="Q1882" s="22" t="str">
        <f aca="false">IF($B1882="","",G1882*P1882)</f>
        <v/>
      </c>
      <c r="R1882" s="22" t="str">
        <f aca="false">IF($B1882="","",O1882-Q1882-L1882)</f>
        <v/>
      </c>
      <c r="S1882" s="21" t="str">
        <f aca="false">IF(OR($B1882="",N(O1882)=0),"",R1882/O1882)</f>
        <v/>
      </c>
      <c r="T1882" s="14"/>
      <c r="U1882" s="19" t="n">
        <f aca="false">IF(OR($B1882="",$A1882=""),0,IF(COUNTIFS($A$5:$A1882,$A1882,$B$5:$B1882,$B1882)=1,1,0))</f>
        <v>0</v>
      </c>
    </row>
    <row r="1883" customFormat="false" ht="15" hidden="false" customHeight="false" outlineLevel="0" collapsed="false">
      <c r="A1883" s="17"/>
      <c r="B1883" s="13"/>
      <c r="C1883" s="20" t="str">
        <f aca="false">IF($B1883="","",IFERROR(INDEX(고객사!$B$5:$B$104,MATCH($B1883,고객사!$A$5:$A$104,0)),"코드 확인"))</f>
        <v/>
      </c>
      <c r="D1883" s="15"/>
      <c r="E1883" s="15"/>
      <c r="F1883" s="16"/>
      <c r="G1883" s="16"/>
      <c r="H1883" s="21" t="str">
        <f aca="false">IF(OR($B1883="",F1883=0),"",G1883/F1883)</f>
        <v/>
      </c>
      <c r="I1883" s="22" t="str">
        <f aca="false">IF($B1883="","",MAX(F1883-G1883,0))</f>
        <v/>
      </c>
      <c r="J1883" s="23" t="str">
        <f aca="false">IF($B1883="","",IFERROR(INDEX(고객사!$G$5:$G$104,MATCH($B1883,고객사!$A$5:$A$104,0)),""))</f>
        <v/>
      </c>
      <c r="K1883" s="16"/>
      <c r="L1883" s="22" t="str">
        <f aca="false">IF($B1883="","",K1883*IFERROR(INDEX(고객사!$L$5:$L$104,MATCH($B1883,고객사!$A$5:$A$104,0)),0))</f>
        <v/>
      </c>
      <c r="M1883" s="23" t="str">
        <f aca="false">IF($B1883="","",IF(AND(J1883="N",G1883&gt;0,K1883=0,IFERROR(INDEX(고객사!$H$5:$H$104,MATCH($B1883,고객사!$A$5:$A$104,0)),"")="자사 차량 운행"),"차량 미배정",""))</f>
        <v/>
      </c>
      <c r="N1883" s="22" t="str">
        <f aca="false">IF($B1883="","",IFERROR(INDEX(고객사!$J$5:$J$104,MATCH($B1883,고객사!$A$5:$A$104,0)),0))</f>
        <v/>
      </c>
      <c r="O1883" s="22" t="str">
        <f aca="false">IF($B1883="","",G1883*N1883)</f>
        <v/>
      </c>
      <c r="P1883" s="22" t="str">
        <f aca="false">IF($B1883="","",IFERROR(INDEX(고객사!$K$5:$K$104,MATCH($B1883,고객사!$A$5:$A$104,0)),0))</f>
        <v/>
      </c>
      <c r="Q1883" s="22" t="str">
        <f aca="false">IF($B1883="","",G1883*P1883)</f>
        <v/>
      </c>
      <c r="R1883" s="22" t="str">
        <f aca="false">IF($B1883="","",O1883-Q1883-L1883)</f>
        <v/>
      </c>
      <c r="S1883" s="21" t="str">
        <f aca="false">IF(OR($B1883="",N(O1883)=0),"",R1883/O1883)</f>
        <v/>
      </c>
      <c r="T1883" s="14"/>
      <c r="U1883" s="19" t="n">
        <f aca="false">IF(OR($B1883="",$A1883=""),0,IF(COUNTIFS($A$5:$A1883,$A1883,$B$5:$B1883,$B1883)=1,1,0))</f>
        <v>0</v>
      </c>
    </row>
    <row r="1884" customFormat="false" ht="15" hidden="false" customHeight="false" outlineLevel="0" collapsed="false">
      <c r="A1884" s="17"/>
      <c r="B1884" s="13"/>
      <c r="C1884" s="20" t="str">
        <f aca="false">IF($B1884="","",IFERROR(INDEX(고객사!$B$5:$B$104,MATCH($B1884,고객사!$A$5:$A$104,0)),"코드 확인"))</f>
        <v/>
      </c>
      <c r="D1884" s="15"/>
      <c r="E1884" s="15"/>
      <c r="F1884" s="16"/>
      <c r="G1884" s="16"/>
      <c r="H1884" s="21" t="str">
        <f aca="false">IF(OR($B1884="",F1884=0),"",G1884/F1884)</f>
        <v/>
      </c>
      <c r="I1884" s="22" t="str">
        <f aca="false">IF($B1884="","",MAX(F1884-G1884,0))</f>
        <v/>
      </c>
      <c r="J1884" s="23" t="str">
        <f aca="false">IF($B1884="","",IFERROR(INDEX(고객사!$G$5:$G$104,MATCH($B1884,고객사!$A$5:$A$104,0)),""))</f>
        <v/>
      </c>
      <c r="K1884" s="16"/>
      <c r="L1884" s="22" t="str">
        <f aca="false">IF($B1884="","",K1884*IFERROR(INDEX(고객사!$L$5:$L$104,MATCH($B1884,고객사!$A$5:$A$104,0)),0))</f>
        <v/>
      </c>
      <c r="M1884" s="23" t="str">
        <f aca="false">IF($B1884="","",IF(AND(J1884="N",G1884&gt;0,K1884=0,IFERROR(INDEX(고객사!$H$5:$H$104,MATCH($B1884,고객사!$A$5:$A$104,0)),"")="자사 차량 운행"),"차량 미배정",""))</f>
        <v/>
      </c>
      <c r="N1884" s="22" t="str">
        <f aca="false">IF($B1884="","",IFERROR(INDEX(고객사!$J$5:$J$104,MATCH($B1884,고객사!$A$5:$A$104,0)),0))</f>
        <v/>
      </c>
      <c r="O1884" s="22" t="str">
        <f aca="false">IF($B1884="","",G1884*N1884)</f>
        <v/>
      </c>
      <c r="P1884" s="22" t="str">
        <f aca="false">IF($B1884="","",IFERROR(INDEX(고객사!$K$5:$K$104,MATCH($B1884,고객사!$A$5:$A$104,0)),0))</f>
        <v/>
      </c>
      <c r="Q1884" s="22" t="str">
        <f aca="false">IF($B1884="","",G1884*P1884)</f>
        <v/>
      </c>
      <c r="R1884" s="22" t="str">
        <f aca="false">IF($B1884="","",O1884-Q1884-L1884)</f>
        <v/>
      </c>
      <c r="S1884" s="21" t="str">
        <f aca="false">IF(OR($B1884="",N(O1884)=0),"",R1884/O1884)</f>
        <v/>
      </c>
      <c r="T1884" s="14"/>
      <c r="U1884" s="19" t="n">
        <f aca="false">IF(OR($B1884="",$A1884=""),0,IF(COUNTIFS($A$5:$A1884,$A1884,$B$5:$B1884,$B1884)=1,1,0))</f>
        <v>0</v>
      </c>
    </row>
    <row r="1885" customFormat="false" ht="15" hidden="false" customHeight="false" outlineLevel="0" collapsed="false">
      <c r="A1885" s="17"/>
      <c r="B1885" s="13"/>
      <c r="C1885" s="20" t="str">
        <f aca="false">IF($B1885="","",IFERROR(INDEX(고객사!$B$5:$B$104,MATCH($B1885,고객사!$A$5:$A$104,0)),"코드 확인"))</f>
        <v/>
      </c>
      <c r="D1885" s="15"/>
      <c r="E1885" s="15"/>
      <c r="F1885" s="16"/>
      <c r="G1885" s="16"/>
      <c r="H1885" s="21" t="str">
        <f aca="false">IF(OR($B1885="",F1885=0),"",G1885/F1885)</f>
        <v/>
      </c>
      <c r="I1885" s="22" t="str">
        <f aca="false">IF($B1885="","",MAX(F1885-G1885,0))</f>
        <v/>
      </c>
      <c r="J1885" s="23" t="str">
        <f aca="false">IF($B1885="","",IFERROR(INDEX(고객사!$G$5:$G$104,MATCH($B1885,고객사!$A$5:$A$104,0)),""))</f>
        <v/>
      </c>
      <c r="K1885" s="16"/>
      <c r="L1885" s="22" t="str">
        <f aca="false">IF($B1885="","",K1885*IFERROR(INDEX(고객사!$L$5:$L$104,MATCH($B1885,고객사!$A$5:$A$104,0)),0))</f>
        <v/>
      </c>
      <c r="M1885" s="23" t="str">
        <f aca="false">IF($B1885="","",IF(AND(J1885="N",G1885&gt;0,K1885=0,IFERROR(INDEX(고객사!$H$5:$H$104,MATCH($B1885,고객사!$A$5:$A$104,0)),"")="자사 차량 운행"),"차량 미배정",""))</f>
        <v/>
      </c>
      <c r="N1885" s="22" t="str">
        <f aca="false">IF($B1885="","",IFERROR(INDEX(고객사!$J$5:$J$104,MATCH($B1885,고객사!$A$5:$A$104,0)),0))</f>
        <v/>
      </c>
      <c r="O1885" s="22" t="str">
        <f aca="false">IF($B1885="","",G1885*N1885)</f>
        <v/>
      </c>
      <c r="P1885" s="22" t="str">
        <f aca="false">IF($B1885="","",IFERROR(INDEX(고객사!$K$5:$K$104,MATCH($B1885,고객사!$A$5:$A$104,0)),0))</f>
        <v/>
      </c>
      <c r="Q1885" s="22" t="str">
        <f aca="false">IF($B1885="","",G1885*P1885)</f>
        <v/>
      </c>
      <c r="R1885" s="22" t="str">
        <f aca="false">IF($B1885="","",O1885-Q1885-L1885)</f>
        <v/>
      </c>
      <c r="S1885" s="21" t="str">
        <f aca="false">IF(OR($B1885="",N(O1885)=0),"",R1885/O1885)</f>
        <v/>
      </c>
      <c r="T1885" s="14"/>
      <c r="U1885" s="19" t="n">
        <f aca="false">IF(OR($B1885="",$A1885=""),0,IF(COUNTIFS($A$5:$A1885,$A1885,$B$5:$B1885,$B1885)=1,1,0))</f>
        <v>0</v>
      </c>
    </row>
    <row r="1886" customFormat="false" ht="15" hidden="false" customHeight="false" outlineLevel="0" collapsed="false">
      <c r="A1886" s="17"/>
      <c r="B1886" s="13"/>
      <c r="C1886" s="20" t="str">
        <f aca="false">IF($B1886="","",IFERROR(INDEX(고객사!$B$5:$B$104,MATCH($B1886,고객사!$A$5:$A$104,0)),"코드 확인"))</f>
        <v/>
      </c>
      <c r="D1886" s="15"/>
      <c r="E1886" s="15"/>
      <c r="F1886" s="16"/>
      <c r="G1886" s="16"/>
      <c r="H1886" s="21" t="str">
        <f aca="false">IF(OR($B1886="",F1886=0),"",G1886/F1886)</f>
        <v/>
      </c>
      <c r="I1886" s="22" t="str">
        <f aca="false">IF($B1886="","",MAX(F1886-G1886,0))</f>
        <v/>
      </c>
      <c r="J1886" s="23" t="str">
        <f aca="false">IF($B1886="","",IFERROR(INDEX(고객사!$G$5:$G$104,MATCH($B1886,고객사!$A$5:$A$104,0)),""))</f>
        <v/>
      </c>
      <c r="K1886" s="16"/>
      <c r="L1886" s="22" t="str">
        <f aca="false">IF($B1886="","",K1886*IFERROR(INDEX(고객사!$L$5:$L$104,MATCH($B1886,고객사!$A$5:$A$104,0)),0))</f>
        <v/>
      </c>
      <c r="M1886" s="23" t="str">
        <f aca="false">IF($B1886="","",IF(AND(J1886="N",G1886&gt;0,K1886=0,IFERROR(INDEX(고객사!$H$5:$H$104,MATCH($B1886,고객사!$A$5:$A$104,0)),"")="자사 차량 운행"),"차량 미배정",""))</f>
        <v/>
      </c>
      <c r="N1886" s="22" t="str">
        <f aca="false">IF($B1886="","",IFERROR(INDEX(고객사!$J$5:$J$104,MATCH($B1886,고객사!$A$5:$A$104,0)),0))</f>
        <v/>
      </c>
      <c r="O1886" s="22" t="str">
        <f aca="false">IF($B1886="","",G1886*N1886)</f>
        <v/>
      </c>
      <c r="P1886" s="22" t="str">
        <f aca="false">IF($B1886="","",IFERROR(INDEX(고객사!$K$5:$K$104,MATCH($B1886,고객사!$A$5:$A$104,0)),0))</f>
        <v/>
      </c>
      <c r="Q1886" s="22" t="str">
        <f aca="false">IF($B1886="","",G1886*P1886)</f>
        <v/>
      </c>
      <c r="R1886" s="22" t="str">
        <f aca="false">IF($B1886="","",O1886-Q1886-L1886)</f>
        <v/>
      </c>
      <c r="S1886" s="21" t="str">
        <f aca="false">IF(OR($B1886="",N(O1886)=0),"",R1886/O1886)</f>
        <v/>
      </c>
      <c r="T1886" s="14"/>
      <c r="U1886" s="19" t="n">
        <f aca="false">IF(OR($B1886="",$A1886=""),0,IF(COUNTIFS($A$5:$A1886,$A1886,$B$5:$B1886,$B1886)=1,1,0))</f>
        <v>0</v>
      </c>
    </row>
    <row r="1887" customFormat="false" ht="15" hidden="false" customHeight="false" outlineLevel="0" collapsed="false">
      <c r="A1887" s="17"/>
      <c r="B1887" s="13"/>
      <c r="C1887" s="20" t="str">
        <f aca="false">IF($B1887="","",IFERROR(INDEX(고객사!$B$5:$B$104,MATCH($B1887,고객사!$A$5:$A$104,0)),"코드 확인"))</f>
        <v/>
      </c>
      <c r="D1887" s="15"/>
      <c r="E1887" s="15"/>
      <c r="F1887" s="16"/>
      <c r="G1887" s="16"/>
      <c r="H1887" s="21" t="str">
        <f aca="false">IF(OR($B1887="",F1887=0),"",G1887/F1887)</f>
        <v/>
      </c>
      <c r="I1887" s="22" t="str">
        <f aca="false">IF($B1887="","",MAX(F1887-G1887,0))</f>
        <v/>
      </c>
      <c r="J1887" s="23" t="str">
        <f aca="false">IF($B1887="","",IFERROR(INDEX(고객사!$G$5:$G$104,MATCH($B1887,고객사!$A$5:$A$104,0)),""))</f>
        <v/>
      </c>
      <c r="K1887" s="16"/>
      <c r="L1887" s="22" t="str">
        <f aca="false">IF($B1887="","",K1887*IFERROR(INDEX(고객사!$L$5:$L$104,MATCH($B1887,고객사!$A$5:$A$104,0)),0))</f>
        <v/>
      </c>
      <c r="M1887" s="23" t="str">
        <f aca="false">IF($B1887="","",IF(AND(J1887="N",G1887&gt;0,K1887=0,IFERROR(INDEX(고객사!$H$5:$H$104,MATCH($B1887,고객사!$A$5:$A$104,0)),"")="자사 차량 운행"),"차량 미배정",""))</f>
        <v/>
      </c>
      <c r="N1887" s="22" t="str">
        <f aca="false">IF($B1887="","",IFERROR(INDEX(고객사!$J$5:$J$104,MATCH($B1887,고객사!$A$5:$A$104,0)),0))</f>
        <v/>
      </c>
      <c r="O1887" s="22" t="str">
        <f aca="false">IF($B1887="","",G1887*N1887)</f>
        <v/>
      </c>
      <c r="P1887" s="22" t="str">
        <f aca="false">IF($B1887="","",IFERROR(INDEX(고객사!$K$5:$K$104,MATCH($B1887,고객사!$A$5:$A$104,0)),0))</f>
        <v/>
      </c>
      <c r="Q1887" s="22" t="str">
        <f aca="false">IF($B1887="","",G1887*P1887)</f>
        <v/>
      </c>
      <c r="R1887" s="22" t="str">
        <f aca="false">IF($B1887="","",O1887-Q1887-L1887)</f>
        <v/>
      </c>
      <c r="S1887" s="21" t="str">
        <f aca="false">IF(OR($B1887="",N(O1887)=0),"",R1887/O1887)</f>
        <v/>
      </c>
      <c r="T1887" s="14"/>
      <c r="U1887" s="19" t="n">
        <f aca="false">IF(OR($B1887="",$A1887=""),0,IF(COUNTIFS($A$5:$A1887,$A1887,$B$5:$B1887,$B1887)=1,1,0))</f>
        <v>0</v>
      </c>
    </row>
    <row r="1888" customFormat="false" ht="15" hidden="false" customHeight="false" outlineLevel="0" collapsed="false">
      <c r="A1888" s="17"/>
      <c r="B1888" s="13"/>
      <c r="C1888" s="20" t="str">
        <f aca="false">IF($B1888="","",IFERROR(INDEX(고객사!$B$5:$B$104,MATCH($B1888,고객사!$A$5:$A$104,0)),"코드 확인"))</f>
        <v/>
      </c>
      <c r="D1888" s="15"/>
      <c r="E1888" s="15"/>
      <c r="F1888" s="16"/>
      <c r="G1888" s="16"/>
      <c r="H1888" s="21" t="str">
        <f aca="false">IF(OR($B1888="",F1888=0),"",G1888/F1888)</f>
        <v/>
      </c>
      <c r="I1888" s="22" t="str">
        <f aca="false">IF($B1888="","",MAX(F1888-G1888,0))</f>
        <v/>
      </c>
      <c r="J1888" s="23" t="str">
        <f aca="false">IF($B1888="","",IFERROR(INDEX(고객사!$G$5:$G$104,MATCH($B1888,고객사!$A$5:$A$104,0)),""))</f>
        <v/>
      </c>
      <c r="K1888" s="16"/>
      <c r="L1888" s="22" t="str">
        <f aca="false">IF($B1888="","",K1888*IFERROR(INDEX(고객사!$L$5:$L$104,MATCH($B1888,고객사!$A$5:$A$104,0)),0))</f>
        <v/>
      </c>
      <c r="M1888" s="23" t="str">
        <f aca="false">IF($B1888="","",IF(AND(J1888="N",G1888&gt;0,K1888=0,IFERROR(INDEX(고객사!$H$5:$H$104,MATCH($B1888,고객사!$A$5:$A$104,0)),"")="자사 차량 운행"),"차량 미배정",""))</f>
        <v/>
      </c>
      <c r="N1888" s="22" t="str">
        <f aca="false">IF($B1888="","",IFERROR(INDEX(고객사!$J$5:$J$104,MATCH($B1888,고객사!$A$5:$A$104,0)),0))</f>
        <v/>
      </c>
      <c r="O1888" s="22" t="str">
        <f aca="false">IF($B1888="","",G1888*N1888)</f>
        <v/>
      </c>
      <c r="P1888" s="22" t="str">
        <f aca="false">IF($B1888="","",IFERROR(INDEX(고객사!$K$5:$K$104,MATCH($B1888,고객사!$A$5:$A$104,0)),0))</f>
        <v/>
      </c>
      <c r="Q1888" s="22" t="str">
        <f aca="false">IF($B1888="","",G1888*P1888)</f>
        <v/>
      </c>
      <c r="R1888" s="22" t="str">
        <f aca="false">IF($B1888="","",O1888-Q1888-L1888)</f>
        <v/>
      </c>
      <c r="S1888" s="21" t="str">
        <f aca="false">IF(OR($B1888="",N(O1888)=0),"",R1888/O1888)</f>
        <v/>
      </c>
      <c r="T1888" s="14"/>
      <c r="U1888" s="19" t="n">
        <f aca="false">IF(OR($B1888="",$A1888=""),0,IF(COUNTIFS($A$5:$A1888,$A1888,$B$5:$B1888,$B1888)=1,1,0))</f>
        <v>0</v>
      </c>
    </row>
    <row r="1889" customFormat="false" ht="15" hidden="false" customHeight="false" outlineLevel="0" collapsed="false">
      <c r="A1889" s="17"/>
      <c r="B1889" s="13"/>
      <c r="C1889" s="20" t="str">
        <f aca="false">IF($B1889="","",IFERROR(INDEX(고객사!$B$5:$B$104,MATCH($B1889,고객사!$A$5:$A$104,0)),"코드 확인"))</f>
        <v/>
      </c>
      <c r="D1889" s="15"/>
      <c r="E1889" s="15"/>
      <c r="F1889" s="16"/>
      <c r="G1889" s="16"/>
      <c r="H1889" s="21" t="str">
        <f aca="false">IF(OR($B1889="",F1889=0),"",G1889/F1889)</f>
        <v/>
      </c>
      <c r="I1889" s="22" t="str">
        <f aca="false">IF($B1889="","",MAX(F1889-G1889,0))</f>
        <v/>
      </c>
      <c r="J1889" s="23" t="str">
        <f aca="false">IF($B1889="","",IFERROR(INDEX(고객사!$G$5:$G$104,MATCH($B1889,고객사!$A$5:$A$104,0)),""))</f>
        <v/>
      </c>
      <c r="K1889" s="16"/>
      <c r="L1889" s="22" t="str">
        <f aca="false">IF($B1889="","",K1889*IFERROR(INDEX(고객사!$L$5:$L$104,MATCH($B1889,고객사!$A$5:$A$104,0)),0))</f>
        <v/>
      </c>
      <c r="M1889" s="23" t="str">
        <f aca="false">IF($B1889="","",IF(AND(J1889="N",G1889&gt;0,K1889=0,IFERROR(INDEX(고객사!$H$5:$H$104,MATCH($B1889,고객사!$A$5:$A$104,0)),"")="자사 차량 운행"),"차량 미배정",""))</f>
        <v/>
      </c>
      <c r="N1889" s="22" t="str">
        <f aca="false">IF($B1889="","",IFERROR(INDEX(고객사!$J$5:$J$104,MATCH($B1889,고객사!$A$5:$A$104,0)),0))</f>
        <v/>
      </c>
      <c r="O1889" s="22" t="str">
        <f aca="false">IF($B1889="","",G1889*N1889)</f>
        <v/>
      </c>
      <c r="P1889" s="22" t="str">
        <f aca="false">IF($B1889="","",IFERROR(INDEX(고객사!$K$5:$K$104,MATCH($B1889,고객사!$A$5:$A$104,0)),0))</f>
        <v/>
      </c>
      <c r="Q1889" s="22" t="str">
        <f aca="false">IF($B1889="","",G1889*P1889)</f>
        <v/>
      </c>
      <c r="R1889" s="22" t="str">
        <f aca="false">IF($B1889="","",O1889-Q1889-L1889)</f>
        <v/>
      </c>
      <c r="S1889" s="21" t="str">
        <f aca="false">IF(OR($B1889="",N(O1889)=0),"",R1889/O1889)</f>
        <v/>
      </c>
      <c r="T1889" s="14"/>
      <c r="U1889" s="19" t="n">
        <f aca="false">IF(OR($B1889="",$A1889=""),0,IF(COUNTIFS($A$5:$A1889,$A1889,$B$5:$B1889,$B1889)=1,1,0))</f>
        <v>0</v>
      </c>
    </row>
    <row r="1890" customFormat="false" ht="15" hidden="false" customHeight="false" outlineLevel="0" collapsed="false">
      <c r="A1890" s="17"/>
      <c r="B1890" s="13"/>
      <c r="C1890" s="20" t="str">
        <f aca="false">IF($B1890="","",IFERROR(INDEX(고객사!$B$5:$B$104,MATCH($B1890,고객사!$A$5:$A$104,0)),"코드 확인"))</f>
        <v/>
      </c>
      <c r="D1890" s="15"/>
      <c r="E1890" s="15"/>
      <c r="F1890" s="16"/>
      <c r="G1890" s="16"/>
      <c r="H1890" s="21" t="str">
        <f aca="false">IF(OR($B1890="",F1890=0),"",G1890/F1890)</f>
        <v/>
      </c>
      <c r="I1890" s="22" t="str">
        <f aca="false">IF($B1890="","",MAX(F1890-G1890,0))</f>
        <v/>
      </c>
      <c r="J1890" s="23" t="str">
        <f aca="false">IF($B1890="","",IFERROR(INDEX(고객사!$G$5:$G$104,MATCH($B1890,고객사!$A$5:$A$104,0)),""))</f>
        <v/>
      </c>
      <c r="K1890" s="16"/>
      <c r="L1890" s="22" t="str">
        <f aca="false">IF($B1890="","",K1890*IFERROR(INDEX(고객사!$L$5:$L$104,MATCH($B1890,고객사!$A$5:$A$104,0)),0))</f>
        <v/>
      </c>
      <c r="M1890" s="23" t="str">
        <f aca="false">IF($B1890="","",IF(AND(J1890="N",G1890&gt;0,K1890=0,IFERROR(INDEX(고객사!$H$5:$H$104,MATCH($B1890,고객사!$A$5:$A$104,0)),"")="자사 차량 운행"),"차량 미배정",""))</f>
        <v/>
      </c>
      <c r="N1890" s="22" t="str">
        <f aca="false">IF($B1890="","",IFERROR(INDEX(고객사!$J$5:$J$104,MATCH($B1890,고객사!$A$5:$A$104,0)),0))</f>
        <v/>
      </c>
      <c r="O1890" s="22" t="str">
        <f aca="false">IF($B1890="","",G1890*N1890)</f>
        <v/>
      </c>
      <c r="P1890" s="22" t="str">
        <f aca="false">IF($B1890="","",IFERROR(INDEX(고객사!$K$5:$K$104,MATCH($B1890,고객사!$A$5:$A$104,0)),0))</f>
        <v/>
      </c>
      <c r="Q1890" s="22" t="str">
        <f aca="false">IF($B1890="","",G1890*P1890)</f>
        <v/>
      </c>
      <c r="R1890" s="22" t="str">
        <f aca="false">IF($B1890="","",O1890-Q1890-L1890)</f>
        <v/>
      </c>
      <c r="S1890" s="21" t="str">
        <f aca="false">IF(OR($B1890="",N(O1890)=0),"",R1890/O1890)</f>
        <v/>
      </c>
      <c r="T1890" s="14"/>
      <c r="U1890" s="19" t="n">
        <f aca="false">IF(OR($B1890="",$A1890=""),0,IF(COUNTIFS($A$5:$A1890,$A1890,$B$5:$B1890,$B1890)=1,1,0))</f>
        <v>0</v>
      </c>
    </row>
    <row r="1891" customFormat="false" ht="15" hidden="false" customHeight="false" outlineLevel="0" collapsed="false">
      <c r="A1891" s="17"/>
      <c r="B1891" s="13"/>
      <c r="C1891" s="20" t="str">
        <f aca="false">IF($B1891="","",IFERROR(INDEX(고객사!$B$5:$B$104,MATCH($B1891,고객사!$A$5:$A$104,0)),"코드 확인"))</f>
        <v/>
      </c>
      <c r="D1891" s="15"/>
      <c r="E1891" s="15"/>
      <c r="F1891" s="16"/>
      <c r="G1891" s="16"/>
      <c r="H1891" s="21" t="str">
        <f aca="false">IF(OR($B1891="",F1891=0),"",G1891/F1891)</f>
        <v/>
      </c>
      <c r="I1891" s="22" t="str">
        <f aca="false">IF($B1891="","",MAX(F1891-G1891,0))</f>
        <v/>
      </c>
      <c r="J1891" s="23" t="str">
        <f aca="false">IF($B1891="","",IFERROR(INDEX(고객사!$G$5:$G$104,MATCH($B1891,고객사!$A$5:$A$104,0)),""))</f>
        <v/>
      </c>
      <c r="K1891" s="16"/>
      <c r="L1891" s="22" t="str">
        <f aca="false">IF($B1891="","",K1891*IFERROR(INDEX(고객사!$L$5:$L$104,MATCH($B1891,고객사!$A$5:$A$104,0)),0))</f>
        <v/>
      </c>
      <c r="M1891" s="23" t="str">
        <f aca="false">IF($B1891="","",IF(AND(J1891="N",G1891&gt;0,K1891=0,IFERROR(INDEX(고객사!$H$5:$H$104,MATCH($B1891,고객사!$A$5:$A$104,0)),"")="자사 차량 운행"),"차량 미배정",""))</f>
        <v/>
      </c>
      <c r="N1891" s="22" t="str">
        <f aca="false">IF($B1891="","",IFERROR(INDEX(고객사!$J$5:$J$104,MATCH($B1891,고객사!$A$5:$A$104,0)),0))</f>
        <v/>
      </c>
      <c r="O1891" s="22" t="str">
        <f aca="false">IF($B1891="","",G1891*N1891)</f>
        <v/>
      </c>
      <c r="P1891" s="22" t="str">
        <f aca="false">IF($B1891="","",IFERROR(INDEX(고객사!$K$5:$K$104,MATCH($B1891,고객사!$A$5:$A$104,0)),0))</f>
        <v/>
      </c>
      <c r="Q1891" s="22" t="str">
        <f aca="false">IF($B1891="","",G1891*P1891)</f>
        <v/>
      </c>
      <c r="R1891" s="22" t="str">
        <f aca="false">IF($B1891="","",O1891-Q1891-L1891)</f>
        <v/>
      </c>
      <c r="S1891" s="21" t="str">
        <f aca="false">IF(OR($B1891="",N(O1891)=0),"",R1891/O1891)</f>
        <v/>
      </c>
      <c r="T1891" s="14"/>
      <c r="U1891" s="19" t="n">
        <f aca="false">IF(OR($B1891="",$A1891=""),0,IF(COUNTIFS($A$5:$A1891,$A1891,$B$5:$B1891,$B1891)=1,1,0))</f>
        <v>0</v>
      </c>
    </row>
    <row r="1892" customFormat="false" ht="15" hidden="false" customHeight="false" outlineLevel="0" collapsed="false">
      <c r="A1892" s="17"/>
      <c r="B1892" s="13"/>
      <c r="C1892" s="20" t="str">
        <f aca="false">IF($B1892="","",IFERROR(INDEX(고객사!$B$5:$B$104,MATCH($B1892,고객사!$A$5:$A$104,0)),"코드 확인"))</f>
        <v/>
      </c>
      <c r="D1892" s="15"/>
      <c r="E1892" s="15"/>
      <c r="F1892" s="16"/>
      <c r="G1892" s="16"/>
      <c r="H1892" s="21" t="str">
        <f aca="false">IF(OR($B1892="",F1892=0),"",G1892/F1892)</f>
        <v/>
      </c>
      <c r="I1892" s="22" t="str">
        <f aca="false">IF($B1892="","",MAX(F1892-G1892,0))</f>
        <v/>
      </c>
      <c r="J1892" s="23" t="str">
        <f aca="false">IF($B1892="","",IFERROR(INDEX(고객사!$G$5:$G$104,MATCH($B1892,고객사!$A$5:$A$104,0)),""))</f>
        <v/>
      </c>
      <c r="K1892" s="16"/>
      <c r="L1892" s="22" t="str">
        <f aca="false">IF($B1892="","",K1892*IFERROR(INDEX(고객사!$L$5:$L$104,MATCH($B1892,고객사!$A$5:$A$104,0)),0))</f>
        <v/>
      </c>
      <c r="M1892" s="23" t="str">
        <f aca="false">IF($B1892="","",IF(AND(J1892="N",G1892&gt;0,K1892=0,IFERROR(INDEX(고객사!$H$5:$H$104,MATCH($B1892,고객사!$A$5:$A$104,0)),"")="자사 차량 운행"),"차량 미배정",""))</f>
        <v/>
      </c>
      <c r="N1892" s="22" t="str">
        <f aca="false">IF($B1892="","",IFERROR(INDEX(고객사!$J$5:$J$104,MATCH($B1892,고객사!$A$5:$A$104,0)),0))</f>
        <v/>
      </c>
      <c r="O1892" s="22" t="str">
        <f aca="false">IF($B1892="","",G1892*N1892)</f>
        <v/>
      </c>
      <c r="P1892" s="22" t="str">
        <f aca="false">IF($B1892="","",IFERROR(INDEX(고객사!$K$5:$K$104,MATCH($B1892,고객사!$A$5:$A$104,0)),0))</f>
        <v/>
      </c>
      <c r="Q1892" s="22" t="str">
        <f aca="false">IF($B1892="","",G1892*P1892)</f>
        <v/>
      </c>
      <c r="R1892" s="22" t="str">
        <f aca="false">IF($B1892="","",O1892-Q1892-L1892)</f>
        <v/>
      </c>
      <c r="S1892" s="21" t="str">
        <f aca="false">IF(OR($B1892="",N(O1892)=0),"",R1892/O1892)</f>
        <v/>
      </c>
      <c r="T1892" s="14"/>
      <c r="U1892" s="19" t="n">
        <f aca="false">IF(OR($B1892="",$A1892=""),0,IF(COUNTIFS($A$5:$A1892,$A1892,$B$5:$B1892,$B1892)=1,1,0))</f>
        <v>0</v>
      </c>
    </row>
    <row r="1893" customFormat="false" ht="15" hidden="false" customHeight="false" outlineLevel="0" collapsed="false">
      <c r="A1893" s="17"/>
      <c r="B1893" s="13"/>
      <c r="C1893" s="20" t="str">
        <f aca="false">IF($B1893="","",IFERROR(INDEX(고객사!$B$5:$B$104,MATCH($B1893,고객사!$A$5:$A$104,0)),"코드 확인"))</f>
        <v/>
      </c>
      <c r="D1893" s="15"/>
      <c r="E1893" s="15"/>
      <c r="F1893" s="16"/>
      <c r="G1893" s="16"/>
      <c r="H1893" s="21" t="str">
        <f aca="false">IF(OR($B1893="",F1893=0),"",G1893/F1893)</f>
        <v/>
      </c>
      <c r="I1893" s="22" t="str">
        <f aca="false">IF($B1893="","",MAX(F1893-G1893,0))</f>
        <v/>
      </c>
      <c r="J1893" s="23" t="str">
        <f aca="false">IF($B1893="","",IFERROR(INDEX(고객사!$G$5:$G$104,MATCH($B1893,고객사!$A$5:$A$104,0)),""))</f>
        <v/>
      </c>
      <c r="K1893" s="16"/>
      <c r="L1893" s="22" t="str">
        <f aca="false">IF($B1893="","",K1893*IFERROR(INDEX(고객사!$L$5:$L$104,MATCH($B1893,고객사!$A$5:$A$104,0)),0))</f>
        <v/>
      </c>
      <c r="M1893" s="23" t="str">
        <f aca="false">IF($B1893="","",IF(AND(J1893="N",G1893&gt;0,K1893=0,IFERROR(INDEX(고객사!$H$5:$H$104,MATCH($B1893,고객사!$A$5:$A$104,0)),"")="자사 차량 운행"),"차량 미배정",""))</f>
        <v/>
      </c>
      <c r="N1893" s="22" t="str">
        <f aca="false">IF($B1893="","",IFERROR(INDEX(고객사!$J$5:$J$104,MATCH($B1893,고객사!$A$5:$A$104,0)),0))</f>
        <v/>
      </c>
      <c r="O1893" s="22" t="str">
        <f aca="false">IF($B1893="","",G1893*N1893)</f>
        <v/>
      </c>
      <c r="P1893" s="22" t="str">
        <f aca="false">IF($B1893="","",IFERROR(INDEX(고객사!$K$5:$K$104,MATCH($B1893,고객사!$A$5:$A$104,0)),0))</f>
        <v/>
      </c>
      <c r="Q1893" s="22" t="str">
        <f aca="false">IF($B1893="","",G1893*P1893)</f>
        <v/>
      </c>
      <c r="R1893" s="22" t="str">
        <f aca="false">IF($B1893="","",O1893-Q1893-L1893)</f>
        <v/>
      </c>
      <c r="S1893" s="21" t="str">
        <f aca="false">IF(OR($B1893="",N(O1893)=0),"",R1893/O1893)</f>
        <v/>
      </c>
      <c r="T1893" s="14"/>
      <c r="U1893" s="19" t="n">
        <f aca="false">IF(OR($B1893="",$A1893=""),0,IF(COUNTIFS($A$5:$A1893,$A1893,$B$5:$B1893,$B1893)=1,1,0))</f>
        <v>0</v>
      </c>
    </row>
    <row r="1894" customFormat="false" ht="15" hidden="false" customHeight="false" outlineLevel="0" collapsed="false">
      <c r="A1894" s="17"/>
      <c r="B1894" s="13"/>
      <c r="C1894" s="20" t="str">
        <f aca="false">IF($B1894="","",IFERROR(INDEX(고객사!$B$5:$B$104,MATCH($B1894,고객사!$A$5:$A$104,0)),"코드 확인"))</f>
        <v/>
      </c>
      <c r="D1894" s="15"/>
      <c r="E1894" s="15"/>
      <c r="F1894" s="16"/>
      <c r="G1894" s="16"/>
      <c r="H1894" s="21" t="str">
        <f aca="false">IF(OR($B1894="",F1894=0),"",G1894/F1894)</f>
        <v/>
      </c>
      <c r="I1894" s="22" t="str">
        <f aca="false">IF($B1894="","",MAX(F1894-G1894,0))</f>
        <v/>
      </c>
      <c r="J1894" s="23" t="str">
        <f aca="false">IF($B1894="","",IFERROR(INDEX(고객사!$G$5:$G$104,MATCH($B1894,고객사!$A$5:$A$104,0)),""))</f>
        <v/>
      </c>
      <c r="K1894" s="16"/>
      <c r="L1894" s="22" t="str">
        <f aca="false">IF($B1894="","",K1894*IFERROR(INDEX(고객사!$L$5:$L$104,MATCH($B1894,고객사!$A$5:$A$104,0)),0))</f>
        <v/>
      </c>
      <c r="M1894" s="23" t="str">
        <f aca="false">IF($B1894="","",IF(AND(J1894="N",G1894&gt;0,K1894=0,IFERROR(INDEX(고객사!$H$5:$H$104,MATCH($B1894,고객사!$A$5:$A$104,0)),"")="자사 차량 운행"),"차량 미배정",""))</f>
        <v/>
      </c>
      <c r="N1894" s="22" t="str">
        <f aca="false">IF($B1894="","",IFERROR(INDEX(고객사!$J$5:$J$104,MATCH($B1894,고객사!$A$5:$A$104,0)),0))</f>
        <v/>
      </c>
      <c r="O1894" s="22" t="str">
        <f aca="false">IF($B1894="","",G1894*N1894)</f>
        <v/>
      </c>
      <c r="P1894" s="22" t="str">
        <f aca="false">IF($B1894="","",IFERROR(INDEX(고객사!$K$5:$K$104,MATCH($B1894,고객사!$A$5:$A$104,0)),0))</f>
        <v/>
      </c>
      <c r="Q1894" s="22" t="str">
        <f aca="false">IF($B1894="","",G1894*P1894)</f>
        <v/>
      </c>
      <c r="R1894" s="22" t="str">
        <f aca="false">IF($B1894="","",O1894-Q1894-L1894)</f>
        <v/>
      </c>
      <c r="S1894" s="21" t="str">
        <f aca="false">IF(OR($B1894="",N(O1894)=0),"",R1894/O1894)</f>
        <v/>
      </c>
      <c r="T1894" s="14"/>
      <c r="U1894" s="19" t="n">
        <f aca="false">IF(OR($B1894="",$A1894=""),0,IF(COUNTIFS($A$5:$A1894,$A1894,$B$5:$B1894,$B1894)=1,1,0))</f>
        <v>0</v>
      </c>
    </row>
    <row r="1895" customFormat="false" ht="15" hidden="false" customHeight="false" outlineLevel="0" collapsed="false">
      <c r="A1895" s="17"/>
      <c r="B1895" s="13"/>
      <c r="C1895" s="20" t="str">
        <f aca="false">IF($B1895="","",IFERROR(INDEX(고객사!$B$5:$B$104,MATCH($B1895,고객사!$A$5:$A$104,0)),"코드 확인"))</f>
        <v/>
      </c>
      <c r="D1895" s="15"/>
      <c r="E1895" s="15"/>
      <c r="F1895" s="16"/>
      <c r="G1895" s="16"/>
      <c r="H1895" s="21" t="str">
        <f aca="false">IF(OR($B1895="",F1895=0),"",G1895/F1895)</f>
        <v/>
      </c>
      <c r="I1895" s="22" t="str">
        <f aca="false">IF($B1895="","",MAX(F1895-G1895,0))</f>
        <v/>
      </c>
      <c r="J1895" s="23" t="str">
        <f aca="false">IF($B1895="","",IFERROR(INDEX(고객사!$G$5:$G$104,MATCH($B1895,고객사!$A$5:$A$104,0)),""))</f>
        <v/>
      </c>
      <c r="K1895" s="16"/>
      <c r="L1895" s="22" t="str">
        <f aca="false">IF($B1895="","",K1895*IFERROR(INDEX(고객사!$L$5:$L$104,MATCH($B1895,고객사!$A$5:$A$104,0)),0))</f>
        <v/>
      </c>
      <c r="M1895" s="23" t="str">
        <f aca="false">IF($B1895="","",IF(AND(J1895="N",G1895&gt;0,K1895=0,IFERROR(INDEX(고객사!$H$5:$H$104,MATCH($B1895,고객사!$A$5:$A$104,0)),"")="자사 차량 운행"),"차량 미배정",""))</f>
        <v/>
      </c>
      <c r="N1895" s="22" t="str">
        <f aca="false">IF($B1895="","",IFERROR(INDEX(고객사!$J$5:$J$104,MATCH($B1895,고객사!$A$5:$A$104,0)),0))</f>
        <v/>
      </c>
      <c r="O1895" s="22" t="str">
        <f aca="false">IF($B1895="","",G1895*N1895)</f>
        <v/>
      </c>
      <c r="P1895" s="22" t="str">
        <f aca="false">IF($B1895="","",IFERROR(INDEX(고객사!$K$5:$K$104,MATCH($B1895,고객사!$A$5:$A$104,0)),0))</f>
        <v/>
      </c>
      <c r="Q1895" s="22" t="str">
        <f aca="false">IF($B1895="","",G1895*P1895)</f>
        <v/>
      </c>
      <c r="R1895" s="22" t="str">
        <f aca="false">IF($B1895="","",O1895-Q1895-L1895)</f>
        <v/>
      </c>
      <c r="S1895" s="21" t="str">
        <f aca="false">IF(OR($B1895="",N(O1895)=0),"",R1895/O1895)</f>
        <v/>
      </c>
      <c r="T1895" s="14"/>
      <c r="U1895" s="19" t="n">
        <f aca="false">IF(OR($B1895="",$A1895=""),0,IF(COUNTIFS($A$5:$A1895,$A1895,$B$5:$B1895,$B1895)=1,1,0))</f>
        <v>0</v>
      </c>
    </row>
    <row r="1896" customFormat="false" ht="15" hidden="false" customHeight="false" outlineLevel="0" collapsed="false">
      <c r="A1896" s="17"/>
      <c r="B1896" s="13"/>
      <c r="C1896" s="20" t="str">
        <f aca="false">IF($B1896="","",IFERROR(INDEX(고객사!$B$5:$B$104,MATCH($B1896,고객사!$A$5:$A$104,0)),"코드 확인"))</f>
        <v/>
      </c>
      <c r="D1896" s="15"/>
      <c r="E1896" s="15"/>
      <c r="F1896" s="16"/>
      <c r="G1896" s="16"/>
      <c r="H1896" s="21" t="str">
        <f aca="false">IF(OR($B1896="",F1896=0),"",G1896/F1896)</f>
        <v/>
      </c>
      <c r="I1896" s="22" t="str">
        <f aca="false">IF($B1896="","",MAX(F1896-G1896,0))</f>
        <v/>
      </c>
      <c r="J1896" s="23" t="str">
        <f aca="false">IF($B1896="","",IFERROR(INDEX(고객사!$G$5:$G$104,MATCH($B1896,고객사!$A$5:$A$104,0)),""))</f>
        <v/>
      </c>
      <c r="K1896" s="16"/>
      <c r="L1896" s="22" t="str">
        <f aca="false">IF($B1896="","",K1896*IFERROR(INDEX(고객사!$L$5:$L$104,MATCH($B1896,고객사!$A$5:$A$104,0)),0))</f>
        <v/>
      </c>
      <c r="M1896" s="23" t="str">
        <f aca="false">IF($B1896="","",IF(AND(J1896="N",G1896&gt;0,K1896=0,IFERROR(INDEX(고객사!$H$5:$H$104,MATCH($B1896,고객사!$A$5:$A$104,0)),"")="자사 차량 운행"),"차량 미배정",""))</f>
        <v/>
      </c>
      <c r="N1896" s="22" t="str">
        <f aca="false">IF($B1896="","",IFERROR(INDEX(고객사!$J$5:$J$104,MATCH($B1896,고객사!$A$5:$A$104,0)),0))</f>
        <v/>
      </c>
      <c r="O1896" s="22" t="str">
        <f aca="false">IF($B1896="","",G1896*N1896)</f>
        <v/>
      </c>
      <c r="P1896" s="22" t="str">
        <f aca="false">IF($B1896="","",IFERROR(INDEX(고객사!$K$5:$K$104,MATCH($B1896,고객사!$A$5:$A$104,0)),0))</f>
        <v/>
      </c>
      <c r="Q1896" s="22" t="str">
        <f aca="false">IF($B1896="","",G1896*P1896)</f>
        <v/>
      </c>
      <c r="R1896" s="22" t="str">
        <f aca="false">IF($B1896="","",O1896-Q1896-L1896)</f>
        <v/>
      </c>
      <c r="S1896" s="21" t="str">
        <f aca="false">IF(OR($B1896="",N(O1896)=0),"",R1896/O1896)</f>
        <v/>
      </c>
      <c r="T1896" s="14"/>
      <c r="U1896" s="19" t="n">
        <f aca="false">IF(OR($B1896="",$A1896=""),0,IF(COUNTIFS($A$5:$A1896,$A1896,$B$5:$B1896,$B1896)=1,1,0))</f>
        <v>0</v>
      </c>
    </row>
    <row r="1897" customFormat="false" ht="15" hidden="false" customHeight="false" outlineLevel="0" collapsed="false">
      <c r="A1897" s="17"/>
      <c r="B1897" s="13"/>
      <c r="C1897" s="20" t="str">
        <f aca="false">IF($B1897="","",IFERROR(INDEX(고객사!$B$5:$B$104,MATCH($B1897,고객사!$A$5:$A$104,0)),"코드 확인"))</f>
        <v/>
      </c>
      <c r="D1897" s="15"/>
      <c r="E1897" s="15"/>
      <c r="F1897" s="16"/>
      <c r="G1897" s="16"/>
      <c r="H1897" s="21" t="str">
        <f aca="false">IF(OR($B1897="",F1897=0),"",G1897/F1897)</f>
        <v/>
      </c>
      <c r="I1897" s="22" t="str">
        <f aca="false">IF($B1897="","",MAX(F1897-G1897,0))</f>
        <v/>
      </c>
      <c r="J1897" s="23" t="str">
        <f aca="false">IF($B1897="","",IFERROR(INDEX(고객사!$G$5:$G$104,MATCH($B1897,고객사!$A$5:$A$104,0)),""))</f>
        <v/>
      </c>
      <c r="K1897" s="16"/>
      <c r="L1897" s="22" t="str">
        <f aca="false">IF($B1897="","",K1897*IFERROR(INDEX(고객사!$L$5:$L$104,MATCH($B1897,고객사!$A$5:$A$104,0)),0))</f>
        <v/>
      </c>
      <c r="M1897" s="23" t="str">
        <f aca="false">IF($B1897="","",IF(AND(J1897="N",G1897&gt;0,K1897=0,IFERROR(INDEX(고객사!$H$5:$H$104,MATCH($B1897,고객사!$A$5:$A$104,0)),"")="자사 차량 운행"),"차량 미배정",""))</f>
        <v/>
      </c>
      <c r="N1897" s="22" t="str">
        <f aca="false">IF($B1897="","",IFERROR(INDEX(고객사!$J$5:$J$104,MATCH($B1897,고객사!$A$5:$A$104,0)),0))</f>
        <v/>
      </c>
      <c r="O1897" s="22" t="str">
        <f aca="false">IF($B1897="","",G1897*N1897)</f>
        <v/>
      </c>
      <c r="P1897" s="22" t="str">
        <f aca="false">IF($B1897="","",IFERROR(INDEX(고객사!$K$5:$K$104,MATCH($B1897,고객사!$A$5:$A$104,0)),0))</f>
        <v/>
      </c>
      <c r="Q1897" s="22" t="str">
        <f aca="false">IF($B1897="","",G1897*P1897)</f>
        <v/>
      </c>
      <c r="R1897" s="22" t="str">
        <f aca="false">IF($B1897="","",O1897-Q1897-L1897)</f>
        <v/>
      </c>
      <c r="S1897" s="21" t="str">
        <f aca="false">IF(OR($B1897="",N(O1897)=0),"",R1897/O1897)</f>
        <v/>
      </c>
      <c r="T1897" s="14"/>
      <c r="U1897" s="19" t="n">
        <f aca="false">IF(OR($B1897="",$A1897=""),0,IF(COUNTIFS($A$5:$A1897,$A1897,$B$5:$B1897,$B1897)=1,1,0))</f>
        <v>0</v>
      </c>
    </row>
    <row r="1898" customFormat="false" ht="15" hidden="false" customHeight="false" outlineLevel="0" collapsed="false">
      <c r="A1898" s="17"/>
      <c r="B1898" s="13"/>
      <c r="C1898" s="20" t="str">
        <f aca="false">IF($B1898="","",IFERROR(INDEX(고객사!$B$5:$B$104,MATCH($B1898,고객사!$A$5:$A$104,0)),"코드 확인"))</f>
        <v/>
      </c>
      <c r="D1898" s="15"/>
      <c r="E1898" s="15"/>
      <c r="F1898" s="16"/>
      <c r="G1898" s="16"/>
      <c r="H1898" s="21" t="str">
        <f aca="false">IF(OR($B1898="",F1898=0),"",G1898/F1898)</f>
        <v/>
      </c>
      <c r="I1898" s="22" t="str">
        <f aca="false">IF($B1898="","",MAX(F1898-G1898,0))</f>
        <v/>
      </c>
      <c r="J1898" s="23" t="str">
        <f aca="false">IF($B1898="","",IFERROR(INDEX(고객사!$G$5:$G$104,MATCH($B1898,고객사!$A$5:$A$104,0)),""))</f>
        <v/>
      </c>
      <c r="K1898" s="16"/>
      <c r="L1898" s="22" t="str">
        <f aca="false">IF($B1898="","",K1898*IFERROR(INDEX(고객사!$L$5:$L$104,MATCH($B1898,고객사!$A$5:$A$104,0)),0))</f>
        <v/>
      </c>
      <c r="M1898" s="23" t="str">
        <f aca="false">IF($B1898="","",IF(AND(J1898="N",G1898&gt;0,K1898=0,IFERROR(INDEX(고객사!$H$5:$H$104,MATCH($B1898,고객사!$A$5:$A$104,0)),"")="자사 차량 운행"),"차량 미배정",""))</f>
        <v/>
      </c>
      <c r="N1898" s="22" t="str">
        <f aca="false">IF($B1898="","",IFERROR(INDEX(고객사!$J$5:$J$104,MATCH($B1898,고객사!$A$5:$A$104,0)),0))</f>
        <v/>
      </c>
      <c r="O1898" s="22" t="str">
        <f aca="false">IF($B1898="","",G1898*N1898)</f>
        <v/>
      </c>
      <c r="P1898" s="22" t="str">
        <f aca="false">IF($B1898="","",IFERROR(INDEX(고객사!$K$5:$K$104,MATCH($B1898,고객사!$A$5:$A$104,0)),0))</f>
        <v/>
      </c>
      <c r="Q1898" s="22" t="str">
        <f aca="false">IF($B1898="","",G1898*P1898)</f>
        <v/>
      </c>
      <c r="R1898" s="22" t="str">
        <f aca="false">IF($B1898="","",O1898-Q1898-L1898)</f>
        <v/>
      </c>
      <c r="S1898" s="21" t="str">
        <f aca="false">IF(OR($B1898="",N(O1898)=0),"",R1898/O1898)</f>
        <v/>
      </c>
      <c r="T1898" s="14"/>
      <c r="U1898" s="19" t="n">
        <f aca="false">IF(OR($B1898="",$A1898=""),0,IF(COUNTIFS($A$5:$A1898,$A1898,$B$5:$B1898,$B1898)=1,1,0))</f>
        <v>0</v>
      </c>
    </row>
    <row r="1899" customFormat="false" ht="15" hidden="false" customHeight="false" outlineLevel="0" collapsed="false">
      <c r="A1899" s="17"/>
      <c r="B1899" s="13"/>
      <c r="C1899" s="20" t="str">
        <f aca="false">IF($B1899="","",IFERROR(INDEX(고객사!$B$5:$B$104,MATCH($B1899,고객사!$A$5:$A$104,0)),"코드 확인"))</f>
        <v/>
      </c>
      <c r="D1899" s="15"/>
      <c r="E1899" s="15"/>
      <c r="F1899" s="16"/>
      <c r="G1899" s="16"/>
      <c r="H1899" s="21" t="str">
        <f aca="false">IF(OR($B1899="",F1899=0),"",G1899/F1899)</f>
        <v/>
      </c>
      <c r="I1899" s="22" t="str">
        <f aca="false">IF($B1899="","",MAX(F1899-G1899,0))</f>
        <v/>
      </c>
      <c r="J1899" s="23" t="str">
        <f aca="false">IF($B1899="","",IFERROR(INDEX(고객사!$G$5:$G$104,MATCH($B1899,고객사!$A$5:$A$104,0)),""))</f>
        <v/>
      </c>
      <c r="K1899" s="16"/>
      <c r="L1899" s="22" t="str">
        <f aca="false">IF($B1899="","",K1899*IFERROR(INDEX(고객사!$L$5:$L$104,MATCH($B1899,고객사!$A$5:$A$104,0)),0))</f>
        <v/>
      </c>
      <c r="M1899" s="23" t="str">
        <f aca="false">IF($B1899="","",IF(AND(J1899="N",G1899&gt;0,K1899=0,IFERROR(INDEX(고객사!$H$5:$H$104,MATCH($B1899,고객사!$A$5:$A$104,0)),"")="자사 차량 운행"),"차량 미배정",""))</f>
        <v/>
      </c>
      <c r="N1899" s="22" t="str">
        <f aca="false">IF($B1899="","",IFERROR(INDEX(고객사!$J$5:$J$104,MATCH($B1899,고객사!$A$5:$A$104,0)),0))</f>
        <v/>
      </c>
      <c r="O1899" s="22" t="str">
        <f aca="false">IF($B1899="","",G1899*N1899)</f>
        <v/>
      </c>
      <c r="P1899" s="22" t="str">
        <f aca="false">IF($B1899="","",IFERROR(INDEX(고객사!$K$5:$K$104,MATCH($B1899,고객사!$A$5:$A$104,0)),0))</f>
        <v/>
      </c>
      <c r="Q1899" s="22" t="str">
        <f aca="false">IF($B1899="","",G1899*P1899)</f>
        <v/>
      </c>
      <c r="R1899" s="22" t="str">
        <f aca="false">IF($B1899="","",O1899-Q1899-L1899)</f>
        <v/>
      </c>
      <c r="S1899" s="21" t="str">
        <f aca="false">IF(OR($B1899="",N(O1899)=0),"",R1899/O1899)</f>
        <v/>
      </c>
      <c r="T1899" s="14"/>
      <c r="U1899" s="19" t="n">
        <f aca="false">IF(OR($B1899="",$A1899=""),0,IF(COUNTIFS($A$5:$A1899,$A1899,$B$5:$B1899,$B1899)=1,1,0))</f>
        <v>0</v>
      </c>
    </row>
    <row r="1900" customFormat="false" ht="15" hidden="false" customHeight="false" outlineLevel="0" collapsed="false">
      <c r="A1900" s="17"/>
      <c r="B1900" s="13"/>
      <c r="C1900" s="20" t="str">
        <f aca="false">IF($B1900="","",IFERROR(INDEX(고객사!$B$5:$B$104,MATCH($B1900,고객사!$A$5:$A$104,0)),"코드 확인"))</f>
        <v/>
      </c>
      <c r="D1900" s="15"/>
      <c r="E1900" s="15"/>
      <c r="F1900" s="16"/>
      <c r="G1900" s="16"/>
      <c r="H1900" s="21" t="str">
        <f aca="false">IF(OR($B1900="",F1900=0),"",G1900/F1900)</f>
        <v/>
      </c>
      <c r="I1900" s="22" t="str">
        <f aca="false">IF($B1900="","",MAX(F1900-G1900,0))</f>
        <v/>
      </c>
      <c r="J1900" s="23" t="str">
        <f aca="false">IF($B1900="","",IFERROR(INDEX(고객사!$G$5:$G$104,MATCH($B1900,고객사!$A$5:$A$104,0)),""))</f>
        <v/>
      </c>
      <c r="K1900" s="16"/>
      <c r="L1900" s="22" t="str">
        <f aca="false">IF($B1900="","",K1900*IFERROR(INDEX(고객사!$L$5:$L$104,MATCH($B1900,고객사!$A$5:$A$104,0)),0))</f>
        <v/>
      </c>
      <c r="M1900" s="23" t="str">
        <f aca="false">IF($B1900="","",IF(AND(J1900="N",G1900&gt;0,K1900=0,IFERROR(INDEX(고객사!$H$5:$H$104,MATCH($B1900,고객사!$A$5:$A$104,0)),"")="자사 차량 운행"),"차량 미배정",""))</f>
        <v/>
      </c>
      <c r="N1900" s="22" t="str">
        <f aca="false">IF($B1900="","",IFERROR(INDEX(고객사!$J$5:$J$104,MATCH($B1900,고객사!$A$5:$A$104,0)),0))</f>
        <v/>
      </c>
      <c r="O1900" s="22" t="str">
        <f aca="false">IF($B1900="","",G1900*N1900)</f>
        <v/>
      </c>
      <c r="P1900" s="22" t="str">
        <f aca="false">IF($B1900="","",IFERROR(INDEX(고객사!$K$5:$K$104,MATCH($B1900,고객사!$A$5:$A$104,0)),0))</f>
        <v/>
      </c>
      <c r="Q1900" s="22" t="str">
        <f aca="false">IF($B1900="","",G1900*P1900)</f>
        <v/>
      </c>
      <c r="R1900" s="22" t="str">
        <f aca="false">IF($B1900="","",O1900-Q1900-L1900)</f>
        <v/>
      </c>
      <c r="S1900" s="21" t="str">
        <f aca="false">IF(OR($B1900="",N(O1900)=0),"",R1900/O1900)</f>
        <v/>
      </c>
      <c r="T1900" s="14"/>
      <c r="U1900" s="19" t="n">
        <f aca="false">IF(OR($B1900="",$A1900=""),0,IF(COUNTIFS($A$5:$A1900,$A1900,$B$5:$B1900,$B1900)=1,1,0))</f>
        <v>0</v>
      </c>
    </row>
    <row r="1901" customFormat="false" ht="15" hidden="false" customHeight="false" outlineLevel="0" collapsed="false">
      <c r="A1901" s="17"/>
      <c r="B1901" s="13"/>
      <c r="C1901" s="20" t="str">
        <f aca="false">IF($B1901="","",IFERROR(INDEX(고객사!$B$5:$B$104,MATCH($B1901,고객사!$A$5:$A$104,0)),"코드 확인"))</f>
        <v/>
      </c>
      <c r="D1901" s="15"/>
      <c r="E1901" s="15"/>
      <c r="F1901" s="16"/>
      <c r="G1901" s="16"/>
      <c r="H1901" s="21" t="str">
        <f aca="false">IF(OR($B1901="",F1901=0),"",G1901/F1901)</f>
        <v/>
      </c>
      <c r="I1901" s="22" t="str">
        <f aca="false">IF($B1901="","",MAX(F1901-G1901,0))</f>
        <v/>
      </c>
      <c r="J1901" s="23" t="str">
        <f aca="false">IF($B1901="","",IFERROR(INDEX(고객사!$G$5:$G$104,MATCH($B1901,고객사!$A$5:$A$104,0)),""))</f>
        <v/>
      </c>
      <c r="K1901" s="16"/>
      <c r="L1901" s="22" t="str">
        <f aca="false">IF($B1901="","",K1901*IFERROR(INDEX(고객사!$L$5:$L$104,MATCH($B1901,고객사!$A$5:$A$104,0)),0))</f>
        <v/>
      </c>
      <c r="M1901" s="23" t="str">
        <f aca="false">IF($B1901="","",IF(AND(J1901="N",G1901&gt;0,K1901=0,IFERROR(INDEX(고객사!$H$5:$H$104,MATCH($B1901,고객사!$A$5:$A$104,0)),"")="자사 차량 운행"),"차량 미배정",""))</f>
        <v/>
      </c>
      <c r="N1901" s="22" t="str">
        <f aca="false">IF($B1901="","",IFERROR(INDEX(고객사!$J$5:$J$104,MATCH($B1901,고객사!$A$5:$A$104,0)),0))</f>
        <v/>
      </c>
      <c r="O1901" s="22" t="str">
        <f aca="false">IF($B1901="","",G1901*N1901)</f>
        <v/>
      </c>
      <c r="P1901" s="22" t="str">
        <f aca="false">IF($B1901="","",IFERROR(INDEX(고객사!$K$5:$K$104,MATCH($B1901,고객사!$A$5:$A$104,0)),0))</f>
        <v/>
      </c>
      <c r="Q1901" s="22" t="str">
        <f aca="false">IF($B1901="","",G1901*P1901)</f>
        <v/>
      </c>
      <c r="R1901" s="22" t="str">
        <f aca="false">IF($B1901="","",O1901-Q1901-L1901)</f>
        <v/>
      </c>
      <c r="S1901" s="21" t="str">
        <f aca="false">IF(OR($B1901="",N(O1901)=0),"",R1901/O1901)</f>
        <v/>
      </c>
      <c r="T1901" s="14"/>
      <c r="U1901" s="19" t="n">
        <f aca="false">IF(OR($B1901="",$A1901=""),0,IF(COUNTIFS($A$5:$A1901,$A1901,$B$5:$B1901,$B1901)=1,1,0))</f>
        <v>0</v>
      </c>
    </row>
    <row r="1902" customFormat="false" ht="15" hidden="false" customHeight="false" outlineLevel="0" collapsed="false">
      <c r="A1902" s="17"/>
      <c r="B1902" s="13"/>
      <c r="C1902" s="20" t="str">
        <f aca="false">IF($B1902="","",IFERROR(INDEX(고객사!$B$5:$B$104,MATCH($B1902,고객사!$A$5:$A$104,0)),"코드 확인"))</f>
        <v/>
      </c>
      <c r="D1902" s="15"/>
      <c r="E1902" s="15"/>
      <c r="F1902" s="16"/>
      <c r="G1902" s="16"/>
      <c r="H1902" s="21" t="str">
        <f aca="false">IF(OR($B1902="",F1902=0),"",G1902/F1902)</f>
        <v/>
      </c>
      <c r="I1902" s="22" t="str">
        <f aca="false">IF($B1902="","",MAX(F1902-G1902,0))</f>
        <v/>
      </c>
      <c r="J1902" s="23" t="str">
        <f aca="false">IF($B1902="","",IFERROR(INDEX(고객사!$G$5:$G$104,MATCH($B1902,고객사!$A$5:$A$104,0)),""))</f>
        <v/>
      </c>
      <c r="K1902" s="16"/>
      <c r="L1902" s="22" t="str">
        <f aca="false">IF($B1902="","",K1902*IFERROR(INDEX(고객사!$L$5:$L$104,MATCH($B1902,고객사!$A$5:$A$104,0)),0))</f>
        <v/>
      </c>
      <c r="M1902" s="23" t="str">
        <f aca="false">IF($B1902="","",IF(AND(J1902="N",G1902&gt;0,K1902=0,IFERROR(INDEX(고객사!$H$5:$H$104,MATCH($B1902,고객사!$A$5:$A$104,0)),"")="자사 차량 운행"),"차량 미배정",""))</f>
        <v/>
      </c>
      <c r="N1902" s="22" t="str">
        <f aca="false">IF($B1902="","",IFERROR(INDEX(고객사!$J$5:$J$104,MATCH($B1902,고객사!$A$5:$A$104,0)),0))</f>
        <v/>
      </c>
      <c r="O1902" s="22" t="str">
        <f aca="false">IF($B1902="","",G1902*N1902)</f>
        <v/>
      </c>
      <c r="P1902" s="22" t="str">
        <f aca="false">IF($B1902="","",IFERROR(INDEX(고객사!$K$5:$K$104,MATCH($B1902,고객사!$A$5:$A$104,0)),0))</f>
        <v/>
      </c>
      <c r="Q1902" s="22" t="str">
        <f aca="false">IF($B1902="","",G1902*P1902)</f>
        <v/>
      </c>
      <c r="R1902" s="22" t="str">
        <f aca="false">IF($B1902="","",O1902-Q1902-L1902)</f>
        <v/>
      </c>
      <c r="S1902" s="21" t="str">
        <f aca="false">IF(OR($B1902="",N(O1902)=0),"",R1902/O1902)</f>
        <v/>
      </c>
      <c r="T1902" s="14"/>
      <c r="U1902" s="19" t="n">
        <f aca="false">IF(OR($B1902="",$A1902=""),0,IF(COUNTIFS($A$5:$A1902,$A1902,$B$5:$B1902,$B1902)=1,1,0))</f>
        <v>0</v>
      </c>
    </row>
    <row r="1903" customFormat="false" ht="15" hidden="false" customHeight="false" outlineLevel="0" collapsed="false">
      <c r="A1903" s="17"/>
      <c r="B1903" s="13"/>
      <c r="C1903" s="20" t="str">
        <f aca="false">IF($B1903="","",IFERROR(INDEX(고객사!$B$5:$B$104,MATCH($B1903,고객사!$A$5:$A$104,0)),"코드 확인"))</f>
        <v/>
      </c>
      <c r="D1903" s="15"/>
      <c r="E1903" s="15"/>
      <c r="F1903" s="16"/>
      <c r="G1903" s="16"/>
      <c r="H1903" s="21" t="str">
        <f aca="false">IF(OR($B1903="",F1903=0),"",G1903/F1903)</f>
        <v/>
      </c>
      <c r="I1903" s="22" t="str">
        <f aca="false">IF($B1903="","",MAX(F1903-G1903,0))</f>
        <v/>
      </c>
      <c r="J1903" s="23" t="str">
        <f aca="false">IF($B1903="","",IFERROR(INDEX(고객사!$G$5:$G$104,MATCH($B1903,고객사!$A$5:$A$104,0)),""))</f>
        <v/>
      </c>
      <c r="K1903" s="16"/>
      <c r="L1903" s="22" t="str">
        <f aca="false">IF($B1903="","",K1903*IFERROR(INDEX(고객사!$L$5:$L$104,MATCH($B1903,고객사!$A$5:$A$104,0)),0))</f>
        <v/>
      </c>
      <c r="M1903" s="23" t="str">
        <f aca="false">IF($B1903="","",IF(AND(J1903="N",G1903&gt;0,K1903=0,IFERROR(INDEX(고객사!$H$5:$H$104,MATCH($B1903,고객사!$A$5:$A$104,0)),"")="자사 차량 운행"),"차량 미배정",""))</f>
        <v/>
      </c>
      <c r="N1903" s="22" t="str">
        <f aca="false">IF($B1903="","",IFERROR(INDEX(고객사!$J$5:$J$104,MATCH($B1903,고객사!$A$5:$A$104,0)),0))</f>
        <v/>
      </c>
      <c r="O1903" s="22" t="str">
        <f aca="false">IF($B1903="","",G1903*N1903)</f>
        <v/>
      </c>
      <c r="P1903" s="22" t="str">
        <f aca="false">IF($B1903="","",IFERROR(INDEX(고객사!$K$5:$K$104,MATCH($B1903,고객사!$A$5:$A$104,0)),0))</f>
        <v/>
      </c>
      <c r="Q1903" s="22" t="str">
        <f aca="false">IF($B1903="","",G1903*P1903)</f>
        <v/>
      </c>
      <c r="R1903" s="22" t="str">
        <f aca="false">IF($B1903="","",O1903-Q1903-L1903)</f>
        <v/>
      </c>
      <c r="S1903" s="21" t="str">
        <f aca="false">IF(OR($B1903="",N(O1903)=0),"",R1903/O1903)</f>
        <v/>
      </c>
      <c r="T1903" s="14"/>
      <c r="U1903" s="19" t="n">
        <f aca="false">IF(OR($B1903="",$A1903=""),0,IF(COUNTIFS($A$5:$A1903,$A1903,$B$5:$B1903,$B1903)=1,1,0))</f>
        <v>0</v>
      </c>
    </row>
    <row r="1904" customFormat="false" ht="15" hidden="false" customHeight="false" outlineLevel="0" collapsed="false">
      <c r="A1904" s="17"/>
      <c r="B1904" s="13"/>
      <c r="C1904" s="20" t="str">
        <f aca="false">IF($B1904="","",IFERROR(INDEX(고객사!$B$5:$B$104,MATCH($B1904,고객사!$A$5:$A$104,0)),"코드 확인"))</f>
        <v/>
      </c>
      <c r="D1904" s="15"/>
      <c r="E1904" s="15"/>
      <c r="F1904" s="16"/>
      <c r="G1904" s="16"/>
      <c r="H1904" s="21" t="str">
        <f aca="false">IF(OR($B1904="",F1904=0),"",G1904/F1904)</f>
        <v/>
      </c>
      <c r="I1904" s="22" t="str">
        <f aca="false">IF($B1904="","",MAX(F1904-G1904,0))</f>
        <v/>
      </c>
      <c r="J1904" s="23" t="str">
        <f aca="false">IF($B1904="","",IFERROR(INDEX(고객사!$G$5:$G$104,MATCH($B1904,고객사!$A$5:$A$104,0)),""))</f>
        <v/>
      </c>
      <c r="K1904" s="16"/>
      <c r="L1904" s="22" t="str">
        <f aca="false">IF($B1904="","",K1904*IFERROR(INDEX(고객사!$L$5:$L$104,MATCH($B1904,고객사!$A$5:$A$104,0)),0))</f>
        <v/>
      </c>
      <c r="M1904" s="23" t="str">
        <f aca="false">IF($B1904="","",IF(AND(J1904="N",G1904&gt;0,K1904=0,IFERROR(INDEX(고객사!$H$5:$H$104,MATCH($B1904,고객사!$A$5:$A$104,0)),"")="자사 차량 운행"),"차량 미배정",""))</f>
        <v/>
      </c>
      <c r="N1904" s="22" t="str">
        <f aca="false">IF($B1904="","",IFERROR(INDEX(고객사!$J$5:$J$104,MATCH($B1904,고객사!$A$5:$A$104,0)),0))</f>
        <v/>
      </c>
      <c r="O1904" s="22" t="str">
        <f aca="false">IF($B1904="","",G1904*N1904)</f>
        <v/>
      </c>
      <c r="P1904" s="22" t="str">
        <f aca="false">IF($B1904="","",IFERROR(INDEX(고객사!$K$5:$K$104,MATCH($B1904,고객사!$A$5:$A$104,0)),0))</f>
        <v/>
      </c>
      <c r="Q1904" s="22" t="str">
        <f aca="false">IF($B1904="","",G1904*P1904)</f>
        <v/>
      </c>
      <c r="R1904" s="22" t="str">
        <f aca="false">IF($B1904="","",O1904-Q1904-L1904)</f>
        <v/>
      </c>
      <c r="S1904" s="21" t="str">
        <f aca="false">IF(OR($B1904="",N(O1904)=0),"",R1904/O1904)</f>
        <v/>
      </c>
      <c r="T1904" s="14"/>
      <c r="U1904" s="19" t="n">
        <f aca="false">IF(OR($B1904="",$A1904=""),0,IF(COUNTIFS($A$5:$A1904,$A1904,$B$5:$B1904,$B1904)=1,1,0))</f>
        <v>0</v>
      </c>
    </row>
    <row r="1905" customFormat="false" ht="15" hidden="false" customHeight="false" outlineLevel="0" collapsed="false">
      <c r="A1905" s="17"/>
      <c r="B1905" s="13"/>
      <c r="C1905" s="20" t="str">
        <f aca="false">IF($B1905="","",IFERROR(INDEX(고객사!$B$5:$B$104,MATCH($B1905,고객사!$A$5:$A$104,0)),"코드 확인"))</f>
        <v/>
      </c>
      <c r="D1905" s="15"/>
      <c r="E1905" s="15"/>
      <c r="F1905" s="16"/>
      <c r="G1905" s="16"/>
      <c r="H1905" s="21" t="str">
        <f aca="false">IF(OR($B1905="",F1905=0),"",G1905/F1905)</f>
        <v/>
      </c>
      <c r="I1905" s="22" t="str">
        <f aca="false">IF($B1905="","",MAX(F1905-G1905,0))</f>
        <v/>
      </c>
      <c r="J1905" s="23" t="str">
        <f aca="false">IF($B1905="","",IFERROR(INDEX(고객사!$G$5:$G$104,MATCH($B1905,고객사!$A$5:$A$104,0)),""))</f>
        <v/>
      </c>
      <c r="K1905" s="16"/>
      <c r="L1905" s="22" t="str">
        <f aca="false">IF($B1905="","",K1905*IFERROR(INDEX(고객사!$L$5:$L$104,MATCH($B1905,고객사!$A$5:$A$104,0)),0))</f>
        <v/>
      </c>
      <c r="M1905" s="23" t="str">
        <f aca="false">IF($B1905="","",IF(AND(J1905="N",G1905&gt;0,K1905=0,IFERROR(INDEX(고객사!$H$5:$H$104,MATCH($B1905,고객사!$A$5:$A$104,0)),"")="자사 차량 운행"),"차량 미배정",""))</f>
        <v/>
      </c>
      <c r="N1905" s="22" t="str">
        <f aca="false">IF($B1905="","",IFERROR(INDEX(고객사!$J$5:$J$104,MATCH($B1905,고객사!$A$5:$A$104,0)),0))</f>
        <v/>
      </c>
      <c r="O1905" s="22" t="str">
        <f aca="false">IF($B1905="","",G1905*N1905)</f>
        <v/>
      </c>
      <c r="P1905" s="22" t="str">
        <f aca="false">IF($B1905="","",IFERROR(INDEX(고객사!$K$5:$K$104,MATCH($B1905,고객사!$A$5:$A$104,0)),0))</f>
        <v/>
      </c>
      <c r="Q1905" s="22" t="str">
        <f aca="false">IF($B1905="","",G1905*P1905)</f>
        <v/>
      </c>
      <c r="R1905" s="22" t="str">
        <f aca="false">IF($B1905="","",O1905-Q1905-L1905)</f>
        <v/>
      </c>
      <c r="S1905" s="21" t="str">
        <f aca="false">IF(OR($B1905="",N(O1905)=0),"",R1905/O1905)</f>
        <v/>
      </c>
      <c r="T1905" s="14"/>
      <c r="U1905" s="19" t="n">
        <f aca="false">IF(OR($B1905="",$A1905=""),0,IF(COUNTIFS($A$5:$A1905,$A1905,$B$5:$B1905,$B1905)=1,1,0))</f>
        <v>0</v>
      </c>
    </row>
    <row r="1906" customFormat="false" ht="15" hidden="false" customHeight="false" outlineLevel="0" collapsed="false">
      <c r="A1906" s="17"/>
      <c r="B1906" s="13"/>
      <c r="C1906" s="20" t="str">
        <f aca="false">IF($B1906="","",IFERROR(INDEX(고객사!$B$5:$B$104,MATCH($B1906,고객사!$A$5:$A$104,0)),"코드 확인"))</f>
        <v/>
      </c>
      <c r="D1906" s="15"/>
      <c r="E1906" s="15"/>
      <c r="F1906" s="16"/>
      <c r="G1906" s="16"/>
      <c r="H1906" s="21" t="str">
        <f aca="false">IF(OR($B1906="",F1906=0),"",G1906/F1906)</f>
        <v/>
      </c>
      <c r="I1906" s="22" t="str">
        <f aca="false">IF($B1906="","",MAX(F1906-G1906,0))</f>
        <v/>
      </c>
      <c r="J1906" s="23" t="str">
        <f aca="false">IF($B1906="","",IFERROR(INDEX(고객사!$G$5:$G$104,MATCH($B1906,고객사!$A$5:$A$104,0)),""))</f>
        <v/>
      </c>
      <c r="K1906" s="16"/>
      <c r="L1906" s="22" t="str">
        <f aca="false">IF($B1906="","",K1906*IFERROR(INDEX(고객사!$L$5:$L$104,MATCH($B1906,고객사!$A$5:$A$104,0)),0))</f>
        <v/>
      </c>
      <c r="M1906" s="23" t="str">
        <f aca="false">IF($B1906="","",IF(AND(J1906="N",G1906&gt;0,K1906=0,IFERROR(INDEX(고객사!$H$5:$H$104,MATCH($B1906,고객사!$A$5:$A$104,0)),"")="자사 차량 운행"),"차량 미배정",""))</f>
        <v/>
      </c>
      <c r="N1906" s="22" t="str">
        <f aca="false">IF($B1906="","",IFERROR(INDEX(고객사!$J$5:$J$104,MATCH($B1906,고객사!$A$5:$A$104,0)),0))</f>
        <v/>
      </c>
      <c r="O1906" s="22" t="str">
        <f aca="false">IF($B1906="","",G1906*N1906)</f>
        <v/>
      </c>
      <c r="P1906" s="22" t="str">
        <f aca="false">IF($B1906="","",IFERROR(INDEX(고객사!$K$5:$K$104,MATCH($B1906,고객사!$A$5:$A$104,0)),0))</f>
        <v/>
      </c>
      <c r="Q1906" s="22" t="str">
        <f aca="false">IF($B1906="","",G1906*P1906)</f>
        <v/>
      </c>
      <c r="R1906" s="22" t="str">
        <f aca="false">IF($B1906="","",O1906-Q1906-L1906)</f>
        <v/>
      </c>
      <c r="S1906" s="21" t="str">
        <f aca="false">IF(OR($B1906="",N(O1906)=0),"",R1906/O1906)</f>
        <v/>
      </c>
      <c r="T1906" s="14"/>
      <c r="U1906" s="19" t="n">
        <f aca="false">IF(OR($B1906="",$A1906=""),0,IF(COUNTIFS($A$5:$A1906,$A1906,$B$5:$B1906,$B1906)=1,1,0))</f>
        <v>0</v>
      </c>
    </row>
    <row r="1907" customFormat="false" ht="15" hidden="false" customHeight="false" outlineLevel="0" collapsed="false">
      <c r="A1907" s="17"/>
      <c r="B1907" s="13"/>
      <c r="C1907" s="20" t="str">
        <f aca="false">IF($B1907="","",IFERROR(INDEX(고객사!$B$5:$B$104,MATCH($B1907,고객사!$A$5:$A$104,0)),"코드 확인"))</f>
        <v/>
      </c>
      <c r="D1907" s="15"/>
      <c r="E1907" s="15"/>
      <c r="F1907" s="16"/>
      <c r="G1907" s="16"/>
      <c r="H1907" s="21" t="str">
        <f aca="false">IF(OR($B1907="",F1907=0),"",G1907/F1907)</f>
        <v/>
      </c>
      <c r="I1907" s="22" t="str">
        <f aca="false">IF($B1907="","",MAX(F1907-G1907,0))</f>
        <v/>
      </c>
      <c r="J1907" s="23" t="str">
        <f aca="false">IF($B1907="","",IFERROR(INDEX(고객사!$G$5:$G$104,MATCH($B1907,고객사!$A$5:$A$104,0)),""))</f>
        <v/>
      </c>
      <c r="K1907" s="16"/>
      <c r="L1907" s="22" t="str">
        <f aca="false">IF($B1907="","",K1907*IFERROR(INDEX(고객사!$L$5:$L$104,MATCH($B1907,고객사!$A$5:$A$104,0)),0))</f>
        <v/>
      </c>
      <c r="M1907" s="23" t="str">
        <f aca="false">IF($B1907="","",IF(AND(J1907="N",G1907&gt;0,K1907=0,IFERROR(INDEX(고객사!$H$5:$H$104,MATCH($B1907,고객사!$A$5:$A$104,0)),"")="자사 차량 운행"),"차량 미배정",""))</f>
        <v/>
      </c>
      <c r="N1907" s="22" t="str">
        <f aca="false">IF($B1907="","",IFERROR(INDEX(고객사!$J$5:$J$104,MATCH($B1907,고객사!$A$5:$A$104,0)),0))</f>
        <v/>
      </c>
      <c r="O1907" s="22" t="str">
        <f aca="false">IF($B1907="","",G1907*N1907)</f>
        <v/>
      </c>
      <c r="P1907" s="22" t="str">
        <f aca="false">IF($B1907="","",IFERROR(INDEX(고객사!$K$5:$K$104,MATCH($B1907,고객사!$A$5:$A$104,0)),0))</f>
        <v/>
      </c>
      <c r="Q1907" s="22" t="str">
        <f aca="false">IF($B1907="","",G1907*P1907)</f>
        <v/>
      </c>
      <c r="R1907" s="22" t="str">
        <f aca="false">IF($B1907="","",O1907-Q1907-L1907)</f>
        <v/>
      </c>
      <c r="S1907" s="21" t="str">
        <f aca="false">IF(OR($B1907="",N(O1907)=0),"",R1907/O1907)</f>
        <v/>
      </c>
      <c r="T1907" s="14"/>
      <c r="U1907" s="19" t="n">
        <f aca="false">IF(OR($B1907="",$A1907=""),0,IF(COUNTIFS($A$5:$A1907,$A1907,$B$5:$B1907,$B1907)=1,1,0))</f>
        <v>0</v>
      </c>
    </row>
    <row r="1908" customFormat="false" ht="15" hidden="false" customHeight="false" outlineLevel="0" collapsed="false">
      <c r="A1908" s="17"/>
      <c r="B1908" s="13"/>
      <c r="C1908" s="20" t="str">
        <f aca="false">IF($B1908="","",IFERROR(INDEX(고객사!$B$5:$B$104,MATCH($B1908,고객사!$A$5:$A$104,0)),"코드 확인"))</f>
        <v/>
      </c>
      <c r="D1908" s="15"/>
      <c r="E1908" s="15"/>
      <c r="F1908" s="16"/>
      <c r="G1908" s="16"/>
      <c r="H1908" s="21" t="str">
        <f aca="false">IF(OR($B1908="",F1908=0),"",G1908/F1908)</f>
        <v/>
      </c>
      <c r="I1908" s="22" t="str">
        <f aca="false">IF($B1908="","",MAX(F1908-G1908,0))</f>
        <v/>
      </c>
      <c r="J1908" s="23" t="str">
        <f aca="false">IF($B1908="","",IFERROR(INDEX(고객사!$G$5:$G$104,MATCH($B1908,고객사!$A$5:$A$104,0)),""))</f>
        <v/>
      </c>
      <c r="K1908" s="16"/>
      <c r="L1908" s="22" t="str">
        <f aca="false">IF($B1908="","",K1908*IFERROR(INDEX(고객사!$L$5:$L$104,MATCH($B1908,고객사!$A$5:$A$104,0)),0))</f>
        <v/>
      </c>
      <c r="M1908" s="23" t="str">
        <f aca="false">IF($B1908="","",IF(AND(J1908="N",G1908&gt;0,K1908=0,IFERROR(INDEX(고객사!$H$5:$H$104,MATCH($B1908,고객사!$A$5:$A$104,0)),"")="자사 차량 운행"),"차량 미배정",""))</f>
        <v/>
      </c>
      <c r="N1908" s="22" t="str">
        <f aca="false">IF($B1908="","",IFERROR(INDEX(고객사!$J$5:$J$104,MATCH($B1908,고객사!$A$5:$A$104,0)),0))</f>
        <v/>
      </c>
      <c r="O1908" s="22" t="str">
        <f aca="false">IF($B1908="","",G1908*N1908)</f>
        <v/>
      </c>
      <c r="P1908" s="22" t="str">
        <f aca="false">IF($B1908="","",IFERROR(INDEX(고객사!$K$5:$K$104,MATCH($B1908,고객사!$A$5:$A$104,0)),0))</f>
        <v/>
      </c>
      <c r="Q1908" s="22" t="str">
        <f aca="false">IF($B1908="","",G1908*P1908)</f>
        <v/>
      </c>
      <c r="R1908" s="22" t="str">
        <f aca="false">IF($B1908="","",O1908-Q1908-L1908)</f>
        <v/>
      </c>
      <c r="S1908" s="21" t="str">
        <f aca="false">IF(OR($B1908="",N(O1908)=0),"",R1908/O1908)</f>
        <v/>
      </c>
      <c r="T1908" s="14"/>
      <c r="U1908" s="19" t="n">
        <f aca="false">IF(OR($B1908="",$A1908=""),0,IF(COUNTIFS($A$5:$A1908,$A1908,$B$5:$B1908,$B1908)=1,1,0))</f>
        <v>0</v>
      </c>
    </row>
    <row r="1909" customFormat="false" ht="15" hidden="false" customHeight="false" outlineLevel="0" collapsed="false">
      <c r="A1909" s="17"/>
      <c r="B1909" s="13"/>
      <c r="C1909" s="20" t="str">
        <f aca="false">IF($B1909="","",IFERROR(INDEX(고객사!$B$5:$B$104,MATCH($B1909,고객사!$A$5:$A$104,0)),"코드 확인"))</f>
        <v/>
      </c>
      <c r="D1909" s="15"/>
      <c r="E1909" s="15"/>
      <c r="F1909" s="16"/>
      <c r="G1909" s="16"/>
      <c r="H1909" s="21" t="str">
        <f aca="false">IF(OR($B1909="",F1909=0),"",G1909/F1909)</f>
        <v/>
      </c>
      <c r="I1909" s="22" t="str">
        <f aca="false">IF($B1909="","",MAX(F1909-G1909,0))</f>
        <v/>
      </c>
      <c r="J1909" s="23" t="str">
        <f aca="false">IF($B1909="","",IFERROR(INDEX(고객사!$G$5:$G$104,MATCH($B1909,고객사!$A$5:$A$104,0)),""))</f>
        <v/>
      </c>
      <c r="K1909" s="16"/>
      <c r="L1909" s="22" t="str">
        <f aca="false">IF($B1909="","",K1909*IFERROR(INDEX(고객사!$L$5:$L$104,MATCH($B1909,고객사!$A$5:$A$104,0)),0))</f>
        <v/>
      </c>
      <c r="M1909" s="23" t="str">
        <f aca="false">IF($B1909="","",IF(AND(J1909="N",G1909&gt;0,K1909=0,IFERROR(INDEX(고객사!$H$5:$H$104,MATCH($B1909,고객사!$A$5:$A$104,0)),"")="자사 차량 운행"),"차량 미배정",""))</f>
        <v/>
      </c>
      <c r="N1909" s="22" t="str">
        <f aca="false">IF($B1909="","",IFERROR(INDEX(고객사!$J$5:$J$104,MATCH($B1909,고객사!$A$5:$A$104,0)),0))</f>
        <v/>
      </c>
      <c r="O1909" s="22" t="str">
        <f aca="false">IF($B1909="","",G1909*N1909)</f>
        <v/>
      </c>
      <c r="P1909" s="22" t="str">
        <f aca="false">IF($B1909="","",IFERROR(INDEX(고객사!$K$5:$K$104,MATCH($B1909,고객사!$A$5:$A$104,0)),0))</f>
        <v/>
      </c>
      <c r="Q1909" s="22" t="str">
        <f aca="false">IF($B1909="","",G1909*P1909)</f>
        <v/>
      </c>
      <c r="R1909" s="22" t="str">
        <f aca="false">IF($B1909="","",O1909-Q1909-L1909)</f>
        <v/>
      </c>
      <c r="S1909" s="21" t="str">
        <f aca="false">IF(OR($B1909="",N(O1909)=0),"",R1909/O1909)</f>
        <v/>
      </c>
      <c r="T1909" s="14"/>
      <c r="U1909" s="19" t="n">
        <f aca="false">IF(OR($B1909="",$A1909=""),0,IF(COUNTIFS($A$5:$A1909,$A1909,$B$5:$B1909,$B1909)=1,1,0))</f>
        <v>0</v>
      </c>
    </row>
    <row r="1910" customFormat="false" ht="15" hidden="false" customHeight="false" outlineLevel="0" collapsed="false">
      <c r="A1910" s="17"/>
      <c r="B1910" s="13"/>
      <c r="C1910" s="20" t="str">
        <f aca="false">IF($B1910="","",IFERROR(INDEX(고객사!$B$5:$B$104,MATCH($B1910,고객사!$A$5:$A$104,0)),"코드 확인"))</f>
        <v/>
      </c>
      <c r="D1910" s="15"/>
      <c r="E1910" s="15"/>
      <c r="F1910" s="16"/>
      <c r="G1910" s="16"/>
      <c r="H1910" s="21" t="str">
        <f aca="false">IF(OR($B1910="",F1910=0),"",G1910/F1910)</f>
        <v/>
      </c>
      <c r="I1910" s="22" t="str">
        <f aca="false">IF($B1910="","",MAX(F1910-G1910,0))</f>
        <v/>
      </c>
      <c r="J1910" s="23" t="str">
        <f aca="false">IF($B1910="","",IFERROR(INDEX(고객사!$G$5:$G$104,MATCH($B1910,고객사!$A$5:$A$104,0)),""))</f>
        <v/>
      </c>
      <c r="K1910" s="16"/>
      <c r="L1910" s="22" t="str">
        <f aca="false">IF($B1910="","",K1910*IFERROR(INDEX(고객사!$L$5:$L$104,MATCH($B1910,고객사!$A$5:$A$104,0)),0))</f>
        <v/>
      </c>
      <c r="M1910" s="23" t="str">
        <f aca="false">IF($B1910="","",IF(AND(J1910="N",G1910&gt;0,K1910=0,IFERROR(INDEX(고객사!$H$5:$H$104,MATCH($B1910,고객사!$A$5:$A$104,0)),"")="자사 차량 운행"),"차량 미배정",""))</f>
        <v/>
      </c>
      <c r="N1910" s="22" t="str">
        <f aca="false">IF($B1910="","",IFERROR(INDEX(고객사!$J$5:$J$104,MATCH($B1910,고객사!$A$5:$A$104,0)),0))</f>
        <v/>
      </c>
      <c r="O1910" s="22" t="str">
        <f aca="false">IF($B1910="","",G1910*N1910)</f>
        <v/>
      </c>
      <c r="P1910" s="22" t="str">
        <f aca="false">IF($B1910="","",IFERROR(INDEX(고객사!$K$5:$K$104,MATCH($B1910,고객사!$A$5:$A$104,0)),0))</f>
        <v/>
      </c>
      <c r="Q1910" s="22" t="str">
        <f aca="false">IF($B1910="","",G1910*P1910)</f>
        <v/>
      </c>
      <c r="R1910" s="22" t="str">
        <f aca="false">IF($B1910="","",O1910-Q1910-L1910)</f>
        <v/>
      </c>
      <c r="S1910" s="21" t="str">
        <f aca="false">IF(OR($B1910="",N(O1910)=0),"",R1910/O1910)</f>
        <v/>
      </c>
      <c r="T1910" s="14"/>
      <c r="U1910" s="19" t="n">
        <f aca="false">IF(OR($B1910="",$A1910=""),0,IF(COUNTIFS($A$5:$A1910,$A1910,$B$5:$B1910,$B1910)=1,1,0))</f>
        <v>0</v>
      </c>
    </row>
    <row r="1911" customFormat="false" ht="15" hidden="false" customHeight="false" outlineLevel="0" collapsed="false">
      <c r="A1911" s="17"/>
      <c r="B1911" s="13"/>
      <c r="C1911" s="20" t="str">
        <f aca="false">IF($B1911="","",IFERROR(INDEX(고객사!$B$5:$B$104,MATCH($B1911,고객사!$A$5:$A$104,0)),"코드 확인"))</f>
        <v/>
      </c>
      <c r="D1911" s="15"/>
      <c r="E1911" s="15"/>
      <c r="F1911" s="16"/>
      <c r="G1911" s="16"/>
      <c r="H1911" s="21" t="str">
        <f aca="false">IF(OR($B1911="",F1911=0),"",G1911/F1911)</f>
        <v/>
      </c>
      <c r="I1911" s="22" t="str">
        <f aca="false">IF($B1911="","",MAX(F1911-G1911,0))</f>
        <v/>
      </c>
      <c r="J1911" s="23" t="str">
        <f aca="false">IF($B1911="","",IFERROR(INDEX(고객사!$G$5:$G$104,MATCH($B1911,고객사!$A$5:$A$104,0)),""))</f>
        <v/>
      </c>
      <c r="K1911" s="16"/>
      <c r="L1911" s="22" t="str">
        <f aca="false">IF($B1911="","",K1911*IFERROR(INDEX(고객사!$L$5:$L$104,MATCH($B1911,고객사!$A$5:$A$104,0)),0))</f>
        <v/>
      </c>
      <c r="M1911" s="23" t="str">
        <f aca="false">IF($B1911="","",IF(AND(J1911="N",G1911&gt;0,K1911=0,IFERROR(INDEX(고객사!$H$5:$H$104,MATCH($B1911,고객사!$A$5:$A$104,0)),"")="자사 차량 운행"),"차량 미배정",""))</f>
        <v/>
      </c>
      <c r="N1911" s="22" t="str">
        <f aca="false">IF($B1911="","",IFERROR(INDEX(고객사!$J$5:$J$104,MATCH($B1911,고객사!$A$5:$A$104,0)),0))</f>
        <v/>
      </c>
      <c r="O1911" s="22" t="str">
        <f aca="false">IF($B1911="","",G1911*N1911)</f>
        <v/>
      </c>
      <c r="P1911" s="22" t="str">
        <f aca="false">IF($B1911="","",IFERROR(INDEX(고객사!$K$5:$K$104,MATCH($B1911,고객사!$A$5:$A$104,0)),0))</f>
        <v/>
      </c>
      <c r="Q1911" s="22" t="str">
        <f aca="false">IF($B1911="","",G1911*P1911)</f>
        <v/>
      </c>
      <c r="R1911" s="22" t="str">
        <f aca="false">IF($B1911="","",O1911-Q1911-L1911)</f>
        <v/>
      </c>
      <c r="S1911" s="21" t="str">
        <f aca="false">IF(OR($B1911="",N(O1911)=0),"",R1911/O1911)</f>
        <v/>
      </c>
      <c r="T1911" s="14"/>
      <c r="U1911" s="19" t="n">
        <f aca="false">IF(OR($B1911="",$A1911=""),0,IF(COUNTIFS($A$5:$A1911,$A1911,$B$5:$B1911,$B1911)=1,1,0))</f>
        <v>0</v>
      </c>
    </row>
    <row r="1912" customFormat="false" ht="15" hidden="false" customHeight="false" outlineLevel="0" collapsed="false">
      <c r="A1912" s="17"/>
      <c r="B1912" s="13"/>
      <c r="C1912" s="20" t="str">
        <f aca="false">IF($B1912="","",IFERROR(INDEX(고객사!$B$5:$B$104,MATCH($B1912,고객사!$A$5:$A$104,0)),"코드 확인"))</f>
        <v/>
      </c>
      <c r="D1912" s="15"/>
      <c r="E1912" s="15"/>
      <c r="F1912" s="16"/>
      <c r="G1912" s="16"/>
      <c r="H1912" s="21" t="str">
        <f aca="false">IF(OR($B1912="",F1912=0),"",G1912/F1912)</f>
        <v/>
      </c>
      <c r="I1912" s="22" t="str">
        <f aca="false">IF($B1912="","",MAX(F1912-G1912,0))</f>
        <v/>
      </c>
      <c r="J1912" s="23" t="str">
        <f aca="false">IF($B1912="","",IFERROR(INDEX(고객사!$G$5:$G$104,MATCH($B1912,고객사!$A$5:$A$104,0)),""))</f>
        <v/>
      </c>
      <c r="K1912" s="16"/>
      <c r="L1912" s="22" t="str">
        <f aca="false">IF($B1912="","",K1912*IFERROR(INDEX(고객사!$L$5:$L$104,MATCH($B1912,고객사!$A$5:$A$104,0)),0))</f>
        <v/>
      </c>
      <c r="M1912" s="23" t="str">
        <f aca="false">IF($B1912="","",IF(AND(J1912="N",G1912&gt;0,K1912=0,IFERROR(INDEX(고객사!$H$5:$H$104,MATCH($B1912,고객사!$A$5:$A$104,0)),"")="자사 차량 운행"),"차량 미배정",""))</f>
        <v/>
      </c>
      <c r="N1912" s="22" t="str">
        <f aca="false">IF($B1912="","",IFERROR(INDEX(고객사!$J$5:$J$104,MATCH($B1912,고객사!$A$5:$A$104,0)),0))</f>
        <v/>
      </c>
      <c r="O1912" s="22" t="str">
        <f aca="false">IF($B1912="","",G1912*N1912)</f>
        <v/>
      </c>
      <c r="P1912" s="22" t="str">
        <f aca="false">IF($B1912="","",IFERROR(INDEX(고객사!$K$5:$K$104,MATCH($B1912,고객사!$A$5:$A$104,0)),0))</f>
        <v/>
      </c>
      <c r="Q1912" s="22" t="str">
        <f aca="false">IF($B1912="","",G1912*P1912)</f>
        <v/>
      </c>
      <c r="R1912" s="22" t="str">
        <f aca="false">IF($B1912="","",O1912-Q1912-L1912)</f>
        <v/>
      </c>
      <c r="S1912" s="21" t="str">
        <f aca="false">IF(OR($B1912="",N(O1912)=0),"",R1912/O1912)</f>
        <v/>
      </c>
      <c r="T1912" s="14"/>
      <c r="U1912" s="19" t="n">
        <f aca="false">IF(OR($B1912="",$A1912=""),0,IF(COUNTIFS($A$5:$A1912,$A1912,$B$5:$B1912,$B1912)=1,1,0))</f>
        <v>0</v>
      </c>
    </row>
    <row r="1913" customFormat="false" ht="15" hidden="false" customHeight="false" outlineLevel="0" collapsed="false">
      <c r="A1913" s="17"/>
      <c r="B1913" s="13"/>
      <c r="C1913" s="20" t="str">
        <f aca="false">IF($B1913="","",IFERROR(INDEX(고객사!$B$5:$B$104,MATCH($B1913,고객사!$A$5:$A$104,0)),"코드 확인"))</f>
        <v/>
      </c>
      <c r="D1913" s="15"/>
      <c r="E1913" s="15"/>
      <c r="F1913" s="16"/>
      <c r="G1913" s="16"/>
      <c r="H1913" s="21" t="str">
        <f aca="false">IF(OR($B1913="",F1913=0),"",G1913/F1913)</f>
        <v/>
      </c>
      <c r="I1913" s="22" t="str">
        <f aca="false">IF($B1913="","",MAX(F1913-G1913,0))</f>
        <v/>
      </c>
      <c r="J1913" s="23" t="str">
        <f aca="false">IF($B1913="","",IFERROR(INDEX(고객사!$G$5:$G$104,MATCH($B1913,고객사!$A$5:$A$104,0)),""))</f>
        <v/>
      </c>
      <c r="K1913" s="16"/>
      <c r="L1913" s="22" t="str">
        <f aca="false">IF($B1913="","",K1913*IFERROR(INDEX(고객사!$L$5:$L$104,MATCH($B1913,고객사!$A$5:$A$104,0)),0))</f>
        <v/>
      </c>
      <c r="M1913" s="23" t="str">
        <f aca="false">IF($B1913="","",IF(AND(J1913="N",G1913&gt;0,K1913=0,IFERROR(INDEX(고객사!$H$5:$H$104,MATCH($B1913,고객사!$A$5:$A$104,0)),"")="자사 차량 운행"),"차량 미배정",""))</f>
        <v/>
      </c>
      <c r="N1913" s="22" t="str">
        <f aca="false">IF($B1913="","",IFERROR(INDEX(고객사!$J$5:$J$104,MATCH($B1913,고객사!$A$5:$A$104,0)),0))</f>
        <v/>
      </c>
      <c r="O1913" s="22" t="str">
        <f aca="false">IF($B1913="","",G1913*N1913)</f>
        <v/>
      </c>
      <c r="P1913" s="22" t="str">
        <f aca="false">IF($B1913="","",IFERROR(INDEX(고객사!$K$5:$K$104,MATCH($B1913,고객사!$A$5:$A$104,0)),0))</f>
        <v/>
      </c>
      <c r="Q1913" s="22" t="str">
        <f aca="false">IF($B1913="","",G1913*P1913)</f>
        <v/>
      </c>
      <c r="R1913" s="22" t="str">
        <f aca="false">IF($B1913="","",O1913-Q1913-L1913)</f>
        <v/>
      </c>
      <c r="S1913" s="21" t="str">
        <f aca="false">IF(OR($B1913="",N(O1913)=0),"",R1913/O1913)</f>
        <v/>
      </c>
      <c r="T1913" s="14"/>
      <c r="U1913" s="19" t="n">
        <f aca="false">IF(OR($B1913="",$A1913=""),0,IF(COUNTIFS($A$5:$A1913,$A1913,$B$5:$B1913,$B1913)=1,1,0))</f>
        <v>0</v>
      </c>
    </row>
    <row r="1914" customFormat="false" ht="15" hidden="false" customHeight="false" outlineLevel="0" collapsed="false">
      <c r="A1914" s="17"/>
      <c r="B1914" s="13"/>
      <c r="C1914" s="20" t="str">
        <f aca="false">IF($B1914="","",IFERROR(INDEX(고객사!$B$5:$B$104,MATCH($B1914,고객사!$A$5:$A$104,0)),"코드 확인"))</f>
        <v/>
      </c>
      <c r="D1914" s="15"/>
      <c r="E1914" s="15"/>
      <c r="F1914" s="16"/>
      <c r="G1914" s="16"/>
      <c r="H1914" s="21" t="str">
        <f aca="false">IF(OR($B1914="",F1914=0),"",G1914/F1914)</f>
        <v/>
      </c>
      <c r="I1914" s="22" t="str">
        <f aca="false">IF($B1914="","",MAX(F1914-G1914,0))</f>
        <v/>
      </c>
      <c r="J1914" s="23" t="str">
        <f aca="false">IF($B1914="","",IFERROR(INDEX(고객사!$G$5:$G$104,MATCH($B1914,고객사!$A$5:$A$104,0)),""))</f>
        <v/>
      </c>
      <c r="K1914" s="16"/>
      <c r="L1914" s="22" t="str">
        <f aca="false">IF($B1914="","",K1914*IFERROR(INDEX(고객사!$L$5:$L$104,MATCH($B1914,고객사!$A$5:$A$104,0)),0))</f>
        <v/>
      </c>
      <c r="M1914" s="23" t="str">
        <f aca="false">IF($B1914="","",IF(AND(J1914="N",G1914&gt;0,K1914=0,IFERROR(INDEX(고객사!$H$5:$H$104,MATCH($B1914,고객사!$A$5:$A$104,0)),"")="자사 차량 운행"),"차량 미배정",""))</f>
        <v/>
      </c>
      <c r="N1914" s="22" t="str">
        <f aca="false">IF($B1914="","",IFERROR(INDEX(고객사!$J$5:$J$104,MATCH($B1914,고객사!$A$5:$A$104,0)),0))</f>
        <v/>
      </c>
      <c r="O1914" s="22" t="str">
        <f aca="false">IF($B1914="","",G1914*N1914)</f>
        <v/>
      </c>
      <c r="P1914" s="22" t="str">
        <f aca="false">IF($B1914="","",IFERROR(INDEX(고객사!$K$5:$K$104,MATCH($B1914,고객사!$A$5:$A$104,0)),0))</f>
        <v/>
      </c>
      <c r="Q1914" s="22" t="str">
        <f aca="false">IF($B1914="","",G1914*P1914)</f>
        <v/>
      </c>
      <c r="R1914" s="22" t="str">
        <f aca="false">IF($B1914="","",O1914-Q1914-L1914)</f>
        <v/>
      </c>
      <c r="S1914" s="21" t="str">
        <f aca="false">IF(OR($B1914="",N(O1914)=0),"",R1914/O1914)</f>
        <v/>
      </c>
      <c r="T1914" s="14"/>
      <c r="U1914" s="19" t="n">
        <f aca="false">IF(OR($B1914="",$A1914=""),0,IF(COUNTIFS($A$5:$A1914,$A1914,$B$5:$B1914,$B1914)=1,1,0))</f>
        <v>0</v>
      </c>
    </row>
    <row r="1915" customFormat="false" ht="15" hidden="false" customHeight="false" outlineLevel="0" collapsed="false">
      <c r="A1915" s="17"/>
      <c r="B1915" s="13"/>
      <c r="C1915" s="20" t="str">
        <f aca="false">IF($B1915="","",IFERROR(INDEX(고객사!$B$5:$B$104,MATCH($B1915,고객사!$A$5:$A$104,0)),"코드 확인"))</f>
        <v/>
      </c>
      <c r="D1915" s="15"/>
      <c r="E1915" s="15"/>
      <c r="F1915" s="16"/>
      <c r="G1915" s="16"/>
      <c r="H1915" s="21" t="str">
        <f aca="false">IF(OR($B1915="",F1915=0),"",G1915/F1915)</f>
        <v/>
      </c>
      <c r="I1915" s="22" t="str">
        <f aca="false">IF($B1915="","",MAX(F1915-G1915,0))</f>
        <v/>
      </c>
      <c r="J1915" s="23" t="str">
        <f aca="false">IF($B1915="","",IFERROR(INDEX(고객사!$G$5:$G$104,MATCH($B1915,고객사!$A$5:$A$104,0)),""))</f>
        <v/>
      </c>
      <c r="K1915" s="16"/>
      <c r="L1915" s="22" t="str">
        <f aca="false">IF($B1915="","",K1915*IFERROR(INDEX(고객사!$L$5:$L$104,MATCH($B1915,고객사!$A$5:$A$104,0)),0))</f>
        <v/>
      </c>
      <c r="M1915" s="23" t="str">
        <f aca="false">IF($B1915="","",IF(AND(J1915="N",G1915&gt;0,K1915=0,IFERROR(INDEX(고객사!$H$5:$H$104,MATCH($B1915,고객사!$A$5:$A$104,0)),"")="자사 차량 운행"),"차량 미배정",""))</f>
        <v/>
      </c>
      <c r="N1915" s="22" t="str">
        <f aca="false">IF($B1915="","",IFERROR(INDEX(고객사!$J$5:$J$104,MATCH($B1915,고객사!$A$5:$A$104,0)),0))</f>
        <v/>
      </c>
      <c r="O1915" s="22" t="str">
        <f aca="false">IF($B1915="","",G1915*N1915)</f>
        <v/>
      </c>
      <c r="P1915" s="22" t="str">
        <f aca="false">IF($B1915="","",IFERROR(INDEX(고객사!$K$5:$K$104,MATCH($B1915,고객사!$A$5:$A$104,0)),0))</f>
        <v/>
      </c>
      <c r="Q1915" s="22" t="str">
        <f aca="false">IF($B1915="","",G1915*P1915)</f>
        <v/>
      </c>
      <c r="R1915" s="22" t="str">
        <f aca="false">IF($B1915="","",O1915-Q1915-L1915)</f>
        <v/>
      </c>
      <c r="S1915" s="21" t="str">
        <f aca="false">IF(OR($B1915="",N(O1915)=0),"",R1915/O1915)</f>
        <v/>
      </c>
      <c r="T1915" s="14"/>
      <c r="U1915" s="19" t="n">
        <f aca="false">IF(OR($B1915="",$A1915=""),0,IF(COUNTIFS($A$5:$A1915,$A1915,$B$5:$B1915,$B1915)=1,1,0))</f>
        <v>0</v>
      </c>
    </row>
    <row r="1916" customFormat="false" ht="15" hidden="false" customHeight="false" outlineLevel="0" collapsed="false">
      <c r="A1916" s="17"/>
      <c r="B1916" s="13"/>
      <c r="C1916" s="20" t="str">
        <f aca="false">IF($B1916="","",IFERROR(INDEX(고객사!$B$5:$B$104,MATCH($B1916,고객사!$A$5:$A$104,0)),"코드 확인"))</f>
        <v/>
      </c>
      <c r="D1916" s="15"/>
      <c r="E1916" s="15"/>
      <c r="F1916" s="16"/>
      <c r="G1916" s="16"/>
      <c r="H1916" s="21" t="str">
        <f aca="false">IF(OR($B1916="",F1916=0),"",G1916/F1916)</f>
        <v/>
      </c>
      <c r="I1916" s="22" t="str">
        <f aca="false">IF($B1916="","",MAX(F1916-G1916,0))</f>
        <v/>
      </c>
      <c r="J1916" s="23" t="str">
        <f aca="false">IF($B1916="","",IFERROR(INDEX(고객사!$G$5:$G$104,MATCH($B1916,고객사!$A$5:$A$104,0)),""))</f>
        <v/>
      </c>
      <c r="K1916" s="16"/>
      <c r="L1916" s="22" t="str">
        <f aca="false">IF($B1916="","",K1916*IFERROR(INDEX(고객사!$L$5:$L$104,MATCH($B1916,고객사!$A$5:$A$104,0)),0))</f>
        <v/>
      </c>
      <c r="M1916" s="23" t="str">
        <f aca="false">IF($B1916="","",IF(AND(J1916="N",G1916&gt;0,K1916=0,IFERROR(INDEX(고객사!$H$5:$H$104,MATCH($B1916,고객사!$A$5:$A$104,0)),"")="자사 차량 운행"),"차량 미배정",""))</f>
        <v/>
      </c>
      <c r="N1916" s="22" t="str">
        <f aca="false">IF($B1916="","",IFERROR(INDEX(고객사!$J$5:$J$104,MATCH($B1916,고객사!$A$5:$A$104,0)),0))</f>
        <v/>
      </c>
      <c r="O1916" s="22" t="str">
        <f aca="false">IF($B1916="","",G1916*N1916)</f>
        <v/>
      </c>
      <c r="P1916" s="22" t="str">
        <f aca="false">IF($B1916="","",IFERROR(INDEX(고객사!$K$5:$K$104,MATCH($B1916,고객사!$A$5:$A$104,0)),0))</f>
        <v/>
      </c>
      <c r="Q1916" s="22" t="str">
        <f aca="false">IF($B1916="","",G1916*P1916)</f>
        <v/>
      </c>
      <c r="R1916" s="22" t="str">
        <f aca="false">IF($B1916="","",O1916-Q1916-L1916)</f>
        <v/>
      </c>
      <c r="S1916" s="21" t="str">
        <f aca="false">IF(OR($B1916="",N(O1916)=0),"",R1916/O1916)</f>
        <v/>
      </c>
      <c r="T1916" s="14"/>
      <c r="U1916" s="19" t="n">
        <f aca="false">IF(OR($B1916="",$A1916=""),0,IF(COUNTIFS($A$5:$A1916,$A1916,$B$5:$B1916,$B1916)=1,1,0))</f>
        <v>0</v>
      </c>
    </row>
    <row r="1917" customFormat="false" ht="15" hidden="false" customHeight="false" outlineLevel="0" collapsed="false">
      <c r="A1917" s="17"/>
      <c r="B1917" s="13"/>
      <c r="C1917" s="20" t="str">
        <f aca="false">IF($B1917="","",IFERROR(INDEX(고객사!$B$5:$B$104,MATCH($B1917,고객사!$A$5:$A$104,0)),"코드 확인"))</f>
        <v/>
      </c>
      <c r="D1917" s="15"/>
      <c r="E1917" s="15"/>
      <c r="F1917" s="16"/>
      <c r="G1917" s="16"/>
      <c r="H1917" s="21" t="str">
        <f aca="false">IF(OR($B1917="",F1917=0),"",G1917/F1917)</f>
        <v/>
      </c>
      <c r="I1917" s="22" t="str">
        <f aca="false">IF($B1917="","",MAX(F1917-G1917,0))</f>
        <v/>
      </c>
      <c r="J1917" s="23" t="str">
        <f aca="false">IF($B1917="","",IFERROR(INDEX(고객사!$G$5:$G$104,MATCH($B1917,고객사!$A$5:$A$104,0)),""))</f>
        <v/>
      </c>
      <c r="K1917" s="16"/>
      <c r="L1917" s="22" t="str">
        <f aca="false">IF($B1917="","",K1917*IFERROR(INDEX(고객사!$L$5:$L$104,MATCH($B1917,고객사!$A$5:$A$104,0)),0))</f>
        <v/>
      </c>
      <c r="M1917" s="23" t="str">
        <f aca="false">IF($B1917="","",IF(AND(J1917="N",G1917&gt;0,K1917=0,IFERROR(INDEX(고객사!$H$5:$H$104,MATCH($B1917,고객사!$A$5:$A$104,0)),"")="자사 차량 운행"),"차량 미배정",""))</f>
        <v/>
      </c>
      <c r="N1917" s="22" t="str">
        <f aca="false">IF($B1917="","",IFERROR(INDEX(고객사!$J$5:$J$104,MATCH($B1917,고객사!$A$5:$A$104,0)),0))</f>
        <v/>
      </c>
      <c r="O1917" s="22" t="str">
        <f aca="false">IF($B1917="","",G1917*N1917)</f>
        <v/>
      </c>
      <c r="P1917" s="22" t="str">
        <f aca="false">IF($B1917="","",IFERROR(INDEX(고객사!$K$5:$K$104,MATCH($B1917,고객사!$A$5:$A$104,0)),0))</f>
        <v/>
      </c>
      <c r="Q1917" s="22" t="str">
        <f aca="false">IF($B1917="","",G1917*P1917)</f>
        <v/>
      </c>
      <c r="R1917" s="22" t="str">
        <f aca="false">IF($B1917="","",O1917-Q1917-L1917)</f>
        <v/>
      </c>
      <c r="S1917" s="21" t="str">
        <f aca="false">IF(OR($B1917="",N(O1917)=0),"",R1917/O1917)</f>
        <v/>
      </c>
      <c r="T1917" s="14"/>
      <c r="U1917" s="19" t="n">
        <f aca="false">IF(OR($B1917="",$A1917=""),0,IF(COUNTIFS($A$5:$A1917,$A1917,$B$5:$B1917,$B1917)=1,1,0))</f>
        <v>0</v>
      </c>
    </row>
    <row r="1918" customFormat="false" ht="15" hidden="false" customHeight="false" outlineLevel="0" collapsed="false">
      <c r="A1918" s="17"/>
      <c r="B1918" s="13"/>
      <c r="C1918" s="20" t="str">
        <f aca="false">IF($B1918="","",IFERROR(INDEX(고객사!$B$5:$B$104,MATCH($B1918,고객사!$A$5:$A$104,0)),"코드 확인"))</f>
        <v/>
      </c>
      <c r="D1918" s="15"/>
      <c r="E1918" s="15"/>
      <c r="F1918" s="16"/>
      <c r="G1918" s="16"/>
      <c r="H1918" s="21" t="str">
        <f aca="false">IF(OR($B1918="",F1918=0),"",G1918/F1918)</f>
        <v/>
      </c>
      <c r="I1918" s="22" t="str">
        <f aca="false">IF($B1918="","",MAX(F1918-G1918,0))</f>
        <v/>
      </c>
      <c r="J1918" s="23" t="str">
        <f aca="false">IF($B1918="","",IFERROR(INDEX(고객사!$G$5:$G$104,MATCH($B1918,고객사!$A$5:$A$104,0)),""))</f>
        <v/>
      </c>
      <c r="K1918" s="16"/>
      <c r="L1918" s="22" t="str">
        <f aca="false">IF($B1918="","",K1918*IFERROR(INDEX(고객사!$L$5:$L$104,MATCH($B1918,고객사!$A$5:$A$104,0)),0))</f>
        <v/>
      </c>
      <c r="M1918" s="23" t="str">
        <f aca="false">IF($B1918="","",IF(AND(J1918="N",G1918&gt;0,K1918=0,IFERROR(INDEX(고객사!$H$5:$H$104,MATCH($B1918,고객사!$A$5:$A$104,0)),"")="자사 차량 운행"),"차량 미배정",""))</f>
        <v/>
      </c>
      <c r="N1918" s="22" t="str">
        <f aca="false">IF($B1918="","",IFERROR(INDEX(고객사!$J$5:$J$104,MATCH($B1918,고객사!$A$5:$A$104,0)),0))</f>
        <v/>
      </c>
      <c r="O1918" s="22" t="str">
        <f aca="false">IF($B1918="","",G1918*N1918)</f>
        <v/>
      </c>
      <c r="P1918" s="22" t="str">
        <f aca="false">IF($B1918="","",IFERROR(INDEX(고객사!$K$5:$K$104,MATCH($B1918,고객사!$A$5:$A$104,0)),0))</f>
        <v/>
      </c>
      <c r="Q1918" s="22" t="str">
        <f aca="false">IF($B1918="","",G1918*P1918)</f>
        <v/>
      </c>
      <c r="R1918" s="22" t="str">
        <f aca="false">IF($B1918="","",O1918-Q1918-L1918)</f>
        <v/>
      </c>
      <c r="S1918" s="21" t="str">
        <f aca="false">IF(OR($B1918="",N(O1918)=0),"",R1918/O1918)</f>
        <v/>
      </c>
      <c r="T1918" s="14"/>
      <c r="U1918" s="19" t="n">
        <f aca="false">IF(OR($B1918="",$A1918=""),0,IF(COUNTIFS($A$5:$A1918,$A1918,$B$5:$B1918,$B1918)=1,1,0))</f>
        <v>0</v>
      </c>
    </row>
    <row r="1919" customFormat="false" ht="15" hidden="false" customHeight="false" outlineLevel="0" collapsed="false">
      <c r="A1919" s="17"/>
      <c r="B1919" s="13"/>
      <c r="C1919" s="20" t="str">
        <f aca="false">IF($B1919="","",IFERROR(INDEX(고객사!$B$5:$B$104,MATCH($B1919,고객사!$A$5:$A$104,0)),"코드 확인"))</f>
        <v/>
      </c>
      <c r="D1919" s="15"/>
      <c r="E1919" s="15"/>
      <c r="F1919" s="16"/>
      <c r="G1919" s="16"/>
      <c r="H1919" s="21" t="str">
        <f aca="false">IF(OR($B1919="",F1919=0),"",G1919/F1919)</f>
        <v/>
      </c>
      <c r="I1919" s="22" t="str">
        <f aca="false">IF($B1919="","",MAX(F1919-G1919,0))</f>
        <v/>
      </c>
      <c r="J1919" s="23" t="str">
        <f aca="false">IF($B1919="","",IFERROR(INDEX(고객사!$G$5:$G$104,MATCH($B1919,고객사!$A$5:$A$104,0)),""))</f>
        <v/>
      </c>
      <c r="K1919" s="16"/>
      <c r="L1919" s="22" t="str">
        <f aca="false">IF($B1919="","",K1919*IFERROR(INDEX(고객사!$L$5:$L$104,MATCH($B1919,고객사!$A$5:$A$104,0)),0))</f>
        <v/>
      </c>
      <c r="M1919" s="23" t="str">
        <f aca="false">IF($B1919="","",IF(AND(J1919="N",G1919&gt;0,K1919=0,IFERROR(INDEX(고객사!$H$5:$H$104,MATCH($B1919,고객사!$A$5:$A$104,0)),"")="자사 차량 운행"),"차량 미배정",""))</f>
        <v/>
      </c>
      <c r="N1919" s="22" t="str">
        <f aca="false">IF($B1919="","",IFERROR(INDEX(고객사!$J$5:$J$104,MATCH($B1919,고객사!$A$5:$A$104,0)),0))</f>
        <v/>
      </c>
      <c r="O1919" s="22" t="str">
        <f aca="false">IF($B1919="","",G1919*N1919)</f>
        <v/>
      </c>
      <c r="P1919" s="22" t="str">
        <f aca="false">IF($B1919="","",IFERROR(INDEX(고객사!$K$5:$K$104,MATCH($B1919,고객사!$A$5:$A$104,0)),0))</f>
        <v/>
      </c>
      <c r="Q1919" s="22" t="str">
        <f aca="false">IF($B1919="","",G1919*P1919)</f>
        <v/>
      </c>
      <c r="R1919" s="22" t="str">
        <f aca="false">IF($B1919="","",O1919-Q1919-L1919)</f>
        <v/>
      </c>
      <c r="S1919" s="21" t="str">
        <f aca="false">IF(OR($B1919="",N(O1919)=0),"",R1919/O1919)</f>
        <v/>
      </c>
      <c r="T1919" s="14"/>
      <c r="U1919" s="19" t="n">
        <f aca="false">IF(OR($B1919="",$A1919=""),0,IF(COUNTIFS($A$5:$A1919,$A1919,$B$5:$B1919,$B1919)=1,1,0))</f>
        <v>0</v>
      </c>
    </row>
    <row r="1920" customFormat="false" ht="15" hidden="false" customHeight="false" outlineLevel="0" collapsed="false">
      <c r="A1920" s="17"/>
      <c r="B1920" s="13"/>
      <c r="C1920" s="20" t="str">
        <f aca="false">IF($B1920="","",IFERROR(INDEX(고객사!$B$5:$B$104,MATCH($B1920,고객사!$A$5:$A$104,0)),"코드 확인"))</f>
        <v/>
      </c>
      <c r="D1920" s="15"/>
      <c r="E1920" s="15"/>
      <c r="F1920" s="16"/>
      <c r="G1920" s="16"/>
      <c r="H1920" s="21" t="str">
        <f aca="false">IF(OR($B1920="",F1920=0),"",G1920/F1920)</f>
        <v/>
      </c>
      <c r="I1920" s="22" t="str">
        <f aca="false">IF($B1920="","",MAX(F1920-G1920,0))</f>
        <v/>
      </c>
      <c r="J1920" s="23" t="str">
        <f aca="false">IF($B1920="","",IFERROR(INDEX(고객사!$G$5:$G$104,MATCH($B1920,고객사!$A$5:$A$104,0)),""))</f>
        <v/>
      </c>
      <c r="K1920" s="16"/>
      <c r="L1920" s="22" t="str">
        <f aca="false">IF($B1920="","",K1920*IFERROR(INDEX(고객사!$L$5:$L$104,MATCH($B1920,고객사!$A$5:$A$104,0)),0))</f>
        <v/>
      </c>
      <c r="M1920" s="23" t="str">
        <f aca="false">IF($B1920="","",IF(AND(J1920="N",G1920&gt;0,K1920=0,IFERROR(INDEX(고객사!$H$5:$H$104,MATCH($B1920,고객사!$A$5:$A$104,0)),"")="자사 차량 운행"),"차량 미배정",""))</f>
        <v/>
      </c>
      <c r="N1920" s="22" t="str">
        <f aca="false">IF($B1920="","",IFERROR(INDEX(고객사!$J$5:$J$104,MATCH($B1920,고객사!$A$5:$A$104,0)),0))</f>
        <v/>
      </c>
      <c r="O1920" s="22" t="str">
        <f aca="false">IF($B1920="","",G1920*N1920)</f>
        <v/>
      </c>
      <c r="P1920" s="22" t="str">
        <f aca="false">IF($B1920="","",IFERROR(INDEX(고객사!$K$5:$K$104,MATCH($B1920,고객사!$A$5:$A$104,0)),0))</f>
        <v/>
      </c>
      <c r="Q1920" s="22" t="str">
        <f aca="false">IF($B1920="","",G1920*P1920)</f>
        <v/>
      </c>
      <c r="R1920" s="22" t="str">
        <f aca="false">IF($B1920="","",O1920-Q1920-L1920)</f>
        <v/>
      </c>
      <c r="S1920" s="21" t="str">
        <f aca="false">IF(OR($B1920="",N(O1920)=0),"",R1920/O1920)</f>
        <v/>
      </c>
      <c r="T1920" s="14"/>
      <c r="U1920" s="19" t="n">
        <f aca="false">IF(OR($B1920="",$A1920=""),0,IF(COUNTIFS($A$5:$A1920,$A1920,$B$5:$B1920,$B1920)=1,1,0))</f>
        <v>0</v>
      </c>
    </row>
    <row r="1921" customFormat="false" ht="15" hidden="false" customHeight="false" outlineLevel="0" collapsed="false">
      <c r="A1921" s="17"/>
      <c r="B1921" s="13"/>
      <c r="C1921" s="20" t="str">
        <f aca="false">IF($B1921="","",IFERROR(INDEX(고객사!$B$5:$B$104,MATCH($B1921,고객사!$A$5:$A$104,0)),"코드 확인"))</f>
        <v/>
      </c>
      <c r="D1921" s="15"/>
      <c r="E1921" s="15"/>
      <c r="F1921" s="16"/>
      <c r="G1921" s="16"/>
      <c r="H1921" s="21" t="str">
        <f aca="false">IF(OR($B1921="",F1921=0),"",G1921/F1921)</f>
        <v/>
      </c>
      <c r="I1921" s="22" t="str">
        <f aca="false">IF($B1921="","",MAX(F1921-G1921,0))</f>
        <v/>
      </c>
      <c r="J1921" s="23" t="str">
        <f aca="false">IF($B1921="","",IFERROR(INDEX(고객사!$G$5:$G$104,MATCH($B1921,고객사!$A$5:$A$104,0)),""))</f>
        <v/>
      </c>
      <c r="K1921" s="16"/>
      <c r="L1921" s="22" t="str">
        <f aca="false">IF($B1921="","",K1921*IFERROR(INDEX(고객사!$L$5:$L$104,MATCH($B1921,고객사!$A$5:$A$104,0)),0))</f>
        <v/>
      </c>
      <c r="M1921" s="23" t="str">
        <f aca="false">IF($B1921="","",IF(AND(J1921="N",G1921&gt;0,K1921=0,IFERROR(INDEX(고객사!$H$5:$H$104,MATCH($B1921,고객사!$A$5:$A$104,0)),"")="자사 차량 운행"),"차량 미배정",""))</f>
        <v/>
      </c>
      <c r="N1921" s="22" t="str">
        <f aca="false">IF($B1921="","",IFERROR(INDEX(고객사!$J$5:$J$104,MATCH($B1921,고객사!$A$5:$A$104,0)),0))</f>
        <v/>
      </c>
      <c r="O1921" s="22" t="str">
        <f aca="false">IF($B1921="","",G1921*N1921)</f>
        <v/>
      </c>
      <c r="P1921" s="22" t="str">
        <f aca="false">IF($B1921="","",IFERROR(INDEX(고객사!$K$5:$K$104,MATCH($B1921,고객사!$A$5:$A$104,0)),0))</f>
        <v/>
      </c>
      <c r="Q1921" s="22" t="str">
        <f aca="false">IF($B1921="","",G1921*P1921)</f>
        <v/>
      </c>
      <c r="R1921" s="22" t="str">
        <f aca="false">IF($B1921="","",O1921-Q1921-L1921)</f>
        <v/>
      </c>
      <c r="S1921" s="21" t="str">
        <f aca="false">IF(OR($B1921="",N(O1921)=0),"",R1921/O1921)</f>
        <v/>
      </c>
      <c r="T1921" s="14"/>
      <c r="U1921" s="19" t="n">
        <f aca="false">IF(OR($B1921="",$A1921=""),0,IF(COUNTIFS($A$5:$A1921,$A1921,$B$5:$B1921,$B1921)=1,1,0))</f>
        <v>0</v>
      </c>
    </row>
    <row r="1922" customFormat="false" ht="15" hidden="false" customHeight="false" outlineLevel="0" collapsed="false">
      <c r="A1922" s="17"/>
      <c r="B1922" s="13"/>
      <c r="C1922" s="20" t="str">
        <f aca="false">IF($B1922="","",IFERROR(INDEX(고객사!$B$5:$B$104,MATCH($B1922,고객사!$A$5:$A$104,0)),"코드 확인"))</f>
        <v/>
      </c>
      <c r="D1922" s="15"/>
      <c r="E1922" s="15"/>
      <c r="F1922" s="16"/>
      <c r="G1922" s="16"/>
      <c r="H1922" s="21" t="str">
        <f aca="false">IF(OR($B1922="",F1922=0),"",G1922/F1922)</f>
        <v/>
      </c>
      <c r="I1922" s="22" t="str">
        <f aca="false">IF($B1922="","",MAX(F1922-G1922,0))</f>
        <v/>
      </c>
      <c r="J1922" s="23" t="str">
        <f aca="false">IF($B1922="","",IFERROR(INDEX(고객사!$G$5:$G$104,MATCH($B1922,고객사!$A$5:$A$104,0)),""))</f>
        <v/>
      </c>
      <c r="K1922" s="16"/>
      <c r="L1922" s="22" t="str">
        <f aca="false">IF($B1922="","",K1922*IFERROR(INDEX(고객사!$L$5:$L$104,MATCH($B1922,고객사!$A$5:$A$104,0)),0))</f>
        <v/>
      </c>
      <c r="M1922" s="23" t="str">
        <f aca="false">IF($B1922="","",IF(AND(J1922="N",G1922&gt;0,K1922=0,IFERROR(INDEX(고객사!$H$5:$H$104,MATCH($B1922,고객사!$A$5:$A$104,0)),"")="자사 차량 운행"),"차량 미배정",""))</f>
        <v/>
      </c>
      <c r="N1922" s="22" t="str">
        <f aca="false">IF($B1922="","",IFERROR(INDEX(고객사!$J$5:$J$104,MATCH($B1922,고객사!$A$5:$A$104,0)),0))</f>
        <v/>
      </c>
      <c r="O1922" s="22" t="str">
        <f aca="false">IF($B1922="","",G1922*N1922)</f>
        <v/>
      </c>
      <c r="P1922" s="22" t="str">
        <f aca="false">IF($B1922="","",IFERROR(INDEX(고객사!$K$5:$K$104,MATCH($B1922,고객사!$A$5:$A$104,0)),0))</f>
        <v/>
      </c>
      <c r="Q1922" s="22" t="str">
        <f aca="false">IF($B1922="","",G1922*P1922)</f>
        <v/>
      </c>
      <c r="R1922" s="22" t="str">
        <f aca="false">IF($B1922="","",O1922-Q1922-L1922)</f>
        <v/>
      </c>
      <c r="S1922" s="21" t="str">
        <f aca="false">IF(OR($B1922="",N(O1922)=0),"",R1922/O1922)</f>
        <v/>
      </c>
      <c r="T1922" s="14"/>
      <c r="U1922" s="19" t="n">
        <f aca="false">IF(OR($B1922="",$A1922=""),0,IF(COUNTIFS($A$5:$A1922,$A1922,$B$5:$B1922,$B1922)=1,1,0))</f>
        <v>0</v>
      </c>
    </row>
    <row r="1923" customFormat="false" ht="15" hidden="false" customHeight="false" outlineLevel="0" collapsed="false">
      <c r="A1923" s="17"/>
      <c r="B1923" s="13"/>
      <c r="C1923" s="20" t="str">
        <f aca="false">IF($B1923="","",IFERROR(INDEX(고객사!$B$5:$B$104,MATCH($B1923,고객사!$A$5:$A$104,0)),"코드 확인"))</f>
        <v/>
      </c>
      <c r="D1923" s="15"/>
      <c r="E1923" s="15"/>
      <c r="F1923" s="16"/>
      <c r="G1923" s="16"/>
      <c r="H1923" s="21" t="str">
        <f aca="false">IF(OR($B1923="",F1923=0),"",G1923/F1923)</f>
        <v/>
      </c>
      <c r="I1923" s="22" t="str">
        <f aca="false">IF($B1923="","",MAX(F1923-G1923,0))</f>
        <v/>
      </c>
      <c r="J1923" s="23" t="str">
        <f aca="false">IF($B1923="","",IFERROR(INDEX(고객사!$G$5:$G$104,MATCH($B1923,고객사!$A$5:$A$104,0)),""))</f>
        <v/>
      </c>
      <c r="K1923" s="16"/>
      <c r="L1923" s="22" t="str">
        <f aca="false">IF($B1923="","",K1923*IFERROR(INDEX(고객사!$L$5:$L$104,MATCH($B1923,고객사!$A$5:$A$104,0)),0))</f>
        <v/>
      </c>
      <c r="M1923" s="23" t="str">
        <f aca="false">IF($B1923="","",IF(AND(J1923="N",G1923&gt;0,K1923=0,IFERROR(INDEX(고객사!$H$5:$H$104,MATCH($B1923,고객사!$A$5:$A$104,0)),"")="자사 차량 운행"),"차량 미배정",""))</f>
        <v/>
      </c>
      <c r="N1923" s="22" t="str">
        <f aca="false">IF($B1923="","",IFERROR(INDEX(고객사!$J$5:$J$104,MATCH($B1923,고객사!$A$5:$A$104,0)),0))</f>
        <v/>
      </c>
      <c r="O1923" s="22" t="str">
        <f aca="false">IF($B1923="","",G1923*N1923)</f>
        <v/>
      </c>
      <c r="P1923" s="22" t="str">
        <f aca="false">IF($B1923="","",IFERROR(INDEX(고객사!$K$5:$K$104,MATCH($B1923,고객사!$A$5:$A$104,0)),0))</f>
        <v/>
      </c>
      <c r="Q1923" s="22" t="str">
        <f aca="false">IF($B1923="","",G1923*P1923)</f>
        <v/>
      </c>
      <c r="R1923" s="22" t="str">
        <f aca="false">IF($B1923="","",O1923-Q1923-L1923)</f>
        <v/>
      </c>
      <c r="S1923" s="21" t="str">
        <f aca="false">IF(OR($B1923="",N(O1923)=0),"",R1923/O1923)</f>
        <v/>
      </c>
      <c r="T1923" s="14"/>
      <c r="U1923" s="19" t="n">
        <f aca="false">IF(OR($B1923="",$A1923=""),0,IF(COUNTIFS($A$5:$A1923,$A1923,$B$5:$B1923,$B1923)=1,1,0))</f>
        <v>0</v>
      </c>
    </row>
    <row r="1924" customFormat="false" ht="15" hidden="false" customHeight="false" outlineLevel="0" collapsed="false">
      <c r="A1924" s="17"/>
      <c r="B1924" s="13"/>
      <c r="C1924" s="20" t="str">
        <f aca="false">IF($B1924="","",IFERROR(INDEX(고객사!$B$5:$B$104,MATCH($B1924,고객사!$A$5:$A$104,0)),"코드 확인"))</f>
        <v/>
      </c>
      <c r="D1924" s="15"/>
      <c r="E1924" s="15"/>
      <c r="F1924" s="16"/>
      <c r="G1924" s="16"/>
      <c r="H1924" s="21" t="str">
        <f aca="false">IF(OR($B1924="",F1924=0),"",G1924/F1924)</f>
        <v/>
      </c>
      <c r="I1924" s="22" t="str">
        <f aca="false">IF($B1924="","",MAX(F1924-G1924,0))</f>
        <v/>
      </c>
      <c r="J1924" s="23" t="str">
        <f aca="false">IF($B1924="","",IFERROR(INDEX(고객사!$G$5:$G$104,MATCH($B1924,고객사!$A$5:$A$104,0)),""))</f>
        <v/>
      </c>
      <c r="K1924" s="16"/>
      <c r="L1924" s="22" t="str">
        <f aca="false">IF($B1924="","",K1924*IFERROR(INDEX(고객사!$L$5:$L$104,MATCH($B1924,고객사!$A$5:$A$104,0)),0))</f>
        <v/>
      </c>
      <c r="M1924" s="23" t="str">
        <f aca="false">IF($B1924="","",IF(AND(J1924="N",G1924&gt;0,K1924=0,IFERROR(INDEX(고객사!$H$5:$H$104,MATCH($B1924,고객사!$A$5:$A$104,0)),"")="자사 차량 운행"),"차량 미배정",""))</f>
        <v/>
      </c>
      <c r="N1924" s="22" t="str">
        <f aca="false">IF($B1924="","",IFERROR(INDEX(고객사!$J$5:$J$104,MATCH($B1924,고객사!$A$5:$A$104,0)),0))</f>
        <v/>
      </c>
      <c r="O1924" s="22" t="str">
        <f aca="false">IF($B1924="","",G1924*N1924)</f>
        <v/>
      </c>
      <c r="P1924" s="22" t="str">
        <f aca="false">IF($B1924="","",IFERROR(INDEX(고객사!$K$5:$K$104,MATCH($B1924,고객사!$A$5:$A$104,0)),0))</f>
        <v/>
      </c>
      <c r="Q1924" s="22" t="str">
        <f aca="false">IF($B1924="","",G1924*P1924)</f>
        <v/>
      </c>
      <c r="R1924" s="22" t="str">
        <f aca="false">IF($B1924="","",O1924-Q1924-L1924)</f>
        <v/>
      </c>
      <c r="S1924" s="21" t="str">
        <f aca="false">IF(OR($B1924="",N(O1924)=0),"",R1924/O1924)</f>
        <v/>
      </c>
      <c r="T1924" s="14"/>
      <c r="U1924" s="19" t="n">
        <f aca="false">IF(OR($B1924="",$A1924=""),0,IF(COUNTIFS($A$5:$A1924,$A1924,$B$5:$B1924,$B1924)=1,1,0))</f>
        <v>0</v>
      </c>
    </row>
    <row r="1925" customFormat="false" ht="15" hidden="false" customHeight="false" outlineLevel="0" collapsed="false">
      <c r="A1925" s="17"/>
      <c r="B1925" s="13"/>
      <c r="C1925" s="20" t="str">
        <f aca="false">IF($B1925="","",IFERROR(INDEX(고객사!$B$5:$B$104,MATCH($B1925,고객사!$A$5:$A$104,0)),"코드 확인"))</f>
        <v/>
      </c>
      <c r="D1925" s="15"/>
      <c r="E1925" s="15"/>
      <c r="F1925" s="16"/>
      <c r="G1925" s="16"/>
      <c r="H1925" s="21" t="str">
        <f aca="false">IF(OR($B1925="",F1925=0),"",G1925/F1925)</f>
        <v/>
      </c>
      <c r="I1925" s="22" t="str">
        <f aca="false">IF($B1925="","",MAX(F1925-G1925,0))</f>
        <v/>
      </c>
      <c r="J1925" s="23" t="str">
        <f aca="false">IF($B1925="","",IFERROR(INDEX(고객사!$G$5:$G$104,MATCH($B1925,고객사!$A$5:$A$104,0)),""))</f>
        <v/>
      </c>
      <c r="K1925" s="16"/>
      <c r="L1925" s="22" t="str">
        <f aca="false">IF($B1925="","",K1925*IFERROR(INDEX(고객사!$L$5:$L$104,MATCH($B1925,고객사!$A$5:$A$104,0)),0))</f>
        <v/>
      </c>
      <c r="M1925" s="23" t="str">
        <f aca="false">IF($B1925="","",IF(AND(J1925="N",G1925&gt;0,K1925=0,IFERROR(INDEX(고객사!$H$5:$H$104,MATCH($B1925,고객사!$A$5:$A$104,0)),"")="자사 차량 운행"),"차량 미배정",""))</f>
        <v/>
      </c>
      <c r="N1925" s="22" t="str">
        <f aca="false">IF($B1925="","",IFERROR(INDEX(고객사!$J$5:$J$104,MATCH($B1925,고객사!$A$5:$A$104,0)),0))</f>
        <v/>
      </c>
      <c r="O1925" s="22" t="str">
        <f aca="false">IF($B1925="","",G1925*N1925)</f>
        <v/>
      </c>
      <c r="P1925" s="22" t="str">
        <f aca="false">IF($B1925="","",IFERROR(INDEX(고객사!$K$5:$K$104,MATCH($B1925,고객사!$A$5:$A$104,0)),0))</f>
        <v/>
      </c>
      <c r="Q1925" s="22" t="str">
        <f aca="false">IF($B1925="","",G1925*P1925)</f>
        <v/>
      </c>
      <c r="R1925" s="22" t="str">
        <f aca="false">IF($B1925="","",O1925-Q1925-L1925)</f>
        <v/>
      </c>
      <c r="S1925" s="21" t="str">
        <f aca="false">IF(OR($B1925="",N(O1925)=0),"",R1925/O1925)</f>
        <v/>
      </c>
      <c r="T1925" s="14"/>
      <c r="U1925" s="19" t="n">
        <f aca="false">IF(OR($B1925="",$A1925=""),0,IF(COUNTIFS($A$5:$A1925,$A1925,$B$5:$B1925,$B1925)=1,1,0))</f>
        <v>0</v>
      </c>
    </row>
    <row r="1926" customFormat="false" ht="15" hidden="false" customHeight="false" outlineLevel="0" collapsed="false">
      <c r="A1926" s="17"/>
      <c r="B1926" s="13"/>
      <c r="C1926" s="20" t="str">
        <f aca="false">IF($B1926="","",IFERROR(INDEX(고객사!$B$5:$B$104,MATCH($B1926,고객사!$A$5:$A$104,0)),"코드 확인"))</f>
        <v/>
      </c>
      <c r="D1926" s="15"/>
      <c r="E1926" s="15"/>
      <c r="F1926" s="16"/>
      <c r="G1926" s="16"/>
      <c r="H1926" s="21" t="str">
        <f aca="false">IF(OR($B1926="",F1926=0),"",G1926/F1926)</f>
        <v/>
      </c>
      <c r="I1926" s="22" t="str">
        <f aca="false">IF($B1926="","",MAX(F1926-G1926,0))</f>
        <v/>
      </c>
      <c r="J1926" s="23" t="str">
        <f aca="false">IF($B1926="","",IFERROR(INDEX(고객사!$G$5:$G$104,MATCH($B1926,고객사!$A$5:$A$104,0)),""))</f>
        <v/>
      </c>
      <c r="K1926" s="16"/>
      <c r="L1926" s="22" t="str">
        <f aca="false">IF($B1926="","",K1926*IFERROR(INDEX(고객사!$L$5:$L$104,MATCH($B1926,고객사!$A$5:$A$104,0)),0))</f>
        <v/>
      </c>
      <c r="M1926" s="23" t="str">
        <f aca="false">IF($B1926="","",IF(AND(J1926="N",G1926&gt;0,K1926=0,IFERROR(INDEX(고객사!$H$5:$H$104,MATCH($B1926,고객사!$A$5:$A$104,0)),"")="자사 차량 운행"),"차량 미배정",""))</f>
        <v/>
      </c>
      <c r="N1926" s="22" t="str">
        <f aca="false">IF($B1926="","",IFERROR(INDEX(고객사!$J$5:$J$104,MATCH($B1926,고객사!$A$5:$A$104,0)),0))</f>
        <v/>
      </c>
      <c r="O1926" s="22" t="str">
        <f aca="false">IF($B1926="","",G1926*N1926)</f>
        <v/>
      </c>
      <c r="P1926" s="22" t="str">
        <f aca="false">IF($B1926="","",IFERROR(INDEX(고객사!$K$5:$K$104,MATCH($B1926,고객사!$A$5:$A$104,0)),0))</f>
        <v/>
      </c>
      <c r="Q1926" s="22" t="str">
        <f aca="false">IF($B1926="","",G1926*P1926)</f>
        <v/>
      </c>
      <c r="R1926" s="22" t="str">
        <f aca="false">IF($B1926="","",O1926-Q1926-L1926)</f>
        <v/>
      </c>
      <c r="S1926" s="21" t="str">
        <f aca="false">IF(OR($B1926="",N(O1926)=0),"",R1926/O1926)</f>
        <v/>
      </c>
      <c r="T1926" s="14"/>
      <c r="U1926" s="19" t="n">
        <f aca="false">IF(OR($B1926="",$A1926=""),0,IF(COUNTIFS($A$5:$A1926,$A1926,$B$5:$B1926,$B1926)=1,1,0))</f>
        <v>0</v>
      </c>
    </row>
    <row r="1927" customFormat="false" ht="15" hidden="false" customHeight="false" outlineLevel="0" collapsed="false">
      <c r="A1927" s="17"/>
      <c r="B1927" s="13"/>
      <c r="C1927" s="20" t="str">
        <f aca="false">IF($B1927="","",IFERROR(INDEX(고객사!$B$5:$B$104,MATCH($B1927,고객사!$A$5:$A$104,0)),"코드 확인"))</f>
        <v/>
      </c>
      <c r="D1927" s="15"/>
      <c r="E1927" s="15"/>
      <c r="F1927" s="16"/>
      <c r="G1927" s="16"/>
      <c r="H1927" s="21" t="str">
        <f aca="false">IF(OR($B1927="",F1927=0),"",G1927/F1927)</f>
        <v/>
      </c>
      <c r="I1927" s="22" t="str">
        <f aca="false">IF($B1927="","",MAX(F1927-G1927,0))</f>
        <v/>
      </c>
      <c r="J1927" s="23" t="str">
        <f aca="false">IF($B1927="","",IFERROR(INDEX(고객사!$G$5:$G$104,MATCH($B1927,고객사!$A$5:$A$104,0)),""))</f>
        <v/>
      </c>
      <c r="K1927" s="16"/>
      <c r="L1927" s="22" t="str">
        <f aca="false">IF($B1927="","",K1927*IFERROR(INDEX(고객사!$L$5:$L$104,MATCH($B1927,고객사!$A$5:$A$104,0)),0))</f>
        <v/>
      </c>
      <c r="M1927" s="23" t="str">
        <f aca="false">IF($B1927="","",IF(AND(J1927="N",G1927&gt;0,K1927=0,IFERROR(INDEX(고객사!$H$5:$H$104,MATCH($B1927,고객사!$A$5:$A$104,0)),"")="자사 차량 운행"),"차량 미배정",""))</f>
        <v/>
      </c>
      <c r="N1927" s="22" t="str">
        <f aca="false">IF($B1927="","",IFERROR(INDEX(고객사!$J$5:$J$104,MATCH($B1927,고객사!$A$5:$A$104,0)),0))</f>
        <v/>
      </c>
      <c r="O1927" s="22" t="str">
        <f aca="false">IF($B1927="","",G1927*N1927)</f>
        <v/>
      </c>
      <c r="P1927" s="22" t="str">
        <f aca="false">IF($B1927="","",IFERROR(INDEX(고객사!$K$5:$K$104,MATCH($B1927,고객사!$A$5:$A$104,0)),0))</f>
        <v/>
      </c>
      <c r="Q1927" s="22" t="str">
        <f aca="false">IF($B1927="","",G1927*P1927)</f>
        <v/>
      </c>
      <c r="R1927" s="22" t="str">
        <f aca="false">IF($B1927="","",O1927-Q1927-L1927)</f>
        <v/>
      </c>
      <c r="S1927" s="21" t="str">
        <f aca="false">IF(OR($B1927="",N(O1927)=0),"",R1927/O1927)</f>
        <v/>
      </c>
      <c r="T1927" s="14"/>
      <c r="U1927" s="19" t="n">
        <f aca="false">IF(OR($B1927="",$A1927=""),0,IF(COUNTIFS($A$5:$A1927,$A1927,$B$5:$B1927,$B1927)=1,1,0))</f>
        <v>0</v>
      </c>
    </row>
    <row r="1928" customFormat="false" ht="15" hidden="false" customHeight="false" outlineLevel="0" collapsed="false">
      <c r="A1928" s="17"/>
      <c r="B1928" s="13"/>
      <c r="C1928" s="20" t="str">
        <f aca="false">IF($B1928="","",IFERROR(INDEX(고객사!$B$5:$B$104,MATCH($B1928,고객사!$A$5:$A$104,0)),"코드 확인"))</f>
        <v/>
      </c>
      <c r="D1928" s="15"/>
      <c r="E1928" s="15"/>
      <c r="F1928" s="16"/>
      <c r="G1928" s="16"/>
      <c r="H1928" s="21" t="str">
        <f aca="false">IF(OR($B1928="",F1928=0),"",G1928/F1928)</f>
        <v/>
      </c>
      <c r="I1928" s="22" t="str">
        <f aca="false">IF($B1928="","",MAX(F1928-G1928,0))</f>
        <v/>
      </c>
      <c r="J1928" s="23" t="str">
        <f aca="false">IF($B1928="","",IFERROR(INDEX(고객사!$G$5:$G$104,MATCH($B1928,고객사!$A$5:$A$104,0)),""))</f>
        <v/>
      </c>
      <c r="K1928" s="16"/>
      <c r="L1928" s="22" t="str">
        <f aca="false">IF($B1928="","",K1928*IFERROR(INDEX(고객사!$L$5:$L$104,MATCH($B1928,고객사!$A$5:$A$104,0)),0))</f>
        <v/>
      </c>
      <c r="M1928" s="23" t="str">
        <f aca="false">IF($B1928="","",IF(AND(J1928="N",G1928&gt;0,K1928=0,IFERROR(INDEX(고객사!$H$5:$H$104,MATCH($B1928,고객사!$A$5:$A$104,0)),"")="자사 차량 운행"),"차량 미배정",""))</f>
        <v/>
      </c>
      <c r="N1928" s="22" t="str">
        <f aca="false">IF($B1928="","",IFERROR(INDEX(고객사!$J$5:$J$104,MATCH($B1928,고객사!$A$5:$A$104,0)),0))</f>
        <v/>
      </c>
      <c r="O1928" s="22" t="str">
        <f aca="false">IF($B1928="","",G1928*N1928)</f>
        <v/>
      </c>
      <c r="P1928" s="22" t="str">
        <f aca="false">IF($B1928="","",IFERROR(INDEX(고객사!$K$5:$K$104,MATCH($B1928,고객사!$A$5:$A$104,0)),0))</f>
        <v/>
      </c>
      <c r="Q1928" s="22" t="str">
        <f aca="false">IF($B1928="","",G1928*P1928)</f>
        <v/>
      </c>
      <c r="R1928" s="22" t="str">
        <f aca="false">IF($B1928="","",O1928-Q1928-L1928)</f>
        <v/>
      </c>
      <c r="S1928" s="21" t="str">
        <f aca="false">IF(OR($B1928="",N(O1928)=0),"",R1928/O1928)</f>
        <v/>
      </c>
      <c r="T1928" s="14"/>
      <c r="U1928" s="19" t="n">
        <f aca="false">IF(OR($B1928="",$A1928=""),0,IF(COUNTIFS($A$5:$A1928,$A1928,$B$5:$B1928,$B1928)=1,1,0))</f>
        <v>0</v>
      </c>
    </row>
    <row r="1929" customFormat="false" ht="15" hidden="false" customHeight="false" outlineLevel="0" collapsed="false">
      <c r="A1929" s="17"/>
      <c r="B1929" s="13"/>
      <c r="C1929" s="20" t="str">
        <f aca="false">IF($B1929="","",IFERROR(INDEX(고객사!$B$5:$B$104,MATCH($B1929,고객사!$A$5:$A$104,0)),"코드 확인"))</f>
        <v/>
      </c>
      <c r="D1929" s="15"/>
      <c r="E1929" s="15"/>
      <c r="F1929" s="16"/>
      <c r="G1929" s="16"/>
      <c r="H1929" s="21" t="str">
        <f aca="false">IF(OR($B1929="",F1929=0),"",G1929/F1929)</f>
        <v/>
      </c>
      <c r="I1929" s="22" t="str">
        <f aca="false">IF($B1929="","",MAX(F1929-G1929,0))</f>
        <v/>
      </c>
      <c r="J1929" s="23" t="str">
        <f aca="false">IF($B1929="","",IFERROR(INDEX(고객사!$G$5:$G$104,MATCH($B1929,고객사!$A$5:$A$104,0)),""))</f>
        <v/>
      </c>
      <c r="K1929" s="16"/>
      <c r="L1929" s="22" t="str">
        <f aca="false">IF($B1929="","",K1929*IFERROR(INDEX(고객사!$L$5:$L$104,MATCH($B1929,고객사!$A$5:$A$104,0)),0))</f>
        <v/>
      </c>
      <c r="M1929" s="23" t="str">
        <f aca="false">IF($B1929="","",IF(AND(J1929="N",G1929&gt;0,K1929=0,IFERROR(INDEX(고객사!$H$5:$H$104,MATCH($B1929,고객사!$A$5:$A$104,0)),"")="자사 차량 운행"),"차량 미배정",""))</f>
        <v/>
      </c>
      <c r="N1929" s="22" t="str">
        <f aca="false">IF($B1929="","",IFERROR(INDEX(고객사!$J$5:$J$104,MATCH($B1929,고객사!$A$5:$A$104,0)),0))</f>
        <v/>
      </c>
      <c r="O1929" s="22" t="str">
        <f aca="false">IF($B1929="","",G1929*N1929)</f>
        <v/>
      </c>
      <c r="P1929" s="22" t="str">
        <f aca="false">IF($B1929="","",IFERROR(INDEX(고객사!$K$5:$K$104,MATCH($B1929,고객사!$A$5:$A$104,0)),0))</f>
        <v/>
      </c>
      <c r="Q1929" s="22" t="str">
        <f aca="false">IF($B1929="","",G1929*P1929)</f>
        <v/>
      </c>
      <c r="R1929" s="22" t="str">
        <f aca="false">IF($B1929="","",O1929-Q1929-L1929)</f>
        <v/>
      </c>
      <c r="S1929" s="21" t="str">
        <f aca="false">IF(OR($B1929="",N(O1929)=0),"",R1929/O1929)</f>
        <v/>
      </c>
      <c r="T1929" s="14"/>
      <c r="U1929" s="19" t="n">
        <f aca="false">IF(OR($B1929="",$A1929=""),0,IF(COUNTIFS($A$5:$A1929,$A1929,$B$5:$B1929,$B1929)=1,1,0))</f>
        <v>0</v>
      </c>
    </row>
    <row r="1930" customFormat="false" ht="15" hidden="false" customHeight="false" outlineLevel="0" collapsed="false">
      <c r="A1930" s="17"/>
      <c r="B1930" s="13"/>
      <c r="C1930" s="20" t="str">
        <f aca="false">IF($B1930="","",IFERROR(INDEX(고객사!$B$5:$B$104,MATCH($B1930,고객사!$A$5:$A$104,0)),"코드 확인"))</f>
        <v/>
      </c>
      <c r="D1930" s="15"/>
      <c r="E1930" s="15"/>
      <c r="F1930" s="16"/>
      <c r="G1930" s="16"/>
      <c r="H1930" s="21" t="str">
        <f aca="false">IF(OR($B1930="",F1930=0),"",G1930/F1930)</f>
        <v/>
      </c>
      <c r="I1930" s="22" t="str">
        <f aca="false">IF($B1930="","",MAX(F1930-G1930,0))</f>
        <v/>
      </c>
      <c r="J1930" s="23" t="str">
        <f aca="false">IF($B1930="","",IFERROR(INDEX(고객사!$G$5:$G$104,MATCH($B1930,고객사!$A$5:$A$104,0)),""))</f>
        <v/>
      </c>
      <c r="K1930" s="16"/>
      <c r="L1930" s="22" t="str">
        <f aca="false">IF($B1930="","",K1930*IFERROR(INDEX(고객사!$L$5:$L$104,MATCH($B1930,고객사!$A$5:$A$104,0)),0))</f>
        <v/>
      </c>
      <c r="M1930" s="23" t="str">
        <f aca="false">IF($B1930="","",IF(AND(J1930="N",G1930&gt;0,K1930=0,IFERROR(INDEX(고객사!$H$5:$H$104,MATCH($B1930,고객사!$A$5:$A$104,0)),"")="자사 차량 운행"),"차량 미배정",""))</f>
        <v/>
      </c>
      <c r="N1930" s="22" t="str">
        <f aca="false">IF($B1930="","",IFERROR(INDEX(고객사!$J$5:$J$104,MATCH($B1930,고객사!$A$5:$A$104,0)),0))</f>
        <v/>
      </c>
      <c r="O1930" s="22" t="str">
        <f aca="false">IF($B1930="","",G1930*N1930)</f>
        <v/>
      </c>
      <c r="P1930" s="22" t="str">
        <f aca="false">IF($B1930="","",IFERROR(INDEX(고객사!$K$5:$K$104,MATCH($B1930,고객사!$A$5:$A$104,0)),0))</f>
        <v/>
      </c>
      <c r="Q1930" s="22" t="str">
        <f aca="false">IF($B1930="","",G1930*P1930)</f>
        <v/>
      </c>
      <c r="R1930" s="22" t="str">
        <f aca="false">IF($B1930="","",O1930-Q1930-L1930)</f>
        <v/>
      </c>
      <c r="S1930" s="21" t="str">
        <f aca="false">IF(OR($B1930="",N(O1930)=0),"",R1930/O1930)</f>
        <v/>
      </c>
      <c r="T1930" s="14"/>
      <c r="U1930" s="19" t="n">
        <f aca="false">IF(OR($B1930="",$A1930=""),0,IF(COUNTIFS($A$5:$A1930,$A1930,$B$5:$B1930,$B1930)=1,1,0))</f>
        <v>0</v>
      </c>
    </row>
    <row r="1931" customFormat="false" ht="15" hidden="false" customHeight="false" outlineLevel="0" collapsed="false">
      <c r="A1931" s="17"/>
      <c r="B1931" s="13"/>
      <c r="C1931" s="20" t="str">
        <f aca="false">IF($B1931="","",IFERROR(INDEX(고객사!$B$5:$B$104,MATCH($B1931,고객사!$A$5:$A$104,0)),"코드 확인"))</f>
        <v/>
      </c>
      <c r="D1931" s="15"/>
      <c r="E1931" s="15"/>
      <c r="F1931" s="16"/>
      <c r="G1931" s="16"/>
      <c r="H1931" s="21" t="str">
        <f aca="false">IF(OR($B1931="",F1931=0),"",G1931/F1931)</f>
        <v/>
      </c>
      <c r="I1931" s="22" t="str">
        <f aca="false">IF($B1931="","",MAX(F1931-G1931,0))</f>
        <v/>
      </c>
      <c r="J1931" s="23" t="str">
        <f aca="false">IF($B1931="","",IFERROR(INDEX(고객사!$G$5:$G$104,MATCH($B1931,고객사!$A$5:$A$104,0)),""))</f>
        <v/>
      </c>
      <c r="K1931" s="16"/>
      <c r="L1931" s="22" t="str">
        <f aca="false">IF($B1931="","",K1931*IFERROR(INDEX(고객사!$L$5:$L$104,MATCH($B1931,고객사!$A$5:$A$104,0)),0))</f>
        <v/>
      </c>
      <c r="M1931" s="23" t="str">
        <f aca="false">IF($B1931="","",IF(AND(J1931="N",G1931&gt;0,K1931=0,IFERROR(INDEX(고객사!$H$5:$H$104,MATCH($B1931,고객사!$A$5:$A$104,0)),"")="자사 차량 운행"),"차량 미배정",""))</f>
        <v/>
      </c>
      <c r="N1931" s="22" t="str">
        <f aca="false">IF($B1931="","",IFERROR(INDEX(고객사!$J$5:$J$104,MATCH($B1931,고객사!$A$5:$A$104,0)),0))</f>
        <v/>
      </c>
      <c r="O1931" s="22" t="str">
        <f aca="false">IF($B1931="","",G1931*N1931)</f>
        <v/>
      </c>
      <c r="P1931" s="22" t="str">
        <f aca="false">IF($B1931="","",IFERROR(INDEX(고객사!$K$5:$K$104,MATCH($B1931,고객사!$A$5:$A$104,0)),0))</f>
        <v/>
      </c>
      <c r="Q1931" s="22" t="str">
        <f aca="false">IF($B1931="","",G1931*P1931)</f>
        <v/>
      </c>
      <c r="R1931" s="22" t="str">
        <f aca="false">IF($B1931="","",O1931-Q1931-L1931)</f>
        <v/>
      </c>
      <c r="S1931" s="21" t="str">
        <f aca="false">IF(OR($B1931="",N(O1931)=0),"",R1931/O1931)</f>
        <v/>
      </c>
      <c r="T1931" s="14"/>
      <c r="U1931" s="19" t="n">
        <f aca="false">IF(OR($B1931="",$A1931=""),0,IF(COUNTIFS($A$5:$A1931,$A1931,$B$5:$B1931,$B1931)=1,1,0))</f>
        <v>0</v>
      </c>
    </row>
    <row r="1932" customFormat="false" ht="15" hidden="false" customHeight="false" outlineLevel="0" collapsed="false">
      <c r="A1932" s="17"/>
      <c r="B1932" s="13"/>
      <c r="C1932" s="20" t="str">
        <f aca="false">IF($B1932="","",IFERROR(INDEX(고객사!$B$5:$B$104,MATCH($B1932,고객사!$A$5:$A$104,0)),"코드 확인"))</f>
        <v/>
      </c>
      <c r="D1932" s="15"/>
      <c r="E1932" s="15"/>
      <c r="F1932" s="16"/>
      <c r="G1932" s="16"/>
      <c r="H1932" s="21" t="str">
        <f aca="false">IF(OR($B1932="",F1932=0),"",G1932/F1932)</f>
        <v/>
      </c>
      <c r="I1932" s="22" t="str">
        <f aca="false">IF($B1932="","",MAX(F1932-G1932,0))</f>
        <v/>
      </c>
      <c r="J1932" s="23" t="str">
        <f aca="false">IF($B1932="","",IFERROR(INDEX(고객사!$G$5:$G$104,MATCH($B1932,고객사!$A$5:$A$104,0)),""))</f>
        <v/>
      </c>
      <c r="K1932" s="16"/>
      <c r="L1932" s="22" t="str">
        <f aca="false">IF($B1932="","",K1932*IFERROR(INDEX(고객사!$L$5:$L$104,MATCH($B1932,고객사!$A$5:$A$104,0)),0))</f>
        <v/>
      </c>
      <c r="M1932" s="23" t="str">
        <f aca="false">IF($B1932="","",IF(AND(J1932="N",G1932&gt;0,K1932=0,IFERROR(INDEX(고객사!$H$5:$H$104,MATCH($B1932,고객사!$A$5:$A$104,0)),"")="자사 차량 운행"),"차량 미배정",""))</f>
        <v/>
      </c>
      <c r="N1932" s="22" t="str">
        <f aca="false">IF($B1932="","",IFERROR(INDEX(고객사!$J$5:$J$104,MATCH($B1932,고객사!$A$5:$A$104,0)),0))</f>
        <v/>
      </c>
      <c r="O1932" s="22" t="str">
        <f aca="false">IF($B1932="","",G1932*N1932)</f>
        <v/>
      </c>
      <c r="P1932" s="22" t="str">
        <f aca="false">IF($B1932="","",IFERROR(INDEX(고객사!$K$5:$K$104,MATCH($B1932,고객사!$A$5:$A$104,0)),0))</f>
        <v/>
      </c>
      <c r="Q1932" s="22" t="str">
        <f aca="false">IF($B1932="","",G1932*P1932)</f>
        <v/>
      </c>
      <c r="R1932" s="22" t="str">
        <f aca="false">IF($B1932="","",O1932-Q1932-L1932)</f>
        <v/>
      </c>
      <c r="S1932" s="21" t="str">
        <f aca="false">IF(OR($B1932="",N(O1932)=0),"",R1932/O1932)</f>
        <v/>
      </c>
      <c r="T1932" s="14"/>
      <c r="U1932" s="19" t="n">
        <f aca="false">IF(OR($B1932="",$A1932=""),0,IF(COUNTIFS($A$5:$A1932,$A1932,$B$5:$B1932,$B1932)=1,1,0))</f>
        <v>0</v>
      </c>
    </row>
    <row r="1933" customFormat="false" ht="15" hidden="false" customHeight="false" outlineLevel="0" collapsed="false">
      <c r="A1933" s="17"/>
      <c r="B1933" s="13"/>
      <c r="C1933" s="20" t="str">
        <f aca="false">IF($B1933="","",IFERROR(INDEX(고객사!$B$5:$B$104,MATCH($B1933,고객사!$A$5:$A$104,0)),"코드 확인"))</f>
        <v/>
      </c>
      <c r="D1933" s="15"/>
      <c r="E1933" s="15"/>
      <c r="F1933" s="16"/>
      <c r="G1933" s="16"/>
      <c r="H1933" s="21" t="str">
        <f aca="false">IF(OR($B1933="",F1933=0),"",G1933/F1933)</f>
        <v/>
      </c>
      <c r="I1933" s="22" t="str">
        <f aca="false">IF($B1933="","",MAX(F1933-G1933,0))</f>
        <v/>
      </c>
      <c r="J1933" s="23" t="str">
        <f aca="false">IF($B1933="","",IFERROR(INDEX(고객사!$G$5:$G$104,MATCH($B1933,고객사!$A$5:$A$104,0)),""))</f>
        <v/>
      </c>
      <c r="K1933" s="16"/>
      <c r="L1933" s="22" t="str">
        <f aca="false">IF($B1933="","",K1933*IFERROR(INDEX(고객사!$L$5:$L$104,MATCH($B1933,고객사!$A$5:$A$104,0)),0))</f>
        <v/>
      </c>
      <c r="M1933" s="23" t="str">
        <f aca="false">IF($B1933="","",IF(AND(J1933="N",G1933&gt;0,K1933=0,IFERROR(INDEX(고객사!$H$5:$H$104,MATCH($B1933,고객사!$A$5:$A$104,0)),"")="자사 차량 운행"),"차량 미배정",""))</f>
        <v/>
      </c>
      <c r="N1933" s="22" t="str">
        <f aca="false">IF($B1933="","",IFERROR(INDEX(고객사!$J$5:$J$104,MATCH($B1933,고객사!$A$5:$A$104,0)),0))</f>
        <v/>
      </c>
      <c r="O1933" s="22" t="str">
        <f aca="false">IF($B1933="","",G1933*N1933)</f>
        <v/>
      </c>
      <c r="P1933" s="22" t="str">
        <f aca="false">IF($B1933="","",IFERROR(INDEX(고객사!$K$5:$K$104,MATCH($B1933,고객사!$A$5:$A$104,0)),0))</f>
        <v/>
      </c>
      <c r="Q1933" s="22" t="str">
        <f aca="false">IF($B1933="","",G1933*P1933)</f>
        <v/>
      </c>
      <c r="R1933" s="22" t="str">
        <f aca="false">IF($B1933="","",O1933-Q1933-L1933)</f>
        <v/>
      </c>
      <c r="S1933" s="21" t="str">
        <f aca="false">IF(OR($B1933="",N(O1933)=0),"",R1933/O1933)</f>
        <v/>
      </c>
      <c r="T1933" s="14"/>
      <c r="U1933" s="19" t="n">
        <f aca="false">IF(OR($B1933="",$A1933=""),0,IF(COUNTIFS($A$5:$A1933,$A1933,$B$5:$B1933,$B1933)=1,1,0))</f>
        <v>0</v>
      </c>
    </row>
    <row r="1934" customFormat="false" ht="15" hidden="false" customHeight="false" outlineLevel="0" collapsed="false">
      <c r="A1934" s="17"/>
      <c r="B1934" s="13"/>
      <c r="C1934" s="20" t="str">
        <f aca="false">IF($B1934="","",IFERROR(INDEX(고객사!$B$5:$B$104,MATCH($B1934,고객사!$A$5:$A$104,0)),"코드 확인"))</f>
        <v/>
      </c>
      <c r="D1934" s="15"/>
      <c r="E1934" s="15"/>
      <c r="F1934" s="16"/>
      <c r="G1934" s="16"/>
      <c r="H1934" s="21" t="str">
        <f aca="false">IF(OR($B1934="",F1934=0),"",G1934/F1934)</f>
        <v/>
      </c>
      <c r="I1934" s="22" t="str">
        <f aca="false">IF($B1934="","",MAX(F1934-G1934,0))</f>
        <v/>
      </c>
      <c r="J1934" s="23" t="str">
        <f aca="false">IF($B1934="","",IFERROR(INDEX(고객사!$G$5:$G$104,MATCH($B1934,고객사!$A$5:$A$104,0)),""))</f>
        <v/>
      </c>
      <c r="K1934" s="16"/>
      <c r="L1934" s="22" t="str">
        <f aca="false">IF($B1934="","",K1934*IFERROR(INDEX(고객사!$L$5:$L$104,MATCH($B1934,고객사!$A$5:$A$104,0)),0))</f>
        <v/>
      </c>
      <c r="M1934" s="23" t="str">
        <f aca="false">IF($B1934="","",IF(AND(J1934="N",G1934&gt;0,K1934=0,IFERROR(INDEX(고객사!$H$5:$H$104,MATCH($B1934,고객사!$A$5:$A$104,0)),"")="자사 차량 운행"),"차량 미배정",""))</f>
        <v/>
      </c>
      <c r="N1934" s="22" t="str">
        <f aca="false">IF($B1934="","",IFERROR(INDEX(고객사!$J$5:$J$104,MATCH($B1934,고객사!$A$5:$A$104,0)),0))</f>
        <v/>
      </c>
      <c r="O1934" s="22" t="str">
        <f aca="false">IF($B1934="","",G1934*N1934)</f>
        <v/>
      </c>
      <c r="P1934" s="22" t="str">
        <f aca="false">IF($B1934="","",IFERROR(INDEX(고객사!$K$5:$K$104,MATCH($B1934,고객사!$A$5:$A$104,0)),0))</f>
        <v/>
      </c>
      <c r="Q1934" s="22" t="str">
        <f aca="false">IF($B1934="","",G1934*P1934)</f>
        <v/>
      </c>
      <c r="R1934" s="22" t="str">
        <f aca="false">IF($B1934="","",O1934-Q1934-L1934)</f>
        <v/>
      </c>
      <c r="S1934" s="21" t="str">
        <f aca="false">IF(OR($B1934="",N(O1934)=0),"",R1934/O1934)</f>
        <v/>
      </c>
      <c r="T1934" s="14"/>
      <c r="U1934" s="19" t="n">
        <f aca="false">IF(OR($B1934="",$A1934=""),0,IF(COUNTIFS($A$5:$A1934,$A1934,$B$5:$B1934,$B1934)=1,1,0))</f>
        <v>0</v>
      </c>
    </row>
    <row r="1935" customFormat="false" ht="15" hidden="false" customHeight="false" outlineLevel="0" collapsed="false">
      <c r="A1935" s="17"/>
      <c r="B1935" s="13"/>
      <c r="C1935" s="20" t="str">
        <f aca="false">IF($B1935="","",IFERROR(INDEX(고객사!$B$5:$B$104,MATCH($B1935,고객사!$A$5:$A$104,0)),"코드 확인"))</f>
        <v/>
      </c>
      <c r="D1935" s="15"/>
      <c r="E1935" s="15"/>
      <c r="F1935" s="16"/>
      <c r="G1935" s="16"/>
      <c r="H1935" s="21" t="str">
        <f aca="false">IF(OR($B1935="",F1935=0),"",G1935/F1935)</f>
        <v/>
      </c>
      <c r="I1935" s="22" t="str">
        <f aca="false">IF($B1935="","",MAX(F1935-G1935,0))</f>
        <v/>
      </c>
      <c r="J1935" s="23" t="str">
        <f aca="false">IF($B1935="","",IFERROR(INDEX(고객사!$G$5:$G$104,MATCH($B1935,고객사!$A$5:$A$104,0)),""))</f>
        <v/>
      </c>
      <c r="K1935" s="16"/>
      <c r="L1935" s="22" t="str">
        <f aca="false">IF($B1935="","",K1935*IFERROR(INDEX(고객사!$L$5:$L$104,MATCH($B1935,고객사!$A$5:$A$104,0)),0))</f>
        <v/>
      </c>
      <c r="M1935" s="23" t="str">
        <f aca="false">IF($B1935="","",IF(AND(J1935="N",G1935&gt;0,K1935=0,IFERROR(INDEX(고객사!$H$5:$H$104,MATCH($B1935,고객사!$A$5:$A$104,0)),"")="자사 차량 운행"),"차량 미배정",""))</f>
        <v/>
      </c>
      <c r="N1935" s="22" t="str">
        <f aca="false">IF($B1935="","",IFERROR(INDEX(고객사!$J$5:$J$104,MATCH($B1935,고객사!$A$5:$A$104,0)),0))</f>
        <v/>
      </c>
      <c r="O1935" s="22" t="str">
        <f aca="false">IF($B1935="","",G1935*N1935)</f>
        <v/>
      </c>
      <c r="P1935" s="22" t="str">
        <f aca="false">IF($B1935="","",IFERROR(INDEX(고객사!$K$5:$K$104,MATCH($B1935,고객사!$A$5:$A$104,0)),0))</f>
        <v/>
      </c>
      <c r="Q1935" s="22" t="str">
        <f aca="false">IF($B1935="","",G1935*P1935)</f>
        <v/>
      </c>
      <c r="R1935" s="22" t="str">
        <f aca="false">IF($B1935="","",O1935-Q1935-L1935)</f>
        <v/>
      </c>
      <c r="S1935" s="21" t="str">
        <f aca="false">IF(OR($B1935="",N(O1935)=0),"",R1935/O1935)</f>
        <v/>
      </c>
      <c r="T1935" s="14"/>
      <c r="U1935" s="19" t="n">
        <f aca="false">IF(OR($B1935="",$A1935=""),0,IF(COUNTIFS($A$5:$A1935,$A1935,$B$5:$B1935,$B1935)=1,1,0))</f>
        <v>0</v>
      </c>
    </row>
    <row r="1936" customFormat="false" ht="15" hidden="false" customHeight="false" outlineLevel="0" collapsed="false">
      <c r="A1936" s="17"/>
      <c r="B1936" s="13"/>
      <c r="C1936" s="20" t="str">
        <f aca="false">IF($B1936="","",IFERROR(INDEX(고객사!$B$5:$B$104,MATCH($B1936,고객사!$A$5:$A$104,0)),"코드 확인"))</f>
        <v/>
      </c>
      <c r="D1936" s="15"/>
      <c r="E1936" s="15"/>
      <c r="F1936" s="16"/>
      <c r="G1936" s="16"/>
      <c r="H1936" s="21" t="str">
        <f aca="false">IF(OR($B1936="",F1936=0),"",G1936/F1936)</f>
        <v/>
      </c>
      <c r="I1936" s="22" t="str">
        <f aca="false">IF($B1936="","",MAX(F1936-G1936,0))</f>
        <v/>
      </c>
      <c r="J1936" s="23" t="str">
        <f aca="false">IF($B1936="","",IFERROR(INDEX(고객사!$G$5:$G$104,MATCH($B1936,고객사!$A$5:$A$104,0)),""))</f>
        <v/>
      </c>
      <c r="K1936" s="16"/>
      <c r="L1936" s="22" t="str">
        <f aca="false">IF($B1936="","",K1936*IFERROR(INDEX(고객사!$L$5:$L$104,MATCH($B1936,고객사!$A$5:$A$104,0)),0))</f>
        <v/>
      </c>
      <c r="M1936" s="23" t="str">
        <f aca="false">IF($B1936="","",IF(AND(J1936="N",G1936&gt;0,K1936=0,IFERROR(INDEX(고객사!$H$5:$H$104,MATCH($B1936,고객사!$A$5:$A$104,0)),"")="자사 차량 운행"),"차량 미배정",""))</f>
        <v/>
      </c>
      <c r="N1936" s="22" t="str">
        <f aca="false">IF($B1936="","",IFERROR(INDEX(고객사!$J$5:$J$104,MATCH($B1936,고객사!$A$5:$A$104,0)),0))</f>
        <v/>
      </c>
      <c r="O1936" s="22" t="str">
        <f aca="false">IF($B1936="","",G1936*N1936)</f>
        <v/>
      </c>
      <c r="P1936" s="22" t="str">
        <f aca="false">IF($B1936="","",IFERROR(INDEX(고객사!$K$5:$K$104,MATCH($B1936,고객사!$A$5:$A$104,0)),0))</f>
        <v/>
      </c>
      <c r="Q1936" s="22" t="str">
        <f aca="false">IF($B1936="","",G1936*P1936)</f>
        <v/>
      </c>
      <c r="R1936" s="22" t="str">
        <f aca="false">IF($B1936="","",O1936-Q1936-L1936)</f>
        <v/>
      </c>
      <c r="S1936" s="21" t="str">
        <f aca="false">IF(OR($B1936="",N(O1936)=0),"",R1936/O1936)</f>
        <v/>
      </c>
      <c r="T1936" s="14"/>
      <c r="U1936" s="19" t="n">
        <f aca="false">IF(OR($B1936="",$A1936=""),0,IF(COUNTIFS($A$5:$A1936,$A1936,$B$5:$B1936,$B1936)=1,1,0))</f>
        <v>0</v>
      </c>
    </row>
    <row r="1937" customFormat="false" ht="15" hidden="false" customHeight="false" outlineLevel="0" collapsed="false">
      <c r="A1937" s="17"/>
      <c r="B1937" s="13"/>
      <c r="C1937" s="20" t="str">
        <f aca="false">IF($B1937="","",IFERROR(INDEX(고객사!$B$5:$B$104,MATCH($B1937,고객사!$A$5:$A$104,0)),"코드 확인"))</f>
        <v/>
      </c>
      <c r="D1937" s="15"/>
      <c r="E1937" s="15"/>
      <c r="F1937" s="16"/>
      <c r="G1937" s="16"/>
      <c r="H1937" s="21" t="str">
        <f aca="false">IF(OR($B1937="",F1937=0),"",G1937/F1937)</f>
        <v/>
      </c>
      <c r="I1937" s="22" t="str">
        <f aca="false">IF($B1937="","",MAX(F1937-G1937,0))</f>
        <v/>
      </c>
      <c r="J1937" s="23" t="str">
        <f aca="false">IF($B1937="","",IFERROR(INDEX(고객사!$G$5:$G$104,MATCH($B1937,고객사!$A$5:$A$104,0)),""))</f>
        <v/>
      </c>
      <c r="K1937" s="16"/>
      <c r="L1937" s="22" t="str">
        <f aca="false">IF($B1937="","",K1937*IFERROR(INDEX(고객사!$L$5:$L$104,MATCH($B1937,고객사!$A$5:$A$104,0)),0))</f>
        <v/>
      </c>
      <c r="M1937" s="23" t="str">
        <f aca="false">IF($B1937="","",IF(AND(J1937="N",G1937&gt;0,K1937=0,IFERROR(INDEX(고객사!$H$5:$H$104,MATCH($B1937,고객사!$A$5:$A$104,0)),"")="자사 차량 운행"),"차량 미배정",""))</f>
        <v/>
      </c>
      <c r="N1937" s="22" t="str">
        <f aca="false">IF($B1937="","",IFERROR(INDEX(고객사!$J$5:$J$104,MATCH($B1937,고객사!$A$5:$A$104,0)),0))</f>
        <v/>
      </c>
      <c r="O1937" s="22" t="str">
        <f aca="false">IF($B1937="","",G1937*N1937)</f>
        <v/>
      </c>
      <c r="P1937" s="22" t="str">
        <f aca="false">IF($B1937="","",IFERROR(INDEX(고객사!$K$5:$K$104,MATCH($B1937,고객사!$A$5:$A$104,0)),0))</f>
        <v/>
      </c>
      <c r="Q1937" s="22" t="str">
        <f aca="false">IF($B1937="","",G1937*P1937)</f>
        <v/>
      </c>
      <c r="R1937" s="22" t="str">
        <f aca="false">IF($B1937="","",O1937-Q1937-L1937)</f>
        <v/>
      </c>
      <c r="S1937" s="21" t="str">
        <f aca="false">IF(OR($B1937="",N(O1937)=0),"",R1937/O1937)</f>
        <v/>
      </c>
      <c r="T1937" s="14"/>
      <c r="U1937" s="19" t="n">
        <f aca="false">IF(OR($B1937="",$A1937=""),0,IF(COUNTIFS($A$5:$A1937,$A1937,$B$5:$B1937,$B1937)=1,1,0))</f>
        <v>0</v>
      </c>
    </row>
    <row r="1938" customFormat="false" ht="15" hidden="false" customHeight="false" outlineLevel="0" collapsed="false">
      <c r="A1938" s="17"/>
      <c r="B1938" s="13"/>
      <c r="C1938" s="20" t="str">
        <f aca="false">IF($B1938="","",IFERROR(INDEX(고객사!$B$5:$B$104,MATCH($B1938,고객사!$A$5:$A$104,0)),"코드 확인"))</f>
        <v/>
      </c>
      <c r="D1938" s="15"/>
      <c r="E1938" s="15"/>
      <c r="F1938" s="16"/>
      <c r="G1938" s="16"/>
      <c r="H1938" s="21" t="str">
        <f aca="false">IF(OR($B1938="",F1938=0),"",G1938/F1938)</f>
        <v/>
      </c>
      <c r="I1938" s="22" t="str">
        <f aca="false">IF($B1938="","",MAX(F1938-G1938,0))</f>
        <v/>
      </c>
      <c r="J1938" s="23" t="str">
        <f aca="false">IF($B1938="","",IFERROR(INDEX(고객사!$G$5:$G$104,MATCH($B1938,고객사!$A$5:$A$104,0)),""))</f>
        <v/>
      </c>
      <c r="K1938" s="16"/>
      <c r="L1938" s="22" t="str">
        <f aca="false">IF($B1938="","",K1938*IFERROR(INDEX(고객사!$L$5:$L$104,MATCH($B1938,고객사!$A$5:$A$104,0)),0))</f>
        <v/>
      </c>
      <c r="M1938" s="23" t="str">
        <f aca="false">IF($B1938="","",IF(AND(J1938="N",G1938&gt;0,K1938=0,IFERROR(INDEX(고객사!$H$5:$H$104,MATCH($B1938,고객사!$A$5:$A$104,0)),"")="자사 차량 운행"),"차량 미배정",""))</f>
        <v/>
      </c>
      <c r="N1938" s="22" t="str">
        <f aca="false">IF($B1938="","",IFERROR(INDEX(고객사!$J$5:$J$104,MATCH($B1938,고객사!$A$5:$A$104,0)),0))</f>
        <v/>
      </c>
      <c r="O1938" s="22" t="str">
        <f aca="false">IF($B1938="","",G1938*N1938)</f>
        <v/>
      </c>
      <c r="P1938" s="22" t="str">
        <f aca="false">IF($B1938="","",IFERROR(INDEX(고객사!$K$5:$K$104,MATCH($B1938,고객사!$A$5:$A$104,0)),0))</f>
        <v/>
      </c>
      <c r="Q1938" s="22" t="str">
        <f aca="false">IF($B1938="","",G1938*P1938)</f>
        <v/>
      </c>
      <c r="R1938" s="22" t="str">
        <f aca="false">IF($B1938="","",O1938-Q1938-L1938)</f>
        <v/>
      </c>
      <c r="S1938" s="21" t="str">
        <f aca="false">IF(OR($B1938="",N(O1938)=0),"",R1938/O1938)</f>
        <v/>
      </c>
      <c r="T1938" s="14"/>
      <c r="U1938" s="19" t="n">
        <f aca="false">IF(OR($B1938="",$A1938=""),0,IF(COUNTIFS($A$5:$A1938,$A1938,$B$5:$B1938,$B1938)=1,1,0))</f>
        <v>0</v>
      </c>
    </row>
    <row r="1939" customFormat="false" ht="15" hidden="false" customHeight="false" outlineLevel="0" collapsed="false">
      <c r="A1939" s="17"/>
      <c r="B1939" s="13"/>
      <c r="C1939" s="20" t="str">
        <f aca="false">IF($B1939="","",IFERROR(INDEX(고객사!$B$5:$B$104,MATCH($B1939,고객사!$A$5:$A$104,0)),"코드 확인"))</f>
        <v/>
      </c>
      <c r="D1939" s="15"/>
      <c r="E1939" s="15"/>
      <c r="F1939" s="16"/>
      <c r="G1939" s="16"/>
      <c r="H1939" s="21" t="str">
        <f aca="false">IF(OR($B1939="",F1939=0),"",G1939/F1939)</f>
        <v/>
      </c>
      <c r="I1939" s="22" t="str">
        <f aca="false">IF($B1939="","",MAX(F1939-G1939,0))</f>
        <v/>
      </c>
      <c r="J1939" s="23" t="str">
        <f aca="false">IF($B1939="","",IFERROR(INDEX(고객사!$G$5:$G$104,MATCH($B1939,고객사!$A$5:$A$104,0)),""))</f>
        <v/>
      </c>
      <c r="K1939" s="16"/>
      <c r="L1939" s="22" t="str">
        <f aca="false">IF($B1939="","",K1939*IFERROR(INDEX(고객사!$L$5:$L$104,MATCH($B1939,고객사!$A$5:$A$104,0)),0))</f>
        <v/>
      </c>
      <c r="M1939" s="23" t="str">
        <f aca="false">IF($B1939="","",IF(AND(J1939="N",G1939&gt;0,K1939=0,IFERROR(INDEX(고객사!$H$5:$H$104,MATCH($B1939,고객사!$A$5:$A$104,0)),"")="자사 차량 운행"),"차량 미배정",""))</f>
        <v/>
      </c>
      <c r="N1939" s="22" t="str">
        <f aca="false">IF($B1939="","",IFERROR(INDEX(고객사!$J$5:$J$104,MATCH($B1939,고객사!$A$5:$A$104,0)),0))</f>
        <v/>
      </c>
      <c r="O1939" s="22" t="str">
        <f aca="false">IF($B1939="","",G1939*N1939)</f>
        <v/>
      </c>
      <c r="P1939" s="22" t="str">
        <f aca="false">IF($B1939="","",IFERROR(INDEX(고객사!$K$5:$K$104,MATCH($B1939,고객사!$A$5:$A$104,0)),0))</f>
        <v/>
      </c>
      <c r="Q1939" s="22" t="str">
        <f aca="false">IF($B1939="","",G1939*P1939)</f>
        <v/>
      </c>
      <c r="R1939" s="22" t="str">
        <f aca="false">IF($B1939="","",O1939-Q1939-L1939)</f>
        <v/>
      </c>
      <c r="S1939" s="21" t="str">
        <f aca="false">IF(OR($B1939="",N(O1939)=0),"",R1939/O1939)</f>
        <v/>
      </c>
      <c r="T1939" s="14"/>
      <c r="U1939" s="19" t="n">
        <f aca="false">IF(OR($B1939="",$A1939=""),0,IF(COUNTIFS($A$5:$A1939,$A1939,$B$5:$B1939,$B1939)=1,1,0))</f>
        <v>0</v>
      </c>
    </row>
    <row r="1940" customFormat="false" ht="15" hidden="false" customHeight="false" outlineLevel="0" collapsed="false">
      <c r="A1940" s="17"/>
      <c r="B1940" s="13"/>
      <c r="C1940" s="20" t="str">
        <f aca="false">IF($B1940="","",IFERROR(INDEX(고객사!$B$5:$B$104,MATCH($B1940,고객사!$A$5:$A$104,0)),"코드 확인"))</f>
        <v/>
      </c>
      <c r="D1940" s="15"/>
      <c r="E1940" s="15"/>
      <c r="F1940" s="16"/>
      <c r="G1940" s="16"/>
      <c r="H1940" s="21" t="str">
        <f aca="false">IF(OR($B1940="",F1940=0),"",G1940/F1940)</f>
        <v/>
      </c>
      <c r="I1940" s="22" t="str">
        <f aca="false">IF($B1940="","",MAX(F1940-G1940,0))</f>
        <v/>
      </c>
      <c r="J1940" s="23" t="str">
        <f aca="false">IF($B1940="","",IFERROR(INDEX(고객사!$G$5:$G$104,MATCH($B1940,고객사!$A$5:$A$104,0)),""))</f>
        <v/>
      </c>
      <c r="K1940" s="16"/>
      <c r="L1940" s="22" t="str">
        <f aca="false">IF($B1940="","",K1940*IFERROR(INDEX(고객사!$L$5:$L$104,MATCH($B1940,고객사!$A$5:$A$104,0)),0))</f>
        <v/>
      </c>
      <c r="M1940" s="23" t="str">
        <f aca="false">IF($B1940="","",IF(AND(J1940="N",G1940&gt;0,K1940=0,IFERROR(INDEX(고객사!$H$5:$H$104,MATCH($B1940,고객사!$A$5:$A$104,0)),"")="자사 차량 운행"),"차량 미배정",""))</f>
        <v/>
      </c>
      <c r="N1940" s="22" t="str">
        <f aca="false">IF($B1940="","",IFERROR(INDEX(고객사!$J$5:$J$104,MATCH($B1940,고객사!$A$5:$A$104,0)),0))</f>
        <v/>
      </c>
      <c r="O1940" s="22" t="str">
        <f aca="false">IF($B1940="","",G1940*N1940)</f>
        <v/>
      </c>
      <c r="P1940" s="22" t="str">
        <f aca="false">IF($B1940="","",IFERROR(INDEX(고객사!$K$5:$K$104,MATCH($B1940,고객사!$A$5:$A$104,0)),0))</f>
        <v/>
      </c>
      <c r="Q1940" s="22" t="str">
        <f aca="false">IF($B1940="","",G1940*P1940)</f>
        <v/>
      </c>
      <c r="R1940" s="22" t="str">
        <f aca="false">IF($B1940="","",O1940-Q1940-L1940)</f>
        <v/>
      </c>
      <c r="S1940" s="21" t="str">
        <f aca="false">IF(OR($B1940="",N(O1940)=0),"",R1940/O1940)</f>
        <v/>
      </c>
      <c r="T1940" s="14"/>
      <c r="U1940" s="19" t="n">
        <f aca="false">IF(OR($B1940="",$A1940=""),0,IF(COUNTIFS($A$5:$A1940,$A1940,$B$5:$B1940,$B1940)=1,1,0))</f>
        <v>0</v>
      </c>
    </row>
    <row r="1941" customFormat="false" ht="15" hidden="false" customHeight="false" outlineLevel="0" collapsed="false">
      <c r="A1941" s="17"/>
      <c r="B1941" s="13"/>
      <c r="C1941" s="20" t="str">
        <f aca="false">IF($B1941="","",IFERROR(INDEX(고객사!$B$5:$B$104,MATCH($B1941,고객사!$A$5:$A$104,0)),"코드 확인"))</f>
        <v/>
      </c>
      <c r="D1941" s="15"/>
      <c r="E1941" s="15"/>
      <c r="F1941" s="16"/>
      <c r="G1941" s="16"/>
      <c r="H1941" s="21" t="str">
        <f aca="false">IF(OR($B1941="",F1941=0),"",G1941/F1941)</f>
        <v/>
      </c>
      <c r="I1941" s="22" t="str">
        <f aca="false">IF($B1941="","",MAX(F1941-G1941,0))</f>
        <v/>
      </c>
      <c r="J1941" s="23" t="str">
        <f aca="false">IF($B1941="","",IFERROR(INDEX(고객사!$G$5:$G$104,MATCH($B1941,고객사!$A$5:$A$104,0)),""))</f>
        <v/>
      </c>
      <c r="K1941" s="16"/>
      <c r="L1941" s="22" t="str">
        <f aca="false">IF($B1941="","",K1941*IFERROR(INDEX(고객사!$L$5:$L$104,MATCH($B1941,고객사!$A$5:$A$104,0)),0))</f>
        <v/>
      </c>
      <c r="M1941" s="23" t="str">
        <f aca="false">IF($B1941="","",IF(AND(J1941="N",G1941&gt;0,K1941=0,IFERROR(INDEX(고객사!$H$5:$H$104,MATCH($B1941,고객사!$A$5:$A$104,0)),"")="자사 차량 운행"),"차량 미배정",""))</f>
        <v/>
      </c>
      <c r="N1941" s="22" t="str">
        <f aca="false">IF($B1941="","",IFERROR(INDEX(고객사!$J$5:$J$104,MATCH($B1941,고객사!$A$5:$A$104,0)),0))</f>
        <v/>
      </c>
      <c r="O1941" s="22" t="str">
        <f aca="false">IF($B1941="","",G1941*N1941)</f>
        <v/>
      </c>
      <c r="P1941" s="22" t="str">
        <f aca="false">IF($B1941="","",IFERROR(INDEX(고객사!$K$5:$K$104,MATCH($B1941,고객사!$A$5:$A$104,0)),0))</f>
        <v/>
      </c>
      <c r="Q1941" s="22" t="str">
        <f aca="false">IF($B1941="","",G1941*P1941)</f>
        <v/>
      </c>
      <c r="R1941" s="22" t="str">
        <f aca="false">IF($B1941="","",O1941-Q1941-L1941)</f>
        <v/>
      </c>
      <c r="S1941" s="21" t="str">
        <f aca="false">IF(OR($B1941="",N(O1941)=0),"",R1941/O1941)</f>
        <v/>
      </c>
      <c r="T1941" s="14"/>
      <c r="U1941" s="19" t="n">
        <f aca="false">IF(OR($B1941="",$A1941=""),0,IF(COUNTIFS($A$5:$A1941,$A1941,$B$5:$B1941,$B1941)=1,1,0))</f>
        <v>0</v>
      </c>
    </row>
    <row r="1942" customFormat="false" ht="15" hidden="false" customHeight="false" outlineLevel="0" collapsed="false">
      <c r="A1942" s="17"/>
      <c r="B1942" s="13"/>
      <c r="C1942" s="20" t="str">
        <f aca="false">IF($B1942="","",IFERROR(INDEX(고객사!$B$5:$B$104,MATCH($B1942,고객사!$A$5:$A$104,0)),"코드 확인"))</f>
        <v/>
      </c>
      <c r="D1942" s="15"/>
      <c r="E1942" s="15"/>
      <c r="F1942" s="16"/>
      <c r="G1942" s="16"/>
      <c r="H1942" s="21" t="str">
        <f aca="false">IF(OR($B1942="",F1942=0),"",G1942/F1942)</f>
        <v/>
      </c>
      <c r="I1942" s="22" t="str">
        <f aca="false">IF($B1942="","",MAX(F1942-G1942,0))</f>
        <v/>
      </c>
      <c r="J1942" s="23" t="str">
        <f aca="false">IF($B1942="","",IFERROR(INDEX(고객사!$G$5:$G$104,MATCH($B1942,고객사!$A$5:$A$104,0)),""))</f>
        <v/>
      </c>
      <c r="K1942" s="16"/>
      <c r="L1942" s="22" t="str">
        <f aca="false">IF($B1942="","",K1942*IFERROR(INDEX(고객사!$L$5:$L$104,MATCH($B1942,고객사!$A$5:$A$104,0)),0))</f>
        <v/>
      </c>
      <c r="M1942" s="23" t="str">
        <f aca="false">IF($B1942="","",IF(AND(J1942="N",G1942&gt;0,K1942=0,IFERROR(INDEX(고객사!$H$5:$H$104,MATCH($B1942,고객사!$A$5:$A$104,0)),"")="자사 차량 운행"),"차량 미배정",""))</f>
        <v/>
      </c>
      <c r="N1942" s="22" t="str">
        <f aca="false">IF($B1942="","",IFERROR(INDEX(고객사!$J$5:$J$104,MATCH($B1942,고객사!$A$5:$A$104,0)),0))</f>
        <v/>
      </c>
      <c r="O1942" s="22" t="str">
        <f aca="false">IF($B1942="","",G1942*N1942)</f>
        <v/>
      </c>
      <c r="P1942" s="22" t="str">
        <f aca="false">IF($B1942="","",IFERROR(INDEX(고객사!$K$5:$K$104,MATCH($B1942,고객사!$A$5:$A$104,0)),0))</f>
        <v/>
      </c>
      <c r="Q1942" s="22" t="str">
        <f aca="false">IF($B1942="","",G1942*P1942)</f>
        <v/>
      </c>
      <c r="R1942" s="22" t="str">
        <f aca="false">IF($B1942="","",O1942-Q1942-L1942)</f>
        <v/>
      </c>
      <c r="S1942" s="21" t="str">
        <f aca="false">IF(OR($B1942="",N(O1942)=0),"",R1942/O1942)</f>
        <v/>
      </c>
      <c r="T1942" s="14"/>
      <c r="U1942" s="19" t="n">
        <f aca="false">IF(OR($B1942="",$A1942=""),0,IF(COUNTIFS($A$5:$A1942,$A1942,$B$5:$B1942,$B1942)=1,1,0))</f>
        <v>0</v>
      </c>
    </row>
    <row r="1943" customFormat="false" ht="15" hidden="false" customHeight="false" outlineLevel="0" collapsed="false">
      <c r="A1943" s="17"/>
      <c r="B1943" s="13"/>
      <c r="C1943" s="20" t="str">
        <f aca="false">IF($B1943="","",IFERROR(INDEX(고객사!$B$5:$B$104,MATCH($B1943,고객사!$A$5:$A$104,0)),"코드 확인"))</f>
        <v/>
      </c>
      <c r="D1943" s="15"/>
      <c r="E1943" s="15"/>
      <c r="F1943" s="16"/>
      <c r="G1943" s="16"/>
      <c r="H1943" s="21" t="str">
        <f aca="false">IF(OR($B1943="",F1943=0),"",G1943/F1943)</f>
        <v/>
      </c>
      <c r="I1943" s="22" t="str">
        <f aca="false">IF($B1943="","",MAX(F1943-G1943,0))</f>
        <v/>
      </c>
      <c r="J1943" s="23" t="str">
        <f aca="false">IF($B1943="","",IFERROR(INDEX(고객사!$G$5:$G$104,MATCH($B1943,고객사!$A$5:$A$104,0)),""))</f>
        <v/>
      </c>
      <c r="K1943" s="16"/>
      <c r="L1943" s="22" t="str">
        <f aca="false">IF($B1943="","",K1943*IFERROR(INDEX(고객사!$L$5:$L$104,MATCH($B1943,고객사!$A$5:$A$104,0)),0))</f>
        <v/>
      </c>
      <c r="M1943" s="23" t="str">
        <f aca="false">IF($B1943="","",IF(AND(J1943="N",G1943&gt;0,K1943=0,IFERROR(INDEX(고객사!$H$5:$H$104,MATCH($B1943,고객사!$A$5:$A$104,0)),"")="자사 차량 운행"),"차량 미배정",""))</f>
        <v/>
      </c>
      <c r="N1943" s="22" t="str">
        <f aca="false">IF($B1943="","",IFERROR(INDEX(고객사!$J$5:$J$104,MATCH($B1943,고객사!$A$5:$A$104,0)),0))</f>
        <v/>
      </c>
      <c r="O1943" s="22" t="str">
        <f aca="false">IF($B1943="","",G1943*N1943)</f>
        <v/>
      </c>
      <c r="P1943" s="22" t="str">
        <f aca="false">IF($B1943="","",IFERROR(INDEX(고객사!$K$5:$K$104,MATCH($B1943,고객사!$A$5:$A$104,0)),0))</f>
        <v/>
      </c>
      <c r="Q1943" s="22" t="str">
        <f aca="false">IF($B1943="","",G1943*P1943)</f>
        <v/>
      </c>
      <c r="R1943" s="22" t="str">
        <f aca="false">IF($B1943="","",O1943-Q1943-L1943)</f>
        <v/>
      </c>
      <c r="S1943" s="21" t="str">
        <f aca="false">IF(OR($B1943="",N(O1943)=0),"",R1943/O1943)</f>
        <v/>
      </c>
      <c r="T1943" s="14"/>
      <c r="U1943" s="19" t="n">
        <f aca="false">IF(OR($B1943="",$A1943=""),0,IF(COUNTIFS($A$5:$A1943,$A1943,$B$5:$B1943,$B1943)=1,1,0))</f>
        <v>0</v>
      </c>
    </row>
    <row r="1944" customFormat="false" ht="15" hidden="false" customHeight="false" outlineLevel="0" collapsed="false">
      <c r="A1944" s="17"/>
      <c r="B1944" s="13"/>
      <c r="C1944" s="20" t="str">
        <f aca="false">IF($B1944="","",IFERROR(INDEX(고객사!$B$5:$B$104,MATCH($B1944,고객사!$A$5:$A$104,0)),"코드 확인"))</f>
        <v/>
      </c>
      <c r="D1944" s="15"/>
      <c r="E1944" s="15"/>
      <c r="F1944" s="16"/>
      <c r="G1944" s="16"/>
      <c r="H1944" s="21" t="str">
        <f aca="false">IF(OR($B1944="",F1944=0),"",G1944/F1944)</f>
        <v/>
      </c>
      <c r="I1944" s="22" t="str">
        <f aca="false">IF($B1944="","",MAX(F1944-G1944,0))</f>
        <v/>
      </c>
      <c r="J1944" s="23" t="str">
        <f aca="false">IF($B1944="","",IFERROR(INDEX(고객사!$G$5:$G$104,MATCH($B1944,고객사!$A$5:$A$104,0)),""))</f>
        <v/>
      </c>
      <c r="K1944" s="16"/>
      <c r="L1944" s="22" t="str">
        <f aca="false">IF($B1944="","",K1944*IFERROR(INDEX(고객사!$L$5:$L$104,MATCH($B1944,고객사!$A$5:$A$104,0)),0))</f>
        <v/>
      </c>
      <c r="M1944" s="23" t="str">
        <f aca="false">IF($B1944="","",IF(AND(J1944="N",G1944&gt;0,K1944=0,IFERROR(INDEX(고객사!$H$5:$H$104,MATCH($B1944,고객사!$A$5:$A$104,0)),"")="자사 차량 운행"),"차량 미배정",""))</f>
        <v/>
      </c>
      <c r="N1944" s="22" t="str">
        <f aca="false">IF($B1944="","",IFERROR(INDEX(고객사!$J$5:$J$104,MATCH($B1944,고객사!$A$5:$A$104,0)),0))</f>
        <v/>
      </c>
      <c r="O1944" s="22" t="str">
        <f aca="false">IF($B1944="","",G1944*N1944)</f>
        <v/>
      </c>
      <c r="P1944" s="22" t="str">
        <f aca="false">IF($B1944="","",IFERROR(INDEX(고객사!$K$5:$K$104,MATCH($B1944,고객사!$A$5:$A$104,0)),0))</f>
        <v/>
      </c>
      <c r="Q1944" s="22" t="str">
        <f aca="false">IF($B1944="","",G1944*P1944)</f>
        <v/>
      </c>
      <c r="R1944" s="22" t="str">
        <f aca="false">IF($B1944="","",O1944-Q1944-L1944)</f>
        <v/>
      </c>
      <c r="S1944" s="21" t="str">
        <f aca="false">IF(OR($B1944="",N(O1944)=0),"",R1944/O1944)</f>
        <v/>
      </c>
      <c r="T1944" s="14"/>
      <c r="U1944" s="19" t="n">
        <f aca="false">IF(OR($B1944="",$A1944=""),0,IF(COUNTIFS($A$5:$A1944,$A1944,$B$5:$B1944,$B1944)=1,1,0))</f>
        <v>0</v>
      </c>
    </row>
    <row r="1945" customFormat="false" ht="15" hidden="false" customHeight="false" outlineLevel="0" collapsed="false">
      <c r="A1945" s="17"/>
      <c r="B1945" s="13"/>
      <c r="C1945" s="20" t="str">
        <f aca="false">IF($B1945="","",IFERROR(INDEX(고객사!$B$5:$B$104,MATCH($B1945,고객사!$A$5:$A$104,0)),"코드 확인"))</f>
        <v/>
      </c>
      <c r="D1945" s="15"/>
      <c r="E1945" s="15"/>
      <c r="F1945" s="16"/>
      <c r="G1945" s="16"/>
      <c r="H1945" s="21" t="str">
        <f aca="false">IF(OR($B1945="",F1945=0),"",G1945/F1945)</f>
        <v/>
      </c>
      <c r="I1945" s="22" t="str">
        <f aca="false">IF($B1945="","",MAX(F1945-G1945,0))</f>
        <v/>
      </c>
      <c r="J1945" s="23" t="str">
        <f aca="false">IF($B1945="","",IFERROR(INDEX(고객사!$G$5:$G$104,MATCH($B1945,고객사!$A$5:$A$104,0)),""))</f>
        <v/>
      </c>
      <c r="K1945" s="16"/>
      <c r="L1945" s="22" t="str">
        <f aca="false">IF($B1945="","",K1945*IFERROR(INDEX(고객사!$L$5:$L$104,MATCH($B1945,고객사!$A$5:$A$104,0)),0))</f>
        <v/>
      </c>
      <c r="M1945" s="23" t="str">
        <f aca="false">IF($B1945="","",IF(AND(J1945="N",G1945&gt;0,K1945=0,IFERROR(INDEX(고객사!$H$5:$H$104,MATCH($B1945,고객사!$A$5:$A$104,0)),"")="자사 차량 운행"),"차량 미배정",""))</f>
        <v/>
      </c>
      <c r="N1945" s="22" t="str">
        <f aca="false">IF($B1945="","",IFERROR(INDEX(고객사!$J$5:$J$104,MATCH($B1945,고객사!$A$5:$A$104,0)),0))</f>
        <v/>
      </c>
      <c r="O1945" s="22" t="str">
        <f aca="false">IF($B1945="","",G1945*N1945)</f>
        <v/>
      </c>
      <c r="P1945" s="22" t="str">
        <f aca="false">IF($B1945="","",IFERROR(INDEX(고객사!$K$5:$K$104,MATCH($B1945,고객사!$A$5:$A$104,0)),0))</f>
        <v/>
      </c>
      <c r="Q1945" s="22" t="str">
        <f aca="false">IF($B1945="","",G1945*P1945)</f>
        <v/>
      </c>
      <c r="R1945" s="22" t="str">
        <f aca="false">IF($B1945="","",O1945-Q1945-L1945)</f>
        <v/>
      </c>
      <c r="S1945" s="21" t="str">
        <f aca="false">IF(OR($B1945="",N(O1945)=0),"",R1945/O1945)</f>
        <v/>
      </c>
      <c r="T1945" s="14"/>
      <c r="U1945" s="19" t="n">
        <f aca="false">IF(OR($B1945="",$A1945=""),0,IF(COUNTIFS($A$5:$A1945,$A1945,$B$5:$B1945,$B1945)=1,1,0))</f>
        <v>0</v>
      </c>
    </row>
    <row r="1946" customFormat="false" ht="15" hidden="false" customHeight="false" outlineLevel="0" collapsed="false">
      <c r="A1946" s="17"/>
      <c r="B1946" s="13"/>
      <c r="C1946" s="20" t="str">
        <f aca="false">IF($B1946="","",IFERROR(INDEX(고객사!$B$5:$B$104,MATCH($B1946,고객사!$A$5:$A$104,0)),"코드 확인"))</f>
        <v/>
      </c>
      <c r="D1946" s="15"/>
      <c r="E1946" s="15"/>
      <c r="F1946" s="16"/>
      <c r="G1946" s="16"/>
      <c r="H1946" s="21" t="str">
        <f aca="false">IF(OR($B1946="",F1946=0),"",G1946/F1946)</f>
        <v/>
      </c>
      <c r="I1946" s="22" t="str">
        <f aca="false">IF($B1946="","",MAX(F1946-G1946,0))</f>
        <v/>
      </c>
      <c r="J1946" s="23" t="str">
        <f aca="false">IF($B1946="","",IFERROR(INDEX(고객사!$G$5:$G$104,MATCH($B1946,고객사!$A$5:$A$104,0)),""))</f>
        <v/>
      </c>
      <c r="K1946" s="16"/>
      <c r="L1946" s="22" t="str">
        <f aca="false">IF($B1946="","",K1946*IFERROR(INDEX(고객사!$L$5:$L$104,MATCH($B1946,고객사!$A$5:$A$104,0)),0))</f>
        <v/>
      </c>
      <c r="M1946" s="23" t="str">
        <f aca="false">IF($B1946="","",IF(AND(J1946="N",G1946&gt;0,K1946=0,IFERROR(INDEX(고객사!$H$5:$H$104,MATCH($B1946,고객사!$A$5:$A$104,0)),"")="자사 차량 운행"),"차량 미배정",""))</f>
        <v/>
      </c>
      <c r="N1946" s="22" t="str">
        <f aca="false">IF($B1946="","",IFERROR(INDEX(고객사!$J$5:$J$104,MATCH($B1946,고객사!$A$5:$A$104,0)),0))</f>
        <v/>
      </c>
      <c r="O1946" s="22" t="str">
        <f aca="false">IF($B1946="","",G1946*N1946)</f>
        <v/>
      </c>
      <c r="P1946" s="22" t="str">
        <f aca="false">IF($B1946="","",IFERROR(INDEX(고객사!$K$5:$K$104,MATCH($B1946,고객사!$A$5:$A$104,0)),0))</f>
        <v/>
      </c>
      <c r="Q1946" s="22" t="str">
        <f aca="false">IF($B1946="","",G1946*P1946)</f>
        <v/>
      </c>
      <c r="R1946" s="22" t="str">
        <f aca="false">IF($B1946="","",O1946-Q1946-L1946)</f>
        <v/>
      </c>
      <c r="S1946" s="21" t="str">
        <f aca="false">IF(OR($B1946="",N(O1946)=0),"",R1946/O1946)</f>
        <v/>
      </c>
      <c r="T1946" s="14"/>
      <c r="U1946" s="19" t="n">
        <f aca="false">IF(OR($B1946="",$A1946=""),0,IF(COUNTIFS($A$5:$A1946,$A1946,$B$5:$B1946,$B1946)=1,1,0))</f>
        <v>0</v>
      </c>
    </row>
    <row r="1947" customFormat="false" ht="15" hidden="false" customHeight="false" outlineLevel="0" collapsed="false">
      <c r="A1947" s="17"/>
      <c r="B1947" s="13"/>
      <c r="C1947" s="20" t="str">
        <f aca="false">IF($B1947="","",IFERROR(INDEX(고객사!$B$5:$B$104,MATCH($B1947,고객사!$A$5:$A$104,0)),"코드 확인"))</f>
        <v/>
      </c>
      <c r="D1947" s="15"/>
      <c r="E1947" s="15"/>
      <c r="F1947" s="16"/>
      <c r="G1947" s="16"/>
      <c r="H1947" s="21" t="str">
        <f aca="false">IF(OR($B1947="",F1947=0),"",G1947/F1947)</f>
        <v/>
      </c>
      <c r="I1947" s="22" t="str">
        <f aca="false">IF($B1947="","",MAX(F1947-G1947,0))</f>
        <v/>
      </c>
      <c r="J1947" s="23" t="str">
        <f aca="false">IF($B1947="","",IFERROR(INDEX(고객사!$G$5:$G$104,MATCH($B1947,고객사!$A$5:$A$104,0)),""))</f>
        <v/>
      </c>
      <c r="K1947" s="16"/>
      <c r="L1947" s="22" t="str">
        <f aca="false">IF($B1947="","",K1947*IFERROR(INDEX(고객사!$L$5:$L$104,MATCH($B1947,고객사!$A$5:$A$104,0)),0))</f>
        <v/>
      </c>
      <c r="M1947" s="23" t="str">
        <f aca="false">IF($B1947="","",IF(AND(J1947="N",G1947&gt;0,K1947=0,IFERROR(INDEX(고객사!$H$5:$H$104,MATCH($B1947,고객사!$A$5:$A$104,0)),"")="자사 차량 운행"),"차량 미배정",""))</f>
        <v/>
      </c>
      <c r="N1947" s="22" t="str">
        <f aca="false">IF($B1947="","",IFERROR(INDEX(고객사!$J$5:$J$104,MATCH($B1947,고객사!$A$5:$A$104,0)),0))</f>
        <v/>
      </c>
      <c r="O1947" s="22" t="str">
        <f aca="false">IF($B1947="","",G1947*N1947)</f>
        <v/>
      </c>
      <c r="P1947" s="22" t="str">
        <f aca="false">IF($B1947="","",IFERROR(INDEX(고객사!$K$5:$K$104,MATCH($B1947,고객사!$A$5:$A$104,0)),0))</f>
        <v/>
      </c>
      <c r="Q1947" s="22" t="str">
        <f aca="false">IF($B1947="","",G1947*P1947)</f>
        <v/>
      </c>
      <c r="R1947" s="22" t="str">
        <f aca="false">IF($B1947="","",O1947-Q1947-L1947)</f>
        <v/>
      </c>
      <c r="S1947" s="21" t="str">
        <f aca="false">IF(OR($B1947="",N(O1947)=0),"",R1947/O1947)</f>
        <v/>
      </c>
      <c r="T1947" s="14"/>
      <c r="U1947" s="19" t="n">
        <f aca="false">IF(OR($B1947="",$A1947=""),0,IF(COUNTIFS($A$5:$A1947,$A1947,$B$5:$B1947,$B1947)=1,1,0))</f>
        <v>0</v>
      </c>
    </row>
    <row r="1948" customFormat="false" ht="15" hidden="false" customHeight="false" outlineLevel="0" collapsed="false">
      <c r="A1948" s="17"/>
      <c r="B1948" s="13"/>
      <c r="C1948" s="20" t="str">
        <f aca="false">IF($B1948="","",IFERROR(INDEX(고객사!$B$5:$B$104,MATCH($B1948,고객사!$A$5:$A$104,0)),"코드 확인"))</f>
        <v/>
      </c>
      <c r="D1948" s="15"/>
      <c r="E1948" s="15"/>
      <c r="F1948" s="16"/>
      <c r="G1948" s="16"/>
      <c r="H1948" s="21" t="str">
        <f aca="false">IF(OR($B1948="",F1948=0),"",G1948/F1948)</f>
        <v/>
      </c>
      <c r="I1948" s="22" t="str">
        <f aca="false">IF($B1948="","",MAX(F1948-G1948,0))</f>
        <v/>
      </c>
      <c r="J1948" s="23" t="str">
        <f aca="false">IF($B1948="","",IFERROR(INDEX(고객사!$G$5:$G$104,MATCH($B1948,고객사!$A$5:$A$104,0)),""))</f>
        <v/>
      </c>
      <c r="K1948" s="16"/>
      <c r="L1948" s="22" t="str">
        <f aca="false">IF($B1948="","",K1948*IFERROR(INDEX(고객사!$L$5:$L$104,MATCH($B1948,고객사!$A$5:$A$104,0)),0))</f>
        <v/>
      </c>
      <c r="M1948" s="23" t="str">
        <f aca="false">IF($B1948="","",IF(AND(J1948="N",G1948&gt;0,K1948=0,IFERROR(INDEX(고객사!$H$5:$H$104,MATCH($B1948,고객사!$A$5:$A$104,0)),"")="자사 차량 운행"),"차량 미배정",""))</f>
        <v/>
      </c>
      <c r="N1948" s="22" t="str">
        <f aca="false">IF($B1948="","",IFERROR(INDEX(고객사!$J$5:$J$104,MATCH($B1948,고객사!$A$5:$A$104,0)),0))</f>
        <v/>
      </c>
      <c r="O1948" s="22" t="str">
        <f aca="false">IF($B1948="","",G1948*N1948)</f>
        <v/>
      </c>
      <c r="P1948" s="22" t="str">
        <f aca="false">IF($B1948="","",IFERROR(INDEX(고객사!$K$5:$K$104,MATCH($B1948,고객사!$A$5:$A$104,0)),0))</f>
        <v/>
      </c>
      <c r="Q1948" s="22" t="str">
        <f aca="false">IF($B1948="","",G1948*P1948)</f>
        <v/>
      </c>
      <c r="R1948" s="22" t="str">
        <f aca="false">IF($B1948="","",O1948-Q1948-L1948)</f>
        <v/>
      </c>
      <c r="S1948" s="21" t="str">
        <f aca="false">IF(OR($B1948="",N(O1948)=0),"",R1948/O1948)</f>
        <v/>
      </c>
      <c r="T1948" s="14"/>
      <c r="U1948" s="19" t="n">
        <f aca="false">IF(OR($B1948="",$A1948=""),0,IF(COUNTIFS($A$5:$A1948,$A1948,$B$5:$B1948,$B1948)=1,1,0))</f>
        <v>0</v>
      </c>
    </row>
    <row r="1949" customFormat="false" ht="15" hidden="false" customHeight="false" outlineLevel="0" collapsed="false">
      <c r="A1949" s="17"/>
      <c r="B1949" s="13"/>
      <c r="C1949" s="20" t="str">
        <f aca="false">IF($B1949="","",IFERROR(INDEX(고객사!$B$5:$B$104,MATCH($B1949,고객사!$A$5:$A$104,0)),"코드 확인"))</f>
        <v/>
      </c>
      <c r="D1949" s="15"/>
      <c r="E1949" s="15"/>
      <c r="F1949" s="16"/>
      <c r="G1949" s="16"/>
      <c r="H1949" s="21" t="str">
        <f aca="false">IF(OR($B1949="",F1949=0),"",G1949/F1949)</f>
        <v/>
      </c>
      <c r="I1949" s="22" t="str">
        <f aca="false">IF($B1949="","",MAX(F1949-G1949,0))</f>
        <v/>
      </c>
      <c r="J1949" s="23" t="str">
        <f aca="false">IF($B1949="","",IFERROR(INDEX(고객사!$G$5:$G$104,MATCH($B1949,고객사!$A$5:$A$104,0)),""))</f>
        <v/>
      </c>
      <c r="K1949" s="16"/>
      <c r="L1949" s="22" t="str">
        <f aca="false">IF($B1949="","",K1949*IFERROR(INDEX(고객사!$L$5:$L$104,MATCH($B1949,고객사!$A$5:$A$104,0)),0))</f>
        <v/>
      </c>
      <c r="M1949" s="23" t="str">
        <f aca="false">IF($B1949="","",IF(AND(J1949="N",G1949&gt;0,K1949=0,IFERROR(INDEX(고객사!$H$5:$H$104,MATCH($B1949,고객사!$A$5:$A$104,0)),"")="자사 차량 운행"),"차량 미배정",""))</f>
        <v/>
      </c>
      <c r="N1949" s="22" t="str">
        <f aca="false">IF($B1949="","",IFERROR(INDEX(고객사!$J$5:$J$104,MATCH($B1949,고객사!$A$5:$A$104,0)),0))</f>
        <v/>
      </c>
      <c r="O1949" s="22" t="str">
        <f aca="false">IF($B1949="","",G1949*N1949)</f>
        <v/>
      </c>
      <c r="P1949" s="22" t="str">
        <f aca="false">IF($B1949="","",IFERROR(INDEX(고객사!$K$5:$K$104,MATCH($B1949,고객사!$A$5:$A$104,0)),0))</f>
        <v/>
      </c>
      <c r="Q1949" s="22" t="str">
        <f aca="false">IF($B1949="","",G1949*P1949)</f>
        <v/>
      </c>
      <c r="R1949" s="22" t="str">
        <f aca="false">IF($B1949="","",O1949-Q1949-L1949)</f>
        <v/>
      </c>
      <c r="S1949" s="21" t="str">
        <f aca="false">IF(OR($B1949="",N(O1949)=0),"",R1949/O1949)</f>
        <v/>
      </c>
      <c r="T1949" s="14"/>
      <c r="U1949" s="19" t="n">
        <f aca="false">IF(OR($B1949="",$A1949=""),0,IF(COUNTIFS($A$5:$A1949,$A1949,$B$5:$B1949,$B1949)=1,1,0))</f>
        <v>0</v>
      </c>
    </row>
    <row r="1950" customFormat="false" ht="15" hidden="false" customHeight="false" outlineLevel="0" collapsed="false">
      <c r="A1950" s="17"/>
      <c r="B1950" s="13"/>
      <c r="C1950" s="20" t="str">
        <f aca="false">IF($B1950="","",IFERROR(INDEX(고객사!$B$5:$B$104,MATCH($B1950,고객사!$A$5:$A$104,0)),"코드 확인"))</f>
        <v/>
      </c>
      <c r="D1950" s="15"/>
      <c r="E1950" s="15"/>
      <c r="F1950" s="16"/>
      <c r="G1950" s="16"/>
      <c r="H1950" s="21" t="str">
        <f aca="false">IF(OR($B1950="",F1950=0),"",G1950/F1950)</f>
        <v/>
      </c>
      <c r="I1950" s="22" t="str">
        <f aca="false">IF($B1950="","",MAX(F1950-G1950,0))</f>
        <v/>
      </c>
      <c r="J1950" s="23" t="str">
        <f aca="false">IF($B1950="","",IFERROR(INDEX(고객사!$G$5:$G$104,MATCH($B1950,고객사!$A$5:$A$104,0)),""))</f>
        <v/>
      </c>
      <c r="K1950" s="16"/>
      <c r="L1950" s="22" t="str">
        <f aca="false">IF($B1950="","",K1950*IFERROR(INDEX(고객사!$L$5:$L$104,MATCH($B1950,고객사!$A$5:$A$104,0)),0))</f>
        <v/>
      </c>
      <c r="M1950" s="23" t="str">
        <f aca="false">IF($B1950="","",IF(AND(J1950="N",G1950&gt;0,K1950=0,IFERROR(INDEX(고객사!$H$5:$H$104,MATCH($B1950,고객사!$A$5:$A$104,0)),"")="자사 차량 운행"),"차량 미배정",""))</f>
        <v/>
      </c>
      <c r="N1950" s="22" t="str">
        <f aca="false">IF($B1950="","",IFERROR(INDEX(고객사!$J$5:$J$104,MATCH($B1950,고객사!$A$5:$A$104,0)),0))</f>
        <v/>
      </c>
      <c r="O1950" s="22" t="str">
        <f aca="false">IF($B1950="","",G1950*N1950)</f>
        <v/>
      </c>
      <c r="P1950" s="22" t="str">
        <f aca="false">IF($B1950="","",IFERROR(INDEX(고객사!$K$5:$K$104,MATCH($B1950,고객사!$A$5:$A$104,0)),0))</f>
        <v/>
      </c>
      <c r="Q1950" s="22" t="str">
        <f aca="false">IF($B1950="","",G1950*P1950)</f>
        <v/>
      </c>
      <c r="R1950" s="22" t="str">
        <f aca="false">IF($B1950="","",O1950-Q1950-L1950)</f>
        <v/>
      </c>
      <c r="S1950" s="21" t="str">
        <f aca="false">IF(OR($B1950="",N(O1950)=0),"",R1950/O1950)</f>
        <v/>
      </c>
      <c r="T1950" s="14"/>
      <c r="U1950" s="19" t="n">
        <f aca="false">IF(OR($B1950="",$A1950=""),0,IF(COUNTIFS($A$5:$A1950,$A1950,$B$5:$B1950,$B1950)=1,1,0))</f>
        <v>0</v>
      </c>
    </row>
    <row r="1951" customFormat="false" ht="15" hidden="false" customHeight="false" outlineLevel="0" collapsed="false">
      <c r="A1951" s="17"/>
      <c r="B1951" s="13"/>
      <c r="C1951" s="20" t="str">
        <f aca="false">IF($B1951="","",IFERROR(INDEX(고객사!$B$5:$B$104,MATCH($B1951,고객사!$A$5:$A$104,0)),"코드 확인"))</f>
        <v/>
      </c>
      <c r="D1951" s="15"/>
      <c r="E1951" s="15"/>
      <c r="F1951" s="16"/>
      <c r="G1951" s="16"/>
      <c r="H1951" s="21" t="str">
        <f aca="false">IF(OR($B1951="",F1951=0),"",G1951/F1951)</f>
        <v/>
      </c>
      <c r="I1951" s="22" t="str">
        <f aca="false">IF($B1951="","",MAX(F1951-G1951,0))</f>
        <v/>
      </c>
      <c r="J1951" s="23" t="str">
        <f aca="false">IF($B1951="","",IFERROR(INDEX(고객사!$G$5:$G$104,MATCH($B1951,고객사!$A$5:$A$104,0)),""))</f>
        <v/>
      </c>
      <c r="K1951" s="16"/>
      <c r="L1951" s="22" t="str">
        <f aca="false">IF($B1951="","",K1951*IFERROR(INDEX(고객사!$L$5:$L$104,MATCH($B1951,고객사!$A$5:$A$104,0)),0))</f>
        <v/>
      </c>
      <c r="M1951" s="23" t="str">
        <f aca="false">IF($B1951="","",IF(AND(J1951="N",G1951&gt;0,K1951=0,IFERROR(INDEX(고객사!$H$5:$H$104,MATCH($B1951,고객사!$A$5:$A$104,0)),"")="자사 차량 운행"),"차량 미배정",""))</f>
        <v/>
      </c>
      <c r="N1951" s="22" t="str">
        <f aca="false">IF($B1951="","",IFERROR(INDEX(고객사!$J$5:$J$104,MATCH($B1951,고객사!$A$5:$A$104,0)),0))</f>
        <v/>
      </c>
      <c r="O1951" s="22" t="str">
        <f aca="false">IF($B1951="","",G1951*N1951)</f>
        <v/>
      </c>
      <c r="P1951" s="22" t="str">
        <f aca="false">IF($B1951="","",IFERROR(INDEX(고객사!$K$5:$K$104,MATCH($B1951,고객사!$A$5:$A$104,0)),0))</f>
        <v/>
      </c>
      <c r="Q1951" s="22" t="str">
        <f aca="false">IF($B1951="","",G1951*P1951)</f>
        <v/>
      </c>
      <c r="R1951" s="22" t="str">
        <f aca="false">IF($B1951="","",O1951-Q1951-L1951)</f>
        <v/>
      </c>
      <c r="S1951" s="21" t="str">
        <f aca="false">IF(OR($B1951="",N(O1951)=0),"",R1951/O1951)</f>
        <v/>
      </c>
      <c r="T1951" s="14"/>
      <c r="U1951" s="19" t="n">
        <f aca="false">IF(OR($B1951="",$A1951=""),0,IF(COUNTIFS($A$5:$A1951,$A1951,$B$5:$B1951,$B1951)=1,1,0))</f>
        <v>0</v>
      </c>
    </row>
    <row r="1952" customFormat="false" ht="15" hidden="false" customHeight="false" outlineLevel="0" collapsed="false">
      <c r="A1952" s="17"/>
      <c r="B1952" s="13"/>
      <c r="C1952" s="20" t="str">
        <f aca="false">IF($B1952="","",IFERROR(INDEX(고객사!$B$5:$B$104,MATCH($B1952,고객사!$A$5:$A$104,0)),"코드 확인"))</f>
        <v/>
      </c>
      <c r="D1952" s="15"/>
      <c r="E1952" s="15"/>
      <c r="F1952" s="16"/>
      <c r="G1952" s="16"/>
      <c r="H1952" s="21" t="str">
        <f aca="false">IF(OR($B1952="",F1952=0),"",G1952/F1952)</f>
        <v/>
      </c>
      <c r="I1952" s="22" t="str">
        <f aca="false">IF($B1952="","",MAX(F1952-G1952,0))</f>
        <v/>
      </c>
      <c r="J1952" s="23" t="str">
        <f aca="false">IF($B1952="","",IFERROR(INDEX(고객사!$G$5:$G$104,MATCH($B1952,고객사!$A$5:$A$104,0)),""))</f>
        <v/>
      </c>
      <c r="K1952" s="16"/>
      <c r="L1952" s="22" t="str">
        <f aca="false">IF($B1952="","",K1952*IFERROR(INDEX(고객사!$L$5:$L$104,MATCH($B1952,고객사!$A$5:$A$104,0)),0))</f>
        <v/>
      </c>
      <c r="M1952" s="23" t="str">
        <f aca="false">IF($B1952="","",IF(AND(J1952="N",G1952&gt;0,K1952=0,IFERROR(INDEX(고객사!$H$5:$H$104,MATCH($B1952,고객사!$A$5:$A$104,0)),"")="자사 차량 운행"),"차량 미배정",""))</f>
        <v/>
      </c>
      <c r="N1952" s="22" t="str">
        <f aca="false">IF($B1952="","",IFERROR(INDEX(고객사!$J$5:$J$104,MATCH($B1952,고객사!$A$5:$A$104,0)),0))</f>
        <v/>
      </c>
      <c r="O1952" s="22" t="str">
        <f aca="false">IF($B1952="","",G1952*N1952)</f>
        <v/>
      </c>
      <c r="P1952" s="22" t="str">
        <f aca="false">IF($B1952="","",IFERROR(INDEX(고객사!$K$5:$K$104,MATCH($B1952,고객사!$A$5:$A$104,0)),0))</f>
        <v/>
      </c>
      <c r="Q1952" s="22" t="str">
        <f aca="false">IF($B1952="","",G1952*P1952)</f>
        <v/>
      </c>
      <c r="R1952" s="22" t="str">
        <f aca="false">IF($B1952="","",O1952-Q1952-L1952)</f>
        <v/>
      </c>
      <c r="S1952" s="21" t="str">
        <f aca="false">IF(OR($B1952="",N(O1952)=0),"",R1952/O1952)</f>
        <v/>
      </c>
      <c r="T1952" s="14"/>
      <c r="U1952" s="19" t="n">
        <f aca="false">IF(OR($B1952="",$A1952=""),0,IF(COUNTIFS($A$5:$A1952,$A1952,$B$5:$B1952,$B1952)=1,1,0))</f>
        <v>0</v>
      </c>
    </row>
    <row r="1953" customFormat="false" ht="15" hidden="false" customHeight="false" outlineLevel="0" collapsed="false">
      <c r="A1953" s="17"/>
      <c r="B1953" s="13"/>
      <c r="C1953" s="20" t="str">
        <f aca="false">IF($B1953="","",IFERROR(INDEX(고객사!$B$5:$B$104,MATCH($B1953,고객사!$A$5:$A$104,0)),"코드 확인"))</f>
        <v/>
      </c>
      <c r="D1953" s="15"/>
      <c r="E1953" s="15"/>
      <c r="F1953" s="16"/>
      <c r="G1953" s="16"/>
      <c r="H1953" s="21" t="str">
        <f aca="false">IF(OR($B1953="",F1953=0),"",G1953/F1953)</f>
        <v/>
      </c>
      <c r="I1953" s="22" t="str">
        <f aca="false">IF($B1953="","",MAX(F1953-G1953,0))</f>
        <v/>
      </c>
      <c r="J1953" s="23" t="str">
        <f aca="false">IF($B1953="","",IFERROR(INDEX(고객사!$G$5:$G$104,MATCH($B1953,고객사!$A$5:$A$104,0)),""))</f>
        <v/>
      </c>
      <c r="K1953" s="16"/>
      <c r="L1953" s="22" t="str">
        <f aca="false">IF($B1953="","",K1953*IFERROR(INDEX(고객사!$L$5:$L$104,MATCH($B1953,고객사!$A$5:$A$104,0)),0))</f>
        <v/>
      </c>
      <c r="M1953" s="23" t="str">
        <f aca="false">IF($B1953="","",IF(AND(J1953="N",G1953&gt;0,K1953=0,IFERROR(INDEX(고객사!$H$5:$H$104,MATCH($B1953,고객사!$A$5:$A$104,0)),"")="자사 차량 운행"),"차량 미배정",""))</f>
        <v/>
      </c>
      <c r="N1953" s="22" t="str">
        <f aca="false">IF($B1953="","",IFERROR(INDEX(고객사!$J$5:$J$104,MATCH($B1953,고객사!$A$5:$A$104,0)),0))</f>
        <v/>
      </c>
      <c r="O1953" s="22" t="str">
        <f aca="false">IF($B1953="","",G1953*N1953)</f>
        <v/>
      </c>
      <c r="P1953" s="22" t="str">
        <f aca="false">IF($B1953="","",IFERROR(INDEX(고객사!$K$5:$K$104,MATCH($B1953,고객사!$A$5:$A$104,0)),0))</f>
        <v/>
      </c>
      <c r="Q1953" s="22" t="str">
        <f aca="false">IF($B1953="","",G1953*P1953)</f>
        <v/>
      </c>
      <c r="R1953" s="22" t="str">
        <f aca="false">IF($B1953="","",O1953-Q1953-L1953)</f>
        <v/>
      </c>
      <c r="S1953" s="21" t="str">
        <f aca="false">IF(OR($B1953="",N(O1953)=0),"",R1953/O1953)</f>
        <v/>
      </c>
      <c r="T1953" s="14"/>
      <c r="U1953" s="19" t="n">
        <f aca="false">IF(OR($B1953="",$A1953=""),0,IF(COUNTIFS($A$5:$A1953,$A1953,$B$5:$B1953,$B1953)=1,1,0))</f>
        <v>0</v>
      </c>
    </row>
    <row r="1954" customFormat="false" ht="15" hidden="false" customHeight="false" outlineLevel="0" collapsed="false">
      <c r="A1954" s="17"/>
      <c r="B1954" s="13"/>
      <c r="C1954" s="20" t="str">
        <f aca="false">IF($B1954="","",IFERROR(INDEX(고객사!$B$5:$B$104,MATCH($B1954,고객사!$A$5:$A$104,0)),"코드 확인"))</f>
        <v/>
      </c>
      <c r="D1954" s="15"/>
      <c r="E1954" s="15"/>
      <c r="F1954" s="16"/>
      <c r="G1954" s="16"/>
      <c r="H1954" s="21" t="str">
        <f aca="false">IF(OR($B1954="",F1954=0),"",G1954/F1954)</f>
        <v/>
      </c>
      <c r="I1954" s="22" t="str">
        <f aca="false">IF($B1954="","",MAX(F1954-G1954,0))</f>
        <v/>
      </c>
      <c r="J1954" s="23" t="str">
        <f aca="false">IF($B1954="","",IFERROR(INDEX(고객사!$G$5:$G$104,MATCH($B1954,고객사!$A$5:$A$104,0)),""))</f>
        <v/>
      </c>
      <c r="K1954" s="16"/>
      <c r="L1954" s="22" t="str">
        <f aca="false">IF($B1954="","",K1954*IFERROR(INDEX(고객사!$L$5:$L$104,MATCH($B1954,고객사!$A$5:$A$104,0)),0))</f>
        <v/>
      </c>
      <c r="M1954" s="23" t="str">
        <f aca="false">IF($B1954="","",IF(AND(J1954="N",G1954&gt;0,K1954=0,IFERROR(INDEX(고객사!$H$5:$H$104,MATCH($B1954,고객사!$A$5:$A$104,0)),"")="자사 차량 운행"),"차량 미배정",""))</f>
        <v/>
      </c>
      <c r="N1954" s="22" t="str">
        <f aca="false">IF($B1954="","",IFERROR(INDEX(고객사!$J$5:$J$104,MATCH($B1954,고객사!$A$5:$A$104,0)),0))</f>
        <v/>
      </c>
      <c r="O1954" s="22" t="str">
        <f aca="false">IF($B1954="","",G1954*N1954)</f>
        <v/>
      </c>
      <c r="P1954" s="22" t="str">
        <f aca="false">IF($B1954="","",IFERROR(INDEX(고객사!$K$5:$K$104,MATCH($B1954,고객사!$A$5:$A$104,0)),0))</f>
        <v/>
      </c>
      <c r="Q1954" s="22" t="str">
        <f aca="false">IF($B1954="","",G1954*P1954)</f>
        <v/>
      </c>
      <c r="R1954" s="22" t="str">
        <f aca="false">IF($B1954="","",O1954-Q1954-L1954)</f>
        <v/>
      </c>
      <c r="S1954" s="21" t="str">
        <f aca="false">IF(OR($B1954="",N(O1954)=0),"",R1954/O1954)</f>
        <v/>
      </c>
      <c r="T1954" s="14"/>
      <c r="U1954" s="19" t="n">
        <f aca="false">IF(OR($B1954="",$A1954=""),0,IF(COUNTIFS($A$5:$A1954,$A1954,$B$5:$B1954,$B1954)=1,1,0))</f>
        <v>0</v>
      </c>
    </row>
    <row r="1955" customFormat="false" ht="15" hidden="false" customHeight="false" outlineLevel="0" collapsed="false">
      <c r="A1955" s="17"/>
      <c r="B1955" s="13"/>
      <c r="C1955" s="20" t="str">
        <f aca="false">IF($B1955="","",IFERROR(INDEX(고객사!$B$5:$B$104,MATCH($B1955,고객사!$A$5:$A$104,0)),"코드 확인"))</f>
        <v/>
      </c>
      <c r="D1955" s="15"/>
      <c r="E1955" s="15"/>
      <c r="F1955" s="16"/>
      <c r="G1955" s="16"/>
      <c r="H1955" s="21" t="str">
        <f aca="false">IF(OR($B1955="",F1955=0),"",G1955/F1955)</f>
        <v/>
      </c>
      <c r="I1955" s="22" t="str">
        <f aca="false">IF($B1955="","",MAX(F1955-G1955,0))</f>
        <v/>
      </c>
      <c r="J1955" s="23" t="str">
        <f aca="false">IF($B1955="","",IFERROR(INDEX(고객사!$G$5:$G$104,MATCH($B1955,고객사!$A$5:$A$104,0)),""))</f>
        <v/>
      </c>
      <c r="K1955" s="16"/>
      <c r="L1955" s="22" t="str">
        <f aca="false">IF($B1955="","",K1955*IFERROR(INDEX(고객사!$L$5:$L$104,MATCH($B1955,고객사!$A$5:$A$104,0)),0))</f>
        <v/>
      </c>
      <c r="M1955" s="23" t="str">
        <f aca="false">IF($B1955="","",IF(AND(J1955="N",G1955&gt;0,K1955=0,IFERROR(INDEX(고객사!$H$5:$H$104,MATCH($B1955,고객사!$A$5:$A$104,0)),"")="자사 차량 운행"),"차량 미배정",""))</f>
        <v/>
      </c>
      <c r="N1955" s="22" t="str">
        <f aca="false">IF($B1955="","",IFERROR(INDEX(고객사!$J$5:$J$104,MATCH($B1955,고객사!$A$5:$A$104,0)),0))</f>
        <v/>
      </c>
      <c r="O1955" s="22" t="str">
        <f aca="false">IF($B1955="","",G1955*N1955)</f>
        <v/>
      </c>
      <c r="P1955" s="22" t="str">
        <f aca="false">IF($B1955="","",IFERROR(INDEX(고객사!$K$5:$K$104,MATCH($B1955,고객사!$A$5:$A$104,0)),0))</f>
        <v/>
      </c>
      <c r="Q1955" s="22" t="str">
        <f aca="false">IF($B1955="","",G1955*P1955)</f>
        <v/>
      </c>
      <c r="R1955" s="22" t="str">
        <f aca="false">IF($B1955="","",O1955-Q1955-L1955)</f>
        <v/>
      </c>
      <c r="S1955" s="21" t="str">
        <f aca="false">IF(OR($B1955="",N(O1955)=0),"",R1955/O1955)</f>
        <v/>
      </c>
      <c r="T1955" s="14"/>
      <c r="U1955" s="19" t="n">
        <f aca="false">IF(OR($B1955="",$A1955=""),0,IF(COUNTIFS($A$5:$A1955,$A1955,$B$5:$B1955,$B1955)=1,1,0))</f>
        <v>0</v>
      </c>
    </row>
    <row r="1956" customFormat="false" ht="15" hidden="false" customHeight="false" outlineLevel="0" collapsed="false">
      <c r="A1956" s="17"/>
      <c r="B1956" s="13"/>
      <c r="C1956" s="20" t="str">
        <f aca="false">IF($B1956="","",IFERROR(INDEX(고객사!$B$5:$B$104,MATCH($B1956,고객사!$A$5:$A$104,0)),"코드 확인"))</f>
        <v/>
      </c>
      <c r="D1956" s="15"/>
      <c r="E1956" s="15"/>
      <c r="F1956" s="16"/>
      <c r="G1956" s="16"/>
      <c r="H1956" s="21" t="str">
        <f aca="false">IF(OR($B1956="",F1956=0),"",G1956/F1956)</f>
        <v/>
      </c>
      <c r="I1956" s="22" t="str">
        <f aca="false">IF($B1956="","",MAX(F1956-G1956,0))</f>
        <v/>
      </c>
      <c r="J1956" s="23" t="str">
        <f aca="false">IF($B1956="","",IFERROR(INDEX(고객사!$G$5:$G$104,MATCH($B1956,고객사!$A$5:$A$104,0)),""))</f>
        <v/>
      </c>
      <c r="K1956" s="16"/>
      <c r="L1956" s="22" t="str">
        <f aca="false">IF($B1956="","",K1956*IFERROR(INDEX(고객사!$L$5:$L$104,MATCH($B1956,고객사!$A$5:$A$104,0)),0))</f>
        <v/>
      </c>
      <c r="M1956" s="23" t="str">
        <f aca="false">IF($B1956="","",IF(AND(J1956="N",G1956&gt;0,K1956=0,IFERROR(INDEX(고객사!$H$5:$H$104,MATCH($B1956,고객사!$A$5:$A$104,0)),"")="자사 차량 운행"),"차량 미배정",""))</f>
        <v/>
      </c>
      <c r="N1956" s="22" t="str">
        <f aca="false">IF($B1956="","",IFERROR(INDEX(고객사!$J$5:$J$104,MATCH($B1956,고객사!$A$5:$A$104,0)),0))</f>
        <v/>
      </c>
      <c r="O1956" s="22" t="str">
        <f aca="false">IF($B1956="","",G1956*N1956)</f>
        <v/>
      </c>
      <c r="P1956" s="22" t="str">
        <f aca="false">IF($B1956="","",IFERROR(INDEX(고객사!$K$5:$K$104,MATCH($B1956,고객사!$A$5:$A$104,0)),0))</f>
        <v/>
      </c>
      <c r="Q1956" s="22" t="str">
        <f aca="false">IF($B1956="","",G1956*P1956)</f>
        <v/>
      </c>
      <c r="R1956" s="22" t="str">
        <f aca="false">IF($B1956="","",O1956-Q1956-L1956)</f>
        <v/>
      </c>
      <c r="S1956" s="21" t="str">
        <f aca="false">IF(OR($B1956="",N(O1956)=0),"",R1956/O1956)</f>
        <v/>
      </c>
      <c r="T1956" s="14"/>
      <c r="U1956" s="19" t="n">
        <f aca="false">IF(OR($B1956="",$A1956=""),0,IF(COUNTIFS($A$5:$A1956,$A1956,$B$5:$B1956,$B1956)=1,1,0))</f>
        <v>0</v>
      </c>
    </row>
    <row r="1957" customFormat="false" ht="15" hidden="false" customHeight="false" outlineLevel="0" collapsed="false">
      <c r="A1957" s="17"/>
      <c r="B1957" s="13"/>
      <c r="C1957" s="20" t="str">
        <f aca="false">IF($B1957="","",IFERROR(INDEX(고객사!$B$5:$B$104,MATCH($B1957,고객사!$A$5:$A$104,0)),"코드 확인"))</f>
        <v/>
      </c>
      <c r="D1957" s="15"/>
      <c r="E1957" s="15"/>
      <c r="F1957" s="16"/>
      <c r="G1957" s="16"/>
      <c r="H1957" s="21" t="str">
        <f aca="false">IF(OR($B1957="",F1957=0),"",G1957/F1957)</f>
        <v/>
      </c>
      <c r="I1957" s="22" t="str">
        <f aca="false">IF($B1957="","",MAX(F1957-G1957,0))</f>
        <v/>
      </c>
      <c r="J1957" s="23" t="str">
        <f aca="false">IF($B1957="","",IFERROR(INDEX(고객사!$G$5:$G$104,MATCH($B1957,고객사!$A$5:$A$104,0)),""))</f>
        <v/>
      </c>
      <c r="K1957" s="16"/>
      <c r="L1957" s="22" t="str">
        <f aca="false">IF($B1957="","",K1957*IFERROR(INDEX(고객사!$L$5:$L$104,MATCH($B1957,고객사!$A$5:$A$104,0)),0))</f>
        <v/>
      </c>
      <c r="M1957" s="23" t="str">
        <f aca="false">IF($B1957="","",IF(AND(J1957="N",G1957&gt;0,K1957=0,IFERROR(INDEX(고객사!$H$5:$H$104,MATCH($B1957,고객사!$A$5:$A$104,0)),"")="자사 차량 운행"),"차량 미배정",""))</f>
        <v/>
      </c>
      <c r="N1957" s="22" t="str">
        <f aca="false">IF($B1957="","",IFERROR(INDEX(고객사!$J$5:$J$104,MATCH($B1957,고객사!$A$5:$A$104,0)),0))</f>
        <v/>
      </c>
      <c r="O1957" s="22" t="str">
        <f aca="false">IF($B1957="","",G1957*N1957)</f>
        <v/>
      </c>
      <c r="P1957" s="22" t="str">
        <f aca="false">IF($B1957="","",IFERROR(INDEX(고객사!$K$5:$K$104,MATCH($B1957,고객사!$A$5:$A$104,0)),0))</f>
        <v/>
      </c>
      <c r="Q1957" s="22" t="str">
        <f aca="false">IF($B1957="","",G1957*P1957)</f>
        <v/>
      </c>
      <c r="R1957" s="22" t="str">
        <f aca="false">IF($B1957="","",O1957-Q1957-L1957)</f>
        <v/>
      </c>
      <c r="S1957" s="21" t="str">
        <f aca="false">IF(OR($B1957="",N(O1957)=0),"",R1957/O1957)</f>
        <v/>
      </c>
      <c r="T1957" s="14"/>
      <c r="U1957" s="19" t="n">
        <f aca="false">IF(OR($B1957="",$A1957=""),0,IF(COUNTIFS($A$5:$A1957,$A1957,$B$5:$B1957,$B1957)=1,1,0))</f>
        <v>0</v>
      </c>
    </row>
    <row r="1958" customFormat="false" ht="15" hidden="false" customHeight="false" outlineLevel="0" collapsed="false">
      <c r="A1958" s="17"/>
      <c r="B1958" s="13"/>
      <c r="C1958" s="20" t="str">
        <f aca="false">IF($B1958="","",IFERROR(INDEX(고객사!$B$5:$B$104,MATCH($B1958,고객사!$A$5:$A$104,0)),"코드 확인"))</f>
        <v/>
      </c>
      <c r="D1958" s="15"/>
      <c r="E1958" s="15"/>
      <c r="F1958" s="16"/>
      <c r="G1958" s="16"/>
      <c r="H1958" s="21" t="str">
        <f aca="false">IF(OR($B1958="",F1958=0),"",G1958/F1958)</f>
        <v/>
      </c>
      <c r="I1958" s="22" t="str">
        <f aca="false">IF($B1958="","",MAX(F1958-G1958,0))</f>
        <v/>
      </c>
      <c r="J1958" s="23" t="str">
        <f aca="false">IF($B1958="","",IFERROR(INDEX(고객사!$G$5:$G$104,MATCH($B1958,고객사!$A$5:$A$104,0)),""))</f>
        <v/>
      </c>
      <c r="K1958" s="16"/>
      <c r="L1958" s="22" t="str">
        <f aca="false">IF($B1958="","",K1958*IFERROR(INDEX(고객사!$L$5:$L$104,MATCH($B1958,고객사!$A$5:$A$104,0)),0))</f>
        <v/>
      </c>
      <c r="M1958" s="23" t="str">
        <f aca="false">IF($B1958="","",IF(AND(J1958="N",G1958&gt;0,K1958=0,IFERROR(INDEX(고객사!$H$5:$H$104,MATCH($B1958,고객사!$A$5:$A$104,0)),"")="자사 차량 운행"),"차량 미배정",""))</f>
        <v/>
      </c>
      <c r="N1958" s="22" t="str">
        <f aca="false">IF($B1958="","",IFERROR(INDEX(고객사!$J$5:$J$104,MATCH($B1958,고객사!$A$5:$A$104,0)),0))</f>
        <v/>
      </c>
      <c r="O1958" s="22" t="str">
        <f aca="false">IF($B1958="","",G1958*N1958)</f>
        <v/>
      </c>
      <c r="P1958" s="22" t="str">
        <f aca="false">IF($B1958="","",IFERROR(INDEX(고객사!$K$5:$K$104,MATCH($B1958,고객사!$A$5:$A$104,0)),0))</f>
        <v/>
      </c>
      <c r="Q1958" s="22" t="str">
        <f aca="false">IF($B1958="","",G1958*P1958)</f>
        <v/>
      </c>
      <c r="R1958" s="22" t="str">
        <f aca="false">IF($B1958="","",O1958-Q1958-L1958)</f>
        <v/>
      </c>
      <c r="S1958" s="21" t="str">
        <f aca="false">IF(OR($B1958="",N(O1958)=0),"",R1958/O1958)</f>
        <v/>
      </c>
      <c r="T1958" s="14"/>
      <c r="U1958" s="19" t="n">
        <f aca="false">IF(OR($B1958="",$A1958=""),0,IF(COUNTIFS($A$5:$A1958,$A1958,$B$5:$B1958,$B1958)=1,1,0))</f>
        <v>0</v>
      </c>
    </row>
    <row r="1959" customFormat="false" ht="15" hidden="false" customHeight="false" outlineLevel="0" collapsed="false">
      <c r="A1959" s="17"/>
      <c r="B1959" s="13"/>
      <c r="C1959" s="20" t="str">
        <f aca="false">IF($B1959="","",IFERROR(INDEX(고객사!$B$5:$B$104,MATCH($B1959,고객사!$A$5:$A$104,0)),"코드 확인"))</f>
        <v/>
      </c>
      <c r="D1959" s="15"/>
      <c r="E1959" s="15"/>
      <c r="F1959" s="16"/>
      <c r="G1959" s="16"/>
      <c r="H1959" s="21" t="str">
        <f aca="false">IF(OR($B1959="",F1959=0),"",G1959/F1959)</f>
        <v/>
      </c>
      <c r="I1959" s="22" t="str">
        <f aca="false">IF($B1959="","",MAX(F1959-G1959,0))</f>
        <v/>
      </c>
      <c r="J1959" s="23" t="str">
        <f aca="false">IF($B1959="","",IFERROR(INDEX(고객사!$G$5:$G$104,MATCH($B1959,고객사!$A$5:$A$104,0)),""))</f>
        <v/>
      </c>
      <c r="K1959" s="16"/>
      <c r="L1959" s="22" t="str">
        <f aca="false">IF($B1959="","",K1959*IFERROR(INDEX(고객사!$L$5:$L$104,MATCH($B1959,고객사!$A$5:$A$104,0)),0))</f>
        <v/>
      </c>
      <c r="M1959" s="23" t="str">
        <f aca="false">IF($B1959="","",IF(AND(J1959="N",G1959&gt;0,K1959=0,IFERROR(INDEX(고객사!$H$5:$H$104,MATCH($B1959,고객사!$A$5:$A$104,0)),"")="자사 차량 운행"),"차량 미배정",""))</f>
        <v/>
      </c>
      <c r="N1959" s="22" t="str">
        <f aca="false">IF($B1959="","",IFERROR(INDEX(고객사!$J$5:$J$104,MATCH($B1959,고객사!$A$5:$A$104,0)),0))</f>
        <v/>
      </c>
      <c r="O1959" s="22" t="str">
        <f aca="false">IF($B1959="","",G1959*N1959)</f>
        <v/>
      </c>
      <c r="P1959" s="22" t="str">
        <f aca="false">IF($B1959="","",IFERROR(INDEX(고객사!$K$5:$K$104,MATCH($B1959,고객사!$A$5:$A$104,0)),0))</f>
        <v/>
      </c>
      <c r="Q1959" s="22" t="str">
        <f aca="false">IF($B1959="","",G1959*P1959)</f>
        <v/>
      </c>
      <c r="R1959" s="22" t="str">
        <f aca="false">IF($B1959="","",O1959-Q1959-L1959)</f>
        <v/>
      </c>
      <c r="S1959" s="21" t="str">
        <f aca="false">IF(OR($B1959="",N(O1959)=0),"",R1959/O1959)</f>
        <v/>
      </c>
      <c r="T1959" s="14"/>
      <c r="U1959" s="19" t="n">
        <f aca="false">IF(OR($B1959="",$A1959=""),0,IF(COUNTIFS($A$5:$A1959,$A1959,$B$5:$B1959,$B1959)=1,1,0))</f>
        <v>0</v>
      </c>
    </row>
    <row r="1960" customFormat="false" ht="15" hidden="false" customHeight="false" outlineLevel="0" collapsed="false">
      <c r="A1960" s="17"/>
      <c r="B1960" s="13"/>
      <c r="C1960" s="20" t="str">
        <f aca="false">IF($B1960="","",IFERROR(INDEX(고객사!$B$5:$B$104,MATCH($B1960,고객사!$A$5:$A$104,0)),"코드 확인"))</f>
        <v/>
      </c>
      <c r="D1960" s="15"/>
      <c r="E1960" s="15"/>
      <c r="F1960" s="16"/>
      <c r="G1960" s="16"/>
      <c r="H1960" s="21" t="str">
        <f aca="false">IF(OR($B1960="",F1960=0),"",G1960/F1960)</f>
        <v/>
      </c>
      <c r="I1960" s="22" t="str">
        <f aca="false">IF($B1960="","",MAX(F1960-G1960,0))</f>
        <v/>
      </c>
      <c r="J1960" s="23" t="str">
        <f aca="false">IF($B1960="","",IFERROR(INDEX(고객사!$G$5:$G$104,MATCH($B1960,고객사!$A$5:$A$104,0)),""))</f>
        <v/>
      </c>
      <c r="K1960" s="16"/>
      <c r="L1960" s="22" t="str">
        <f aca="false">IF($B1960="","",K1960*IFERROR(INDEX(고객사!$L$5:$L$104,MATCH($B1960,고객사!$A$5:$A$104,0)),0))</f>
        <v/>
      </c>
      <c r="M1960" s="23" t="str">
        <f aca="false">IF($B1960="","",IF(AND(J1960="N",G1960&gt;0,K1960=0,IFERROR(INDEX(고객사!$H$5:$H$104,MATCH($B1960,고객사!$A$5:$A$104,0)),"")="자사 차량 운행"),"차량 미배정",""))</f>
        <v/>
      </c>
      <c r="N1960" s="22" t="str">
        <f aca="false">IF($B1960="","",IFERROR(INDEX(고객사!$J$5:$J$104,MATCH($B1960,고객사!$A$5:$A$104,0)),0))</f>
        <v/>
      </c>
      <c r="O1960" s="22" t="str">
        <f aca="false">IF($B1960="","",G1960*N1960)</f>
        <v/>
      </c>
      <c r="P1960" s="22" t="str">
        <f aca="false">IF($B1960="","",IFERROR(INDEX(고객사!$K$5:$K$104,MATCH($B1960,고객사!$A$5:$A$104,0)),0))</f>
        <v/>
      </c>
      <c r="Q1960" s="22" t="str">
        <f aca="false">IF($B1960="","",G1960*P1960)</f>
        <v/>
      </c>
      <c r="R1960" s="22" t="str">
        <f aca="false">IF($B1960="","",O1960-Q1960-L1960)</f>
        <v/>
      </c>
      <c r="S1960" s="21" t="str">
        <f aca="false">IF(OR($B1960="",N(O1960)=0),"",R1960/O1960)</f>
        <v/>
      </c>
      <c r="T1960" s="14"/>
      <c r="U1960" s="19" t="n">
        <f aca="false">IF(OR($B1960="",$A1960=""),0,IF(COUNTIFS($A$5:$A1960,$A1960,$B$5:$B1960,$B1960)=1,1,0))</f>
        <v>0</v>
      </c>
    </row>
    <row r="1961" customFormat="false" ht="15" hidden="false" customHeight="false" outlineLevel="0" collapsed="false">
      <c r="A1961" s="17"/>
      <c r="B1961" s="13"/>
      <c r="C1961" s="20" t="str">
        <f aca="false">IF($B1961="","",IFERROR(INDEX(고객사!$B$5:$B$104,MATCH($B1961,고객사!$A$5:$A$104,0)),"코드 확인"))</f>
        <v/>
      </c>
      <c r="D1961" s="15"/>
      <c r="E1961" s="15"/>
      <c r="F1961" s="16"/>
      <c r="G1961" s="16"/>
      <c r="H1961" s="21" t="str">
        <f aca="false">IF(OR($B1961="",F1961=0),"",G1961/F1961)</f>
        <v/>
      </c>
      <c r="I1961" s="22" t="str">
        <f aca="false">IF($B1961="","",MAX(F1961-G1961,0))</f>
        <v/>
      </c>
      <c r="J1961" s="23" t="str">
        <f aca="false">IF($B1961="","",IFERROR(INDEX(고객사!$G$5:$G$104,MATCH($B1961,고객사!$A$5:$A$104,0)),""))</f>
        <v/>
      </c>
      <c r="K1961" s="16"/>
      <c r="L1961" s="22" t="str">
        <f aca="false">IF($B1961="","",K1961*IFERROR(INDEX(고객사!$L$5:$L$104,MATCH($B1961,고객사!$A$5:$A$104,0)),0))</f>
        <v/>
      </c>
      <c r="M1961" s="23" t="str">
        <f aca="false">IF($B1961="","",IF(AND(J1961="N",G1961&gt;0,K1961=0,IFERROR(INDEX(고객사!$H$5:$H$104,MATCH($B1961,고객사!$A$5:$A$104,0)),"")="자사 차량 운행"),"차량 미배정",""))</f>
        <v/>
      </c>
      <c r="N1961" s="22" t="str">
        <f aca="false">IF($B1961="","",IFERROR(INDEX(고객사!$J$5:$J$104,MATCH($B1961,고객사!$A$5:$A$104,0)),0))</f>
        <v/>
      </c>
      <c r="O1961" s="22" t="str">
        <f aca="false">IF($B1961="","",G1961*N1961)</f>
        <v/>
      </c>
      <c r="P1961" s="22" t="str">
        <f aca="false">IF($B1961="","",IFERROR(INDEX(고객사!$K$5:$K$104,MATCH($B1961,고객사!$A$5:$A$104,0)),0))</f>
        <v/>
      </c>
      <c r="Q1961" s="22" t="str">
        <f aca="false">IF($B1961="","",G1961*P1961)</f>
        <v/>
      </c>
      <c r="R1961" s="22" t="str">
        <f aca="false">IF($B1961="","",O1961-Q1961-L1961)</f>
        <v/>
      </c>
      <c r="S1961" s="21" t="str">
        <f aca="false">IF(OR($B1961="",N(O1961)=0),"",R1961/O1961)</f>
        <v/>
      </c>
      <c r="T1961" s="14"/>
      <c r="U1961" s="19" t="n">
        <f aca="false">IF(OR($B1961="",$A1961=""),0,IF(COUNTIFS($A$5:$A1961,$A1961,$B$5:$B1961,$B1961)=1,1,0))</f>
        <v>0</v>
      </c>
    </row>
    <row r="1962" customFormat="false" ht="15" hidden="false" customHeight="false" outlineLevel="0" collapsed="false">
      <c r="A1962" s="17"/>
      <c r="B1962" s="13"/>
      <c r="C1962" s="20" t="str">
        <f aca="false">IF($B1962="","",IFERROR(INDEX(고객사!$B$5:$B$104,MATCH($B1962,고객사!$A$5:$A$104,0)),"코드 확인"))</f>
        <v/>
      </c>
      <c r="D1962" s="15"/>
      <c r="E1962" s="15"/>
      <c r="F1962" s="16"/>
      <c r="G1962" s="16"/>
      <c r="H1962" s="21" t="str">
        <f aca="false">IF(OR($B1962="",F1962=0),"",G1962/F1962)</f>
        <v/>
      </c>
      <c r="I1962" s="22" t="str">
        <f aca="false">IF($B1962="","",MAX(F1962-G1962,0))</f>
        <v/>
      </c>
      <c r="J1962" s="23" t="str">
        <f aca="false">IF($B1962="","",IFERROR(INDEX(고객사!$G$5:$G$104,MATCH($B1962,고객사!$A$5:$A$104,0)),""))</f>
        <v/>
      </c>
      <c r="K1962" s="16"/>
      <c r="L1962" s="22" t="str">
        <f aca="false">IF($B1962="","",K1962*IFERROR(INDEX(고객사!$L$5:$L$104,MATCH($B1962,고객사!$A$5:$A$104,0)),0))</f>
        <v/>
      </c>
      <c r="M1962" s="23" t="str">
        <f aca="false">IF($B1962="","",IF(AND(J1962="N",G1962&gt;0,K1962=0,IFERROR(INDEX(고객사!$H$5:$H$104,MATCH($B1962,고객사!$A$5:$A$104,0)),"")="자사 차량 운행"),"차량 미배정",""))</f>
        <v/>
      </c>
      <c r="N1962" s="22" t="str">
        <f aca="false">IF($B1962="","",IFERROR(INDEX(고객사!$J$5:$J$104,MATCH($B1962,고객사!$A$5:$A$104,0)),0))</f>
        <v/>
      </c>
      <c r="O1962" s="22" t="str">
        <f aca="false">IF($B1962="","",G1962*N1962)</f>
        <v/>
      </c>
      <c r="P1962" s="22" t="str">
        <f aca="false">IF($B1962="","",IFERROR(INDEX(고객사!$K$5:$K$104,MATCH($B1962,고객사!$A$5:$A$104,0)),0))</f>
        <v/>
      </c>
      <c r="Q1962" s="22" t="str">
        <f aca="false">IF($B1962="","",G1962*P1962)</f>
        <v/>
      </c>
      <c r="R1962" s="22" t="str">
        <f aca="false">IF($B1962="","",O1962-Q1962-L1962)</f>
        <v/>
      </c>
      <c r="S1962" s="21" t="str">
        <f aca="false">IF(OR($B1962="",N(O1962)=0),"",R1962/O1962)</f>
        <v/>
      </c>
      <c r="T1962" s="14"/>
      <c r="U1962" s="19" t="n">
        <f aca="false">IF(OR($B1962="",$A1962=""),0,IF(COUNTIFS($A$5:$A1962,$A1962,$B$5:$B1962,$B1962)=1,1,0))</f>
        <v>0</v>
      </c>
    </row>
    <row r="1963" customFormat="false" ht="15" hidden="false" customHeight="false" outlineLevel="0" collapsed="false">
      <c r="A1963" s="17"/>
      <c r="B1963" s="13"/>
      <c r="C1963" s="20" t="str">
        <f aca="false">IF($B1963="","",IFERROR(INDEX(고객사!$B$5:$B$104,MATCH($B1963,고객사!$A$5:$A$104,0)),"코드 확인"))</f>
        <v/>
      </c>
      <c r="D1963" s="15"/>
      <c r="E1963" s="15"/>
      <c r="F1963" s="16"/>
      <c r="G1963" s="16"/>
      <c r="H1963" s="21" t="str">
        <f aca="false">IF(OR($B1963="",F1963=0),"",G1963/F1963)</f>
        <v/>
      </c>
      <c r="I1963" s="22" t="str">
        <f aca="false">IF($B1963="","",MAX(F1963-G1963,0))</f>
        <v/>
      </c>
      <c r="J1963" s="23" t="str">
        <f aca="false">IF($B1963="","",IFERROR(INDEX(고객사!$G$5:$G$104,MATCH($B1963,고객사!$A$5:$A$104,0)),""))</f>
        <v/>
      </c>
      <c r="K1963" s="16"/>
      <c r="L1963" s="22" t="str">
        <f aca="false">IF($B1963="","",K1963*IFERROR(INDEX(고객사!$L$5:$L$104,MATCH($B1963,고객사!$A$5:$A$104,0)),0))</f>
        <v/>
      </c>
      <c r="M1963" s="23" t="str">
        <f aca="false">IF($B1963="","",IF(AND(J1963="N",G1963&gt;0,K1963=0,IFERROR(INDEX(고객사!$H$5:$H$104,MATCH($B1963,고객사!$A$5:$A$104,0)),"")="자사 차량 운행"),"차량 미배정",""))</f>
        <v/>
      </c>
      <c r="N1963" s="22" t="str">
        <f aca="false">IF($B1963="","",IFERROR(INDEX(고객사!$J$5:$J$104,MATCH($B1963,고객사!$A$5:$A$104,0)),0))</f>
        <v/>
      </c>
      <c r="O1963" s="22" t="str">
        <f aca="false">IF($B1963="","",G1963*N1963)</f>
        <v/>
      </c>
      <c r="P1963" s="22" t="str">
        <f aca="false">IF($B1963="","",IFERROR(INDEX(고객사!$K$5:$K$104,MATCH($B1963,고객사!$A$5:$A$104,0)),0))</f>
        <v/>
      </c>
      <c r="Q1963" s="22" t="str">
        <f aca="false">IF($B1963="","",G1963*P1963)</f>
        <v/>
      </c>
      <c r="R1963" s="22" t="str">
        <f aca="false">IF($B1963="","",O1963-Q1963-L1963)</f>
        <v/>
      </c>
      <c r="S1963" s="21" t="str">
        <f aca="false">IF(OR($B1963="",N(O1963)=0),"",R1963/O1963)</f>
        <v/>
      </c>
      <c r="T1963" s="14"/>
      <c r="U1963" s="19" t="n">
        <f aca="false">IF(OR($B1963="",$A1963=""),0,IF(COUNTIFS($A$5:$A1963,$A1963,$B$5:$B1963,$B1963)=1,1,0))</f>
        <v>0</v>
      </c>
    </row>
    <row r="1964" customFormat="false" ht="15" hidden="false" customHeight="false" outlineLevel="0" collapsed="false">
      <c r="A1964" s="17"/>
      <c r="B1964" s="13"/>
      <c r="C1964" s="20" t="str">
        <f aca="false">IF($B1964="","",IFERROR(INDEX(고객사!$B$5:$B$104,MATCH($B1964,고객사!$A$5:$A$104,0)),"코드 확인"))</f>
        <v/>
      </c>
      <c r="D1964" s="15"/>
      <c r="E1964" s="15"/>
      <c r="F1964" s="16"/>
      <c r="G1964" s="16"/>
      <c r="H1964" s="21" t="str">
        <f aca="false">IF(OR($B1964="",F1964=0),"",G1964/F1964)</f>
        <v/>
      </c>
      <c r="I1964" s="22" t="str">
        <f aca="false">IF($B1964="","",MAX(F1964-G1964,0))</f>
        <v/>
      </c>
      <c r="J1964" s="23" t="str">
        <f aca="false">IF($B1964="","",IFERROR(INDEX(고객사!$G$5:$G$104,MATCH($B1964,고객사!$A$5:$A$104,0)),""))</f>
        <v/>
      </c>
      <c r="K1964" s="16"/>
      <c r="L1964" s="22" t="str">
        <f aca="false">IF($B1964="","",K1964*IFERROR(INDEX(고객사!$L$5:$L$104,MATCH($B1964,고객사!$A$5:$A$104,0)),0))</f>
        <v/>
      </c>
      <c r="M1964" s="23" t="str">
        <f aca="false">IF($B1964="","",IF(AND(J1964="N",G1964&gt;0,K1964=0,IFERROR(INDEX(고객사!$H$5:$H$104,MATCH($B1964,고객사!$A$5:$A$104,0)),"")="자사 차량 운행"),"차량 미배정",""))</f>
        <v/>
      </c>
      <c r="N1964" s="22" t="str">
        <f aca="false">IF($B1964="","",IFERROR(INDEX(고객사!$J$5:$J$104,MATCH($B1964,고객사!$A$5:$A$104,0)),0))</f>
        <v/>
      </c>
      <c r="O1964" s="22" t="str">
        <f aca="false">IF($B1964="","",G1964*N1964)</f>
        <v/>
      </c>
      <c r="P1964" s="22" t="str">
        <f aca="false">IF($B1964="","",IFERROR(INDEX(고객사!$K$5:$K$104,MATCH($B1964,고객사!$A$5:$A$104,0)),0))</f>
        <v/>
      </c>
      <c r="Q1964" s="22" t="str">
        <f aca="false">IF($B1964="","",G1964*P1964)</f>
        <v/>
      </c>
      <c r="R1964" s="22" t="str">
        <f aca="false">IF($B1964="","",O1964-Q1964-L1964)</f>
        <v/>
      </c>
      <c r="S1964" s="21" t="str">
        <f aca="false">IF(OR($B1964="",N(O1964)=0),"",R1964/O1964)</f>
        <v/>
      </c>
      <c r="T1964" s="14"/>
      <c r="U1964" s="19" t="n">
        <f aca="false">IF(OR($B1964="",$A1964=""),0,IF(COUNTIFS($A$5:$A1964,$A1964,$B$5:$B1964,$B1964)=1,1,0))</f>
        <v>0</v>
      </c>
    </row>
    <row r="1965" customFormat="false" ht="15" hidden="false" customHeight="false" outlineLevel="0" collapsed="false">
      <c r="A1965" s="17"/>
      <c r="B1965" s="13"/>
      <c r="C1965" s="20" t="str">
        <f aca="false">IF($B1965="","",IFERROR(INDEX(고객사!$B$5:$B$104,MATCH($B1965,고객사!$A$5:$A$104,0)),"코드 확인"))</f>
        <v/>
      </c>
      <c r="D1965" s="15"/>
      <c r="E1965" s="15"/>
      <c r="F1965" s="16"/>
      <c r="G1965" s="16"/>
      <c r="H1965" s="21" t="str">
        <f aca="false">IF(OR($B1965="",F1965=0),"",G1965/F1965)</f>
        <v/>
      </c>
      <c r="I1965" s="22" t="str">
        <f aca="false">IF($B1965="","",MAX(F1965-G1965,0))</f>
        <v/>
      </c>
      <c r="J1965" s="23" t="str">
        <f aca="false">IF($B1965="","",IFERROR(INDEX(고객사!$G$5:$G$104,MATCH($B1965,고객사!$A$5:$A$104,0)),""))</f>
        <v/>
      </c>
      <c r="K1965" s="16"/>
      <c r="L1965" s="22" t="str">
        <f aca="false">IF($B1965="","",K1965*IFERROR(INDEX(고객사!$L$5:$L$104,MATCH($B1965,고객사!$A$5:$A$104,0)),0))</f>
        <v/>
      </c>
      <c r="M1965" s="23" t="str">
        <f aca="false">IF($B1965="","",IF(AND(J1965="N",G1965&gt;0,K1965=0,IFERROR(INDEX(고객사!$H$5:$H$104,MATCH($B1965,고객사!$A$5:$A$104,0)),"")="자사 차량 운행"),"차량 미배정",""))</f>
        <v/>
      </c>
      <c r="N1965" s="22" t="str">
        <f aca="false">IF($B1965="","",IFERROR(INDEX(고객사!$J$5:$J$104,MATCH($B1965,고객사!$A$5:$A$104,0)),0))</f>
        <v/>
      </c>
      <c r="O1965" s="22" t="str">
        <f aca="false">IF($B1965="","",G1965*N1965)</f>
        <v/>
      </c>
      <c r="P1965" s="22" t="str">
        <f aca="false">IF($B1965="","",IFERROR(INDEX(고객사!$K$5:$K$104,MATCH($B1965,고객사!$A$5:$A$104,0)),0))</f>
        <v/>
      </c>
      <c r="Q1965" s="22" t="str">
        <f aca="false">IF($B1965="","",G1965*P1965)</f>
        <v/>
      </c>
      <c r="R1965" s="22" t="str">
        <f aca="false">IF($B1965="","",O1965-Q1965-L1965)</f>
        <v/>
      </c>
      <c r="S1965" s="21" t="str">
        <f aca="false">IF(OR($B1965="",N(O1965)=0),"",R1965/O1965)</f>
        <v/>
      </c>
      <c r="T1965" s="14"/>
      <c r="U1965" s="19" t="n">
        <f aca="false">IF(OR($B1965="",$A1965=""),0,IF(COUNTIFS($A$5:$A1965,$A1965,$B$5:$B1965,$B1965)=1,1,0))</f>
        <v>0</v>
      </c>
    </row>
    <row r="1966" customFormat="false" ht="15" hidden="false" customHeight="false" outlineLevel="0" collapsed="false">
      <c r="A1966" s="17"/>
      <c r="B1966" s="13"/>
      <c r="C1966" s="20" t="str">
        <f aca="false">IF($B1966="","",IFERROR(INDEX(고객사!$B$5:$B$104,MATCH($B1966,고객사!$A$5:$A$104,0)),"코드 확인"))</f>
        <v/>
      </c>
      <c r="D1966" s="15"/>
      <c r="E1966" s="15"/>
      <c r="F1966" s="16"/>
      <c r="G1966" s="16"/>
      <c r="H1966" s="21" t="str">
        <f aca="false">IF(OR($B1966="",F1966=0),"",G1966/F1966)</f>
        <v/>
      </c>
      <c r="I1966" s="22" t="str">
        <f aca="false">IF($B1966="","",MAX(F1966-G1966,0))</f>
        <v/>
      </c>
      <c r="J1966" s="23" t="str">
        <f aca="false">IF($B1966="","",IFERROR(INDEX(고객사!$G$5:$G$104,MATCH($B1966,고객사!$A$5:$A$104,0)),""))</f>
        <v/>
      </c>
      <c r="K1966" s="16"/>
      <c r="L1966" s="22" t="str">
        <f aca="false">IF($B1966="","",K1966*IFERROR(INDEX(고객사!$L$5:$L$104,MATCH($B1966,고객사!$A$5:$A$104,0)),0))</f>
        <v/>
      </c>
      <c r="M1966" s="23" t="str">
        <f aca="false">IF($B1966="","",IF(AND(J1966="N",G1966&gt;0,K1966=0,IFERROR(INDEX(고객사!$H$5:$H$104,MATCH($B1966,고객사!$A$5:$A$104,0)),"")="자사 차량 운행"),"차량 미배정",""))</f>
        <v/>
      </c>
      <c r="N1966" s="22" t="str">
        <f aca="false">IF($B1966="","",IFERROR(INDEX(고객사!$J$5:$J$104,MATCH($B1966,고객사!$A$5:$A$104,0)),0))</f>
        <v/>
      </c>
      <c r="O1966" s="22" t="str">
        <f aca="false">IF($B1966="","",G1966*N1966)</f>
        <v/>
      </c>
      <c r="P1966" s="22" t="str">
        <f aca="false">IF($B1966="","",IFERROR(INDEX(고객사!$K$5:$K$104,MATCH($B1966,고객사!$A$5:$A$104,0)),0))</f>
        <v/>
      </c>
      <c r="Q1966" s="22" t="str">
        <f aca="false">IF($B1966="","",G1966*P1966)</f>
        <v/>
      </c>
      <c r="R1966" s="22" t="str">
        <f aca="false">IF($B1966="","",O1966-Q1966-L1966)</f>
        <v/>
      </c>
      <c r="S1966" s="21" t="str">
        <f aca="false">IF(OR($B1966="",N(O1966)=0),"",R1966/O1966)</f>
        <v/>
      </c>
      <c r="T1966" s="14"/>
      <c r="U1966" s="19" t="n">
        <f aca="false">IF(OR($B1966="",$A1966=""),0,IF(COUNTIFS($A$5:$A1966,$A1966,$B$5:$B1966,$B1966)=1,1,0))</f>
        <v>0</v>
      </c>
    </row>
    <row r="1967" customFormat="false" ht="15" hidden="false" customHeight="false" outlineLevel="0" collapsed="false">
      <c r="A1967" s="17"/>
      <c r="B1967" s="13"/>
      <c r="C1967" s="20" t="str">
        <f aca="false">IF($B1967="","",IFERROR(INDEX(고객사!$B$5:$B$104,MATCH($B1967,고객사!$A$5:$A$104,0)),"코드 확인"))</f>
        <v/>
      </c>
      <c r="D1967" s="15"/>
      <c r="E1967" s="15"/>
      <c r="F1967" s="16"/>
      <c r="G1967" s="16"/>
      <c r="H1967" s="21" t="str">
        <f aca="false">IF(OR($B1967="",F1967=0),"",G1967/F1967)</f>
        <v/>
      </c>
      <c r="I1967" s="22" t="str">
        <f aca="false">IF($B1967="","",MAX(F1967-G1967,0))</f>
        <v/>
      </c>
      <c r="J1967" s="23" t="str">
        <f aca="false">IF($B1967="","",IFERROR(INDEX(고객사!$G$5:$G$104,MATCH($B1967,고객사!$A$5:$A$104,0)),""))</f>
        <v/>
      </c>
      <c r="K1967" s="16"/>
      <c r="L1967" s="22" t="str">
        <f aca="false">IF($B1967="","",K1967*IFERROR(INDEX(고객사!$L$5:$L$104,MATCH($B1967,고객사!$A$5:$A$104,0)),0))</f>
        <v/>
      </c>
      <c r="M1967" s="23" t="str">
        <f aca="false">IF($B1967="","",IF(AND(J1967="N",G1967&gt;0,K1967=0,IFERROR(INDEX(고객사!$H$5:$H$104,MATCH($B1967,고객사!$A$5:$A$104,0)),"")="자사 차량 운행"),"차량 미배정",""))</f>
        <v/>
      </c>
      <c r="N1967" s="22" t="str">
        <f aca="false">IF($B1967="","",IFERROR(INDEX(고객사!$J$5:$J$104,MATCH($B1967,고객사!$A$5:$A$104,0)),0))</f>
        <v/>
      </c>
      <c r="O1967" s="22" t="str">
        <f aca="false">IF($B1967="","",G1967*N1967)</f>
        <v/>
      </c>
      <c r="P1967" s="22" t="str">
        <f aca="false">IF($B1967="","",IFERROR(INDEX(고객사!$K$5:$K$104,MATCH($B1967,고객사!$A$5:$A$104,0)),0))</f>
        <v/>
      </c>
      <c r="Q1967" s="22" t="str">
        <f aca="false">IF($B1967="","",G1967*P1967)</f>
        <v/>
      </c>
      <c r="R1967" s="22" t="str">
        <f aca="false">IF($B1967="","",O1967-Q1967-L1967)</f>
        <v/>
      </c>
      <c r="S1967" s="21" t="str">
        <f aca="false">IF(OR($B1967="",N(O1967)=0),"",R1967/O1967)</f>
        <v/>
      </c>
      <c r="T1967" s="14"/>
      <c r="U1967" s="19" t="n">
        <f aca="false">IF(OR($B1967="",$A1967=""),0,IF(COUNTIFS($A$5:$A1967,$A1967,$B$5:$B1967,$B1967)=1,1,0))</f>
        <v>0</v>
      </c>
    </row>
    <row r="1968" customFormat="false" ht="15" hidden="false" customHeight="false" outlineLevel="0" collapsed="false">
      <c r="A1968" s="17"/>
      <c r="B1968" s="13"/>
      <c r="C1968" s="20" t="str">
        <f aca="false">IF($B1968="","",IFERROR(INDEX(고객사!$B$5:$B$104,MATCH($B1968,고객사!$A$5:$A$104,0)),"코드 확인"))</f>
        <v/>
      </c>
      <c r="D1968" s="15"/>
      <c r="E1968" s="15"/>
      <c r="F1968" s="16"/>
      <c r="G1968" s="16"/>
      <c r="H1968" s="21" t="str">
        <f aca="false">IF(OR($B1968="",F1968=0),"",G1968/F1968)</f>
        <v/>
      </c>
      <c r="I1968" s="22" t="str">
        <f aca="false">IF($B1968="","",MAX(F1968-G1968,0))</f>
        <v/>
      </c>
      <c r="J1968" s="23" t="str">
        <f aca="false">IF($B1968="","",IFERROR(INDEX(고객사!$G$5:$G$104,MATCH($B1968,고객사!$A$5:$A$104,0)),""))</f>
        <v/>
      </c>
      <c r="K1968" s="16"/>
      <c r="L1968" s="22" t="str">
        <f aca="false">IF($B1968="","",K1968*IFERROR(INDEX(고객사!$L$5:$L$104,MATCH($B1968,고객사!$A$5:$A$104,0)),0))</f>
        <v/>
      </c>
      <c r="M1968" s="23" t="str">
        <f aca="false">IF($B1968="","",IF(AND(J1968="N",G1968&gt;0,K1968=0,IFERROR(INDEX(고객사!$H$5:$H$104,MATCH($B1968,고객사!$A$5:$A$104,0)),"")="자사 차량 운행"),"차량 미배정",""))</f>
        <v/>
      </c>
      <c r="N1968" s="22" t="str">
        <f aca="false">IF($B1968="","",IFERROR(INDEX(고객사!$J$5:$J$104,MATCH($B1968,고객사!$A$5:$A$104,0)),0))</f>
        <v/>
      </c>
      <c r="O1968" s="22" t="str">
        <f aca="false">IF($B1968="","",G1968*N1968)</f>
        <v/>
      </c>
      <c r="P1968" s="22" t="str">
        <f aca="false">IF($B1968="","",IFERROR(INDEX(고객사!$K$5:$K$104,MATCH($B1968,고객사!$A$5:$A$104,0)),0))</f>
        <v/>
      </c>
      <c r="Q1968" s="22" t="str">
        <f aca="false">IF($B1968="","",G1968*P1968)</f>
        <v/>
      </c>
      <c r="R1968" s="22" t="str">
        <f aca="false">IF($B1968="","",O1968-Q1968-L1968)</f>
        <v/>
      </c>
      <c r="S1968" s="21" t="str">
        <f aca="false">IF(OR($B1968="",N(O1968)=0),"",R1968/O1968)</f>
        <v/>
      </c>
      <c r="T1968" s="14"/>
      <c r="U1968" s="19" t="n">
        <f aca="false">IF(OR($B1968="",$A1968=""),0,IF(COUNTIFS($A$5:$A1968,$A1968,$B$5:$B1968,$B1968)=1,1,0))</f>
        <v>0</v>
      </c>
    </row>
    <row r="1969" customFormat="false" ht="15" hidden="false" customHeight="false" outlineLevel="0" collapsed="false">
      <c r="A1969" s="17"/>
      <c r="B1969" s="13"/>
      <c r="C1969" s="20" t="str">
        <f aca="false">IF($B1969="","",IFERROR(INDEX(고객사!$B$5:$B$104,MATCH($B1969,고객사!$A$5:$A$104,0)),"코드 확인"))</f>
        <v/>
      </c>
      <c r="D1969" s="15"/>
      <c r="E1969" s="15"/>
      <c r="F1969" s="16"/>
      <c r="G1969" s="16"/>
      <c r="H1969" s="21" t="str">
        <f aca="false">IF(OR($B1969="",F1969=0),"",G1969/F1969)</f>
        <v/>
      </c>
      <c r="I1969" s="22" t="str">
        <f aca="false">IF($B1969="","",MAX(F1969-G1969,0))</f>
        <v/>
      </c>
      <c r="J1969" s="23" t="str">
        <f aca="false">IF($B1969="","",IFERROR(INDEX(고객사!$G$5:$G$104,MATCH($B1969,고객사!$A$5:$A$104,0)),""))</f>
        <v/>
      </c>
      <c r="K1969" s="16"/>
      <c r="L1969" s="22" t="str">
        <f aca="false">IF($B1969="","",K1969*IFERROR(INDEX(고객사!$L$5:$L$104,MATCH($B1969,고객사!$A$5:$A$104,0)),0))</f>
        <v/>
      </c>
      <c r="M1969" s="23" t="str">
        <f aca="false">IF($B1969="","",IF(AND(J1969="N",G1969&gt;0,K1969=0,IFERROR(INDEX(고객사!$H$5:$H$104,MATCH($B1969,고객사!$A$5:$A$104,0)),"")="자사 차량 운행"),"차량 미배정",""))</f>
        <v/>
      </c>
      <c r="N1969" s="22" t="str">
        <f aca="false">IF($B1969="","",IFERROR(INDEX(고객사!$J$5:$J$104,MATCH($B1969,고객사!$A$5:$A$104,0)),0))</f>
        <v/>
      </c>
      <c r="O1969" s="22" t="str">
        <f aca="false">IF($B1969="","",G1969*N1969)</f>
        <v/>
      </c>
      <c r="P1969" s="22" t="str">
        <f aca="false">IF($B1969="","",IFERROR(INDEX(고객사!$K$5:$K$104,MATCH($B1969,고객사!$A$5:$A$104,0)),0))</f>
        <v/>
      </c>
      <c r="Q1969" s="22" t="str">
        <f aca="false">IF($B1969="","",G1969*P1969)</f>
        <v/>
      </c>
      <c r="R1969" s="22" t="str">
        <f aca="false">IF($B1969="","",O1969-Q1969-L1969)</f>
        <v/>
      </c>
      <c r="S1969" s="21" t="str">
        <f aca="false">IF(OR($B1969="",N(O1969)=0),"",R1969/O1969)</f>
        <v/>
      </c>
      <c r="T1969" s="14"/>
      <c r="U1969" s="19" t="n">
        <f aca="false">IF(OR($B1969="",$A1969=""),0,IF(COUNTIFS($A$5:$A1969,$A1969,$B$5:$B1969,$B1969)=1,1,0))</f>
        <v>0</v>
      </c>
    </row>
    <row r="1970" customFormat="false" ht="15" hidden="false" customHeight="false" outlineLevel="0" collapsed="false">
      <c r="A1970" s="17"/>
      <c r="B1970" s="13"/>
      <c r="C1970" s="20" t="str">
        <f aca="false">IF($B1970="","",IFERROR(INDEX(고객사!$B$5:$B$104,MATCH($B1970,고객사!$A$5:$A$104,0)),"코드 확인"))</f>
        <v/>
      </c>
      <c r="D1970" s="15"/>
      <c r="E1970" s="15"/>
      <c r="F1970" s="16"/>
      <c r="G1970" s="16"/>
      <c r="H1970" s="21" t="str">
        <f aca="false">IF(OR($B1970="",F1970=0),"",G1970/F1970)</f>
        <v/>
      </c>
      <c r="I1970" s="22" t="str">
        <f aca="false">IF($B1970="","",MAX(F1970-G1970,0))</f>
        <v/>
      </c>
      <c r="J1970" s="23" t="str">
        <f aca="false">IF($B1970="","",IFERROR(INDEX(고객사!$G$5:$G$104,MATCH($B1970,고객사!$A$5:$A$104,0)),""))</f>
        <v/>
      </c>
      <c r="K1970" s="16"/>
      <c r="L1970" s="22" t="str">
        <f aca="false">IF($B1970="","",K1970*IFERROR(INDEX(고객사!$L$5:$L$104,MATCH($B1970,고객사!$A$5:$A$104,0)),0))</f>
        <v/>
      </c>
      <c r="M1970" s="23" t="str">
        <f aca="false">IF($B1970="","",IF(AND(J1970="N",G1970&gt;0,K1970=0,IFERROR(INDEX(고객사!$H$5:$H$104,MATCH($B1970,고객사!$A$5:$A$104,0)),"")="자사 차량 운행"),"차량 미배정",""))</f>
        <v/>
      </c>
      <c r="N1970" s="22" t="str">
        <f aca="false">IF($B1970="","",IFERROR(INDEX(고객사!$J$5:$J$104,MATCH($B1970,고객사!$A$5:$A$104,0)),0))</f>
        <v/>
      </c>
      <c r="O1970" s="22" t="str">
        <f aca="false">IF($B1970="","",G1970*N1970)</f>
        <v/>
      </c>
      <c r="P1970" s="22" t="str">
        <f aca="false">IF($B1970="","",IFERROR(INDEX(고객사!$K$5:$K$104,MATCH($B1970,고객사!$A$5:$A$104,0)),0))</f>
        <v/>
      </c>
      <c r="Q1970" s="22" t="str">
        <f aca="false">IF($B1970="","",G1970*P1970)</f>
        <v/>
      </c>
      <c r="R1970" s="22" t="str">
        <f aca="false">IF($B1970="","",O1970-Q1970-L1970)</f>
        <v/>
      </c>
      <c r="S1970" s="21" t="str">
        <f aca="false">IF(OR($B1970="",N(O1970)=0),"",R1970/O1970)</f>
        <v/>
      </c>
      <c r="T1970" s="14"/>
      <c r="U1970" s="19" t="n">
        <f aca="false">IF(OR($B1970="",$A1970=""),0,IF(COUNTIFS($A$5:$A1970,$A1970,$B$5:$B1970,$B1970)=1,1,0))</f>
        <v>0</v>
      </c>
    </row>
    <row r="1971" customFormat="false" ht="15" hidden="false" customHeight="false" outlineLevel="0" collapsed="false">
      <c r="A1971" s="17"/>
      <c r="B1971" s="13"/>
      <c r="C1971" s="20" t="str">
        <f aca="false">IF($B1971="","",IFERROR(INDEX(고객사!$B$5:$B$104,MATCH($B1971,고객사!$A$5:$A$104,0)),"코드 확인"))</f>
        <v/>
      </c>
      <c r="D1971" s="15"/>
      <c r="E1971" s="15"/>
      <c r="F1971" s="16"/>
      <c r="G1971" s="16"/>
      <c r="H1971" s="21" t="str">
        <f aca="false">IF(OR($B1971="",F1971=0),"",G1971/F1971)</f>
        <v/>
      </c>
      <c r="I1971" s="22" t="str">
        <f aca="false">IF($B1971="","",MAX(F1971-G1971,0))</f>
        <v/>
      </c>
      <c r="J1971" s="23" t="str">
        <f aca="false">IF($B1971="","",IFERROR(INDEX(고객사!$G$5:$G$104,MATCH($B1971,고객사!$A$5:$A$104,0)),""))</f>
        <v/>
      </c>
      <c r="K1971" s="16"/>
      <c r="L1971" s="22" t="str">
        <f aca="false">IF($B1971="","",K1971*IFERROR(INDEX(고객사!$L$5:$L$104,MATCH($B1971,고객사!$A$5:$A$104,0)),0))</f>
        <v/>
      </c>
      <c r="M1971" s="23" t="str">
        <f aca="false">IF($B1971="","",IF(AND(J1971="N",G1971&gt;0,K1971=0,IFERROR(INDEX(고객사!$H$5:$H$104,MATCH($B1971,고객사!$A$5:$A$104,0)),"")="자사 차량 운행"),"차량 미배정",""))</f>
        <v/>
      </c>
      <c r="N1971" s="22" t="str">
        <f aca="false">IF($B1971="","",IFERROR(INDEX(고객사!$J$5:$J$104,MATCH($B1971,고객사!$A$5:$A$104,0)),0))</f>
        <v/>
      </c>
      <c r="O1971" s="22" t="str">
        <f aca="false">IF($B1971="","",G1971*N1971)</f>
        <v/>
      </c>
      <c r="P1971" s="22" t="str">
        <f aca="false">IF($B1971="","",IFERROR(INDEX(고객사!$K$5:$K$104,MATCH($B1971,고객사!$A$5:$A$104,0)),0))</f>
        <v/>
      </c>
      <c r="Q1971" s="22" t="str">
        <f aca="false">IF($B1971="","",G1971*P1971)</f>
        <v/>
      </c>
      <c r="R1971" s="22" t="str">
        <f aca="false">IF($B1971="","",O1971-Q1971-L1971)</f>
        <v/>
      </c>
      <c r="S1971" s="21" t="str">
        <f aca="false">IF(OR($B1971="",N(O1971)=0),"",R1971/O1971)</f>
        <v/>
      </c>
      <c r="T1971" s="14"/>
      <c r="U1971" s="19" t="n">
        <f aca="false">IF(OR($B1971="",$A1971=""),0,IF(COUNTIFS($A$5:$A1971,$A1971,$B$5:$B1971,$B1971)=1,1,0))</f>
        <v>0</v>
      </c>
    </row>
    <row r="1972" customFormat="false" ht="15" hidden="false" customHeight="false" outlineLevel="0" collapsed="false">
      <c r="A1972" s="17"/>
      <c r="B1972" s="13"/>
      <c r="C1972" s="20" t="str">
        <f aca="false">IF($B1972="","",IFERROR(INDEX(고객사!$B$5:$B$104,MATCH($B1972,고객사!$A$5:$A$104,0)),"코드 확인"))</f>
        <v/>
      </c>
      <c r="D1972" s="15"/>
      <c r="E1972" s="15"/>
      <c r="F1972" s="16"/>
      <c r="G1972" s="16"/>
      <c r="H1972" s="21" t="str">
        <f aca="false">IF(OR($B1972="",F1972=0),"",G1972/F1972)</f>
        <v/>
      </c>
      <c r="I1972" s="22" t="str">
        <f aca="false">IF($B1972="","",MAX(F1972-G1972,0))</f>
        <v/>
      </c>
      <c r="J1972" s="23" t="str">
        <f aca="false">IF($B1972="","",IFERROR(INDEX(고객사!$G$5:$G$104,MATCH($B1972,고객사!$A$5:$A$104,0)),""))</f>
        <v/>
      </c>
      <c r="K1972" s="16"/>
      <c r="L1972" s="22" t="str">
        <f aca="false">IF($B1972="","",K1972*IFERROR(INDEX(고객사!$L$5:$L$104,MATCH($B1972,고객사!$A$5:$A$104,0)),0))</f>
        <v/>
      </c>
      <c r="M1972" s="23" t="str">
        <f aca="false">IF($B1972="","",IF(AND(J1972="N",G1972&gt;0,K1972=0,IFERROR(INDEX(고객사!$H$5:$H$104,MATCH($B1972,고객사!$A$5:$A$104,0)),"")="자사 차량 운행"),"차량 미배정",""))</f>
        <v/>
      </c>
      <c r="N1972" s="22" t="str">
        <f aca="false">IF($B1972="","",IFERROR(INDEX(고객사!$J$5:$J$104,MATCH($B1972,고객사!$A$5:$A$104,0)),0))</f>
        <v/>
      </c>
      <c r="O1972" s="22" t="str">
        <f aca="false">IF($B1972="","",G1972*N1972)</f>
        <v/>
      </c>
      <c r="P1972" s="22" t="str">
        <f aca="false">IF($B1972="","",IFERROR(INDEX(고객사!$K$5:$K$104,MATCH($B1972,고객사!$A$5:$A$104,0)),0))</f>
        <v/>
      </c>
      <c r="Q1972" s="22" t="str">
        <f aca="false">IF($B1972="","",G1972*P1972)</f>
        <v/>
      </c>
      <c r="R1972" s="22" t="str">
        <f aca="false">IF($B1972="","",O1972-Q1972-L1972)</f>
        <v/>
      </c>
      <c r="S1972" s="21" t="str">
        <f aca="false">IF(OR($B1972="",N(O1972)=0),"",R1972/O1972)</f>
        <v/>
      </c>
      <c r="T1972" s="14"/>
      <c r="U1972" s="19" t="n">
        <f aca="false">IF(OR($B1972="",$A1972=""),0,IF(COUNTIFS($A$5:$A1972,$A1972,$B$5:$B1972,$B1972)=1,1,0))</f>
        <v>0</v>
      </c>
    </row>
    <row r="1973" customFormat="false" ht="15" hidden="false" customHeight="false" outlineLevel="0" collapsed="false">
      <c r="A1973" s="17"/>
      <c r="B1973" s="13"/>
      <c r="C1973" s="20" t="str">
        <f aca="false">IF($B1973="","",IFERROR(INDEX(고객사!$B$5:$B$104,MATCH($B1973,고객사!$A$5:$A$104,0)),"코드 확인"))</f>
        <v/>
      </c>
      <c r="D1973" s="15"/>
      <c r="E1973" s="15"/>
      <c r="F1973" s="16"/>
      <c r="G1973" s="16"/>
      <c r="H1973" s="21" t="str">
        <f aca="false">IF(OR($B1973="",F1973=0),"",G1973/F1973)</f>
        <v/>
      </c>
      <c r="I1973" s="22" t="str">
        <f aca="false">IF($B1973="","",MAX(F1973-G1973,0))</f>
        <v/>
      </c>
      <c r="J1973" s="23" t="str">
        <f aca="false">IF($B1973="","",IFERROR(INDEX(고객사!$G$5:$G$104,MATCH($B1973,고객사!$A$5:$A$104,0)),""))</f>
        <v/>
      </c>
      <c r="K1973" s="16"/>
      <c r="L1973" s="22" t="str">
        <f aca="false">IF($B1973="","",K1973*IFERROR(INDEX(고객사!$L$5:$L$104,MATCH($B1973,고객사!$A$5:$A$104,0)),0))</f>
        <v/>
      </c>
      <c r="M1973" s="23" t="str">
        <f aca="false">IF($B1973="","",IF(AND(J1973="N",G1973&gt;0,K1973=0,IFERROR(INDEX(고객사!$H$5:$H$104,MATCH($B1973,고객사!$A$5:$A$104,0)),"")="자사 차량 운행"),"차량 미배정",""))</f>
        <v/>
      </c>
      <c r="N1973" s="22" t="str">
        <f aca="false">IF($B1973="","",IFERROR(INDEX(고객사!$J$5:$J$104,MATCH($B1973,고객사!$A$5:$A$104,0)),0))</f>
        <v/>
      </c>
      <c r="O1973" s="22" t="str">
        <f aca="false">IF($B1973="","",G1973*N1973)</f>
        <v/>
      </c>
      <c r="P1973" s="22" t="str">
        <f aca="false">IF($B1973="","",IFERROR(INDEX(고객사!$K$5:$K$104,MATCH($B1973,고객사!$A$5:$A$104,0)),0))</f>
        <v/>
      </c>
      <c r="Q1973" s="22" t="str">
        <f aca="false">IF($B1973="","",G1973*P1973)</f>
        <v/>
      </c>
      <c r="R1973" s="22" t="str">
        <f aca="false">IF($B1973="","",O1973-Q1973-L1973)</f>
        <v/>
      </c>
      <c r="S1973" s="21" t="str">
        <f aca="false">IF(OR($B1973="",N(O1973)=0),"",R1973/O1973)</f>
        <v/>
      </c>
      <c r="T1973" s="14"/>
      <c r="U1973" s="19" t="n">
        <f aca="false">IF(OR($B1973="",$A1973=""),0,IF(COUNTIFS($A$5:$A1973,$A1973,$B$5:$B1973,$B1973)=1,1,0))</f>
        <v>0</v>
      </c>
    </row>
    <row r="1974" customFormat="false" ht="15" hidden="false" customHeight="false" outlineLevel="0" collapsed="false">
      <c r="A1974" s="17"/>
      <c r="B1974" s="13"/>
      <c r="C1974" s="20" t="str">
        <f aca="false">IF($B1974="","",IFERROR(INDEX(고객사!$B$5:$B$104,MATCH($B1974,고객사!$A$5:$A$104,0)),"코드 확인"))</f>
        <v/>
      </c>
      <c r="D1974" s="15"/>
      <c r="E1974" s="15"/>
      <c r="F1974" s="16"/>
      <c r="G1974" s="16"/>
      <c r="H1974" s="21" t="str">
        <f aca="false">IF(OR($B1974="",F1974=0),"",G1974/F1974)</f>
        <v/>
      </c>
      <c r="I1974" s="22" t="str">
        <f aca="false">IF($B1974="","",MAX(F1974-G1974,0))</f>
        <v/>
      </c>
      <c r="J1974" s="23" t="str">
        <f aca="false">IF($B1974="","",IFERROR(INDEX(고객사!$G$5:$G$104,MATCH($B1974,고객사!$A$5:$A$104,0)),""))</f>
        <v/>
      </c>
      <c r="K1974" s="16"/>
      <c r="L1974" s="22" t="str">
        <f aca="false">IF($B1974="","",K1974*IFERROR(INDEX(고객사!$L$5:$L$104,MATCH($B1974,고객사!$A$5:$A$104,0)),0))</f>
        <v/>
      </c>
      <c r="M1974" s="23" t="str">
        <f aca="false">IF($B1974="","",IF(AND(J1974="N",G1974&gt;0,K1974=0,IFERROR(INDEX(고객사!$H$5:$H$104,MATCH($B1974,고객사!$A$5:$A$104,0)),"")="자사 차량 운행"),"차량 미배정",""))</f>
        <v/>
      </c>
      <c r="N1974" s="22" t="str">
        <f aca="false">IF($B1974="","",IFERROR(INDEX(고객사!$J$5:$J$104,MATCH($B1974,고객사!$A$5:$A$104,0)),0))</f>
        <v/>
      </c>
      <c r="O1974" s="22" t="str">
        <f aca="false">IF($B1974="","",G1974*N1974)</f>
        <v/>
      </c>
      <c r="P1974" s="22" t="str">
        <f aca="false">IF($B1974="","",IFERROR(INDEX(고객사!$K$5:$K$104,MATCH($B1974,고객사!$A$5:$A$104,0)),0))</f>
        <v/>
      </c>
      <c r="Q1974" s="22" t="str">
        <f aca="false">IF($B1974="","",G1974*P1974)</f>
        <v/>
      </c>
      <c r="R1974" s="22" t="str">
        <f aca="false">IF($B1974="","",O1974-Q1974-L1974)</f>
        <v/>
      </c>
      <c r="S1974" s="21" t="str">
        <f aca="false">IF(OR($B1974="",N(O1974)=0),"",R1974/O1974)</f>
        <v/>
      </c>
      <c r="T1974" s="14"/>
      <c r="U1974" s="19" t="n">
        <f aca="false">IF(OR($B1974="",$A1974=""),0,IF(COUNTIFS($A$5:$A1974,$A1974,$B$5:$B1974,$B1974)=1,1,0))</f>
        <v>0</v>
      </c>
    </row>
    <row r="1975" customFormat="false" ht="15" hidden="false" customHeight="false" outlineLevel="0" collapsed="false">
      <c r="A1975" s="17"/>
      <c r="B1975" s="13"/>
      <c r="C1975" s="20" t="str">
        <f aca="false">IF($B1975="","",IFERROR(INDEX(고객사!$B$5:$B$104,MATCH($B1975,고객사!$A$5:$A$104,0)),"코드 확인"))</f>
        <v/>
      </c>
      <c r="D1975" s="15"/>
      <c r="E1975" s="15"/>
      <c r="F1975" s="16"/>
      <c r="G1975" s="16"/>
      <c r="H1975" s="21" t="str">
        <f aca="false">IF(OR($B1975="",F1975=0),"",G1975/F1975)</f>
        <v/>
      </c>
      <c r="I1975" s="22" t="str">
        <f aca="false">IF($B1975="","",MAX(F1975-G1975,0))</f>
        <v/>
      </c>
      <c r="J1975" s="23" t="str">
        <f aca="false">IF($B1975="","",IFERROR(INDEX(고객사!$G$5:$G$104,MATCH($B1975,고객사!$A$5:$A$104,0)),""))</f>
        <v/>
      </c>
      <c r="K1975" s="16"/>
      <c r="L1975" s="22" t="str">
        <f aca="false">IF($B1975="","",K1975*IFERROR(INDEX(고객사!$L$5:$L$104,MATCH($B1975,고객사!$A$5:$A$104,0)),0))</f>
        <v/>
      </c>
      <c r="M1975" s="23" t="str">
        <f aca="false">IF($B1975="","",IF(AND(J1975="N",G1975&gt;0,K1975=0,IFERROR(INDEX(고객사!$H$5:$H$104,MATCH($B1975,고객사!$A$5:$A$104,0)),"")="자사 차량 운행"),"차량 미배정",""))</f>
        <v/>
      </c>
      <c r="N1975" s="22" t="str">
        <f aca="false">IF($B1975="","",IFERROR(INDEX(고객사!$J$5:$J$104,MATCH($B1975,고객사!$A$5:$A$104,0)),0))</f>
        <v/>
      </c>
      <c r="O1975" s="22" t="str">
        <f aca="false">IF($B1975="","",G1975*N1975)</f>
        <v/>
      </c>
      <c r="P1975" s="22" t="str">
        <f aca="false">IF($B1975="","",IFERROR(INDEX(고객사!$K$5:$K$104,MATCH($B1975,고객사!$A$5:$A$104,0)),0))</f>
        <v/>
      </c>
      <c r="Q1975" s="22" t="str">
        <f aca="false">IF($B1975="","",G1975*P1975)</f>
        <v/>
      </c>
      <c r="R1975" s="22" t="str">
        <f aca="false">IF($B1975="","",O1975-Q1975-L1975)</f>
        <v/>
      </c>
      <c r="S1975" s="21" t="str">
        <f aca="false">IF(OR($B1975="",N(O1975)=0),"",R1975/O1975)</f>
        <v/>
      </c>
      <c r="T1975" s="14"/>
      <c r="U1975" s="19" t="n">
        <f aca="false">IF(OR($B1975="",$A1975=""),0,IF(COUNTIFS($A$5:$A1975,$A1975,$B$5:$B1975,$B1975)=1,1,0))</f>
        <v>0</v>
      </c>
    </row>
    <row r="1976" customFormat="false" ht="15" hidden="false" customHeight="false" outlineLevel="0" collapsed="false">
      <c r="A1976" s="17"/>
      <c r="B1976" s="13"/>
      <c r="C1976" s="20" t="str">
        <f aca="false">IF($B1976="","",IFERROR(INDEX(고객사!$B$5:$B$104,MATCH($B1976,고객사!$A$5:$A$104,0)),"코드 확인"))</f>
        <v/>
      </c>
      <c r="D1976" s="15"/>
      <c r="E1976" s="15"/>
      <c r="F1976" s="16"/>
      <c r="G1976" s="16"/>
      <c r="H1976" s="21" t="str">
        <f aca="false">IF(OR($B1976="",F1976=0),"",G1976/F1976)</f>
        <v/>
      </c>
      <c r="I1976" s="22" t="str">
        <f aca="false">IF($B1976="","",MAX(F1976-G1976,0))</f>
        <v/>
      </c>
      <c r="J1976" s="23" t="str">
        <f aca="false">IF($B1976="","",IFERROR(INDEX(고객사!$G$5:$G$104,MATCH($B1976,고객사!$A$5:$A$104,0)),""))</f>
        <v/>
      </c>
      <c r="K1976" s="16"/>
      <c r="L1976" s="22" t="str">
        <f aca="false">IF($B1976="","",K1976*IFERROR(INDEX(고객사!$L$5:$L$104,MATCH($B1976,고객사!$A$5:$A$104,0)),0))</f>
        <v/>
      </c>
      <c r="M1976" s="23" t="str">
        <f aca="false">IF($B1976="","",IF(AND(J1976="N",G1976&gt;0,K1976=0,IFERROR(INDEX(고객사!$H$5:$H$104,MATCH($B1976,고객사!$A$5:$A$104,0)),"")="자사 차량 운행"),"차량 미배정",""))</f>
        <v/>
      </c>
      <c r="N1976" s="22" t="str">
        <f aca="false">IF($B1976="","",IFERROR(INDEX(고객사!$J$5:$J$104,MATCH($B1976,고객사!$A$5:$A$104,0)),0))</f>
        <v/>
      </c>
      <c r="O1976" s="22" t="str">
        <f aca="false">IF($B1976="","",G1976*N1976)</f>
        <v/>
      </c>
      <c r="P1976" s="22" t="str">
        <f aca="false">IF($B1976="","",IFERROR(INDEX(고객사!$K$5:$K$104,MATCH($B1976,고객사!$A$5:$A$104,0)),0))</f>
        <v/>
      </c>
      <c r="Q1976" s="22" t="str">
        <f aca="false">IF($B1976="","",G1976*P1976)</f>
        <v/>
      </c>
      <c r="R1976" s="22" t="str">
        <f aca="false">IF($B1976="","",O1976-Q1976-L1976)</f>
        <v/>
      </c>
      <c r="S1976" s="21" t="str">
        <f aca="false">IF(OR($B1976="",N(O1976)=0),"",R1976/O1976)</f>
        <v/>
      </c>
      <c r="T1976" s="14"/>
      <c r="U1976" s="19" t="n">
        <f aca="false">IF(OR($B1976="",$A1976=""),0,IF(COUNTIFS($A$5:$A1976,$A1976,$B$5:$B1976,$B1976)=1,1,0))</f>
        <v>0</v>
      </c>
    </row>
    <row r="1977" customFormat="false" ht="15" hidden="false" customHeight="false" outlineLevel="0" collapsed="false">
      <c r="A1977" s="17"/>
      <c r="B1977" s="13"/>
      <c r="C1977" s="20" t="str">
        <f aca="false">IF($B1977="","",IFERROR(INDEX(고객사!$B$5:$B$104,MATCH($B1977,고객사!$A$5:$A$104,0)),"코드 확인"))</f>
        <v/>
      </c>
      <c r="D1977" s="15"/>
      <c r="E1977" s="15"/>
      <c r="F1977" s="16"/>
      <c r="G1977" s="16"/>
      <c r="H1977" s="21" t="str">
        <f aca="false">IF(OR($B1977="",F1977=0),"",G1977/F1977)</f>
        <v/>
      </c>
      <c r="I1977" s="22" t="str">
        <f aca="false">IF($B1977="","",MAX(F1977-G1977,0))</f>
        <v/>
      </c>
      <c r="J1977" s="23" t="str">
        <f aca="false">IF($B1977="","",IFERROR(INDEX(고객사!$G$5:$G$104,MATCH($B1977,고객사!$A$5:$A$104,0)),""))</f>
        <v/>
      </c>
      <c r="K1977" s="16"/>
      <c r="L1977" s="22" t="str">
        <f aca="false">IF($B1977="","",K1977*IFERROR(INDEX(고객사!$L$5:$L$104,MATCH($B1977,고객사!$A$5:$A$104,0)),0))</f>
        <v/>
      </c>
      <c r="M1977" s="23" t="str">
        <f aca="false">IF($B1977="","",IF(AND(J1977="N",G1977&gt;0,K1977=0,IFERROR(INDEX(고객사!$H$5:$H$104,MATCH($B1977,고객사!$A$5:$A$104,0)),"")="자사 차량 운행"),"차량 미배정",""))</f>
        <v/>
      </c>
      <c r="N1977" s="22" t="str">
        <f aca="false">IF($B1977="","",IFERROR(INDEX(고객사!$J$5:$J$104,MATCH($B1977,고객사!$A$5:$A$104,0)),0))</f>
        <v/>
      </c>
      <c r="O1977" s="22" t="str">
        <f aca="false">IF($B1977="","",G1977*N1977)</f>
        <v/>
      </c>
      <c r="P1977" s="22" t="str">
        <f aca="false">IF($B1977="","",IFERROR(INDEX(고객사!$K$5:$K$104,MATCH($B1977,고객사!$A$5:$A$104,0)),0))</f>
        <v/>
      </c>
      <c r="Q1977" s="22" t="str">
        <f aca="false">IF($B1977="","",G1977*P1977)</f>
        <v/>
      </c>
      <c r="R1977" s="22" t="str">
        <f aca="false">IF($B1977="","",O1977-Q1977-L1977)</f>
        <v/>
      </c>
      <c r="S1977" s="21" t="str">
        <f aca="false">IF(OR($B1977="",N(O1977)=0),"",R1977/O1977)</f>
        <v/>
      </c>
      <c r="T1977" s="14"/>
      <c r="U1977" s="19" t="n">
        <f aca="false">IF(OR($B1977="",$A1977=""),0,IF(COUNTIFS($A$5:$A1977,$A1977,$B$5:$B1977,$B1977)=1,1,0))</f>
        <v>0</v>
      </c>
    </row>
    <row r="1978" customFormat="false" ht="15" hidden="false" customHeight="false" outlineLevel="0" collapsed="false">
      <c r="A1978" s="17"/>
      <c r="B1978" s="13"/>
      <c r="C1978" s="20" t="str">
        <f aca="false">IF($B1978="","",IFERROR(INDEX(고객사!$B$5:$B$104,MATCH($B1978,고객사!$A$5:$A$104,0)),"코드 확인"))</f>
        <v/>
      </c>
      <c r="D1978" s="15"/>
      <c r="E1978" s="15"/>
      <c r="F1978" s="16"/>
      <c r="G1978" s="16"/>
      <c r="H1978" s="21" t="str">
        <f aca="false">IF(OR($B1978="",F1978=0),"",G1978/F1978)</f>
        <v/>
      </c>
      <c r="I1978" s="22" t="str">
        <f aca="false">IF($B1978="","",MAX(F1978-G1978,0))</f>
        <v/>
      </c>
      <c r="J1978" s="23" t="str">
        <f aca="false">IF($B1978="","",IFERROR(INDEX(고객사!$G$5:$G$104,MATCH($B1978,고객사!$A$5:$A$104,0)),""))</f>
        <v/>
      </c>
      <c r="K1978" s="16"/>
      <c r="L1978" s="22" t="str">
        <f aca="false">IF($B1978="","",K1978*IFERROR(INDEX(고객사!$L$5:$L$104,MATCH($B1978,고객사!$A$5:$A$104,0)),0))</f>
        <v/>
      </c>
      <c r="M1978" s="23" t="str">
        <f aca="false">IF($B1978="","",IF(AND(J1978="N",G1978&gt;0,K1978=0,IFERROR(INDEX(고객사!$H$5:$H$104,MATCH($B1978,고객사!$A$5:$A$104,0)),"")="자사 차량 운행"),"차량 미배정",""))</f>
        <v/>
      </c>
      <c r="N1978" s="22" t="str">
        <f aca="false">IF($B1978="","",IFERROR(INDEX(고객사!$J$5:$J$104,MATCH($B1978,고객사!$A$5:$A$104,0)),0))</f>
        <v/>
      </c>
      <c r="O1978" s="22" t="str">
        <f aca="false">IF($B1978="","",G1978*N1978)</f>
        <v/>
      </c>
      <c r="P1978" s="22" t="str">
        <f aca="false">IF($B1978="","",IFERROR(INDEX(고객사!$K$5:$K$104,MATCH($B1978,고객사!$A$5:$A$104,0)),0))</f>
        <v/>
      </c>
      <c r="Q1978" s="22" t="str">
        <f aca="false">IF($B1978="","",G1978*P1978)</f>
        <v/>
      </c>
      <c r="R1978" s="22" t="str">
        <f aca="false">IF($B1978="","",O1978-Q1978-L1978)</f>
        <v/>
      </c>
      <c r="S1978" s="21" t="str">
        <f aca="false">IF(OR($B1978="",N(O1978)=0),"",R1978/O1978)</f>
        <v/>
      </c>
      <c r="T1978" s="14"/>
      <c r="U1978" s="19" t="n">
        <f aca="false">IF(OR($B1978="",$A1978=""),0,IF(COUNTIFS($A$5:$A1978,$A1978,$B$5:$B1978,$B1978)=1,1,0))</f>
        <v>0</v>
      </c>
    </row>
    <row r="1979" customFormat="false" ht="15" hidden="false" customHeight="false" outlineLevel="0" collapsed="false">
      <c r="A1979" s="17"/>
      <c r="B1979" s="13"/>
      <c r="C1979" s="20" t="str">
        <f aca="false">IF($B1979="","",IFERROR(INDEX(고객사!$B$5:$B$104,MATCH($B1979,고객사!$A$5:$A$104,0)),"코드 확인"))</f>
        <v/>
      </c>
      <c r="D1979" s="15"/>
      <c r="E1979" s="15"/>
      <c r="F1979" s="16"/>
      <c r="G1979" s="16"/>
      <c r="H1979" s="21" t="str">
        <f aca="false">IF(OR($B1979="",F1979=0),"",G1979/F1979)</f>
        <v/>
      </c>
      <c r="I1979" s="22" t="str">
        <f aca="false">IF($B1979="","",MAX(F1979-G1979,0))</f>
        <v/>
      </c>
      <c r="J1979" s="23" t="str">
        <f aca="false">IF($B1979="","",IFERROR(INDEX(고객사!$G$5:$G$104,MATCH($B1979,고객사!$A$5:$A$104,0)),""))</f>
        <v/>
      </c>
      <c r="K1979" s="16"/>
      <c r="L1979" s="22" t="str">
        <f aca="false">IF($B1979="","",K1979*IFERROR(INDEX(고객사!$L$5:$L$104,MATCH($B1979,고객사!$A$5:$A$104,0)),0))</f>
        <v/>
      </c>
      <c r="M1979" s="23" t="str">
        <f aca="false">IF($B1979="","",IF(AND(J1979="N",G1979&gt;0,K1979=0,IFERROR(INDEX(고객사!$H$5:$H$104,MATCH($B1979,고객사!$A$5:$A$104,0)),"")="자사 차량 운행"),"차량 미배정",""))</f>
        <v/>
      </c>
      <c r="N1979" s="22" t="str">
        <f aca="false">IF($B1979="","",IFERROR(INDEX(고객사!$J$5:$J$104,MATCH($B1979,고객사!$A$5:$A$104,0)),0))</f>
        <v/>
      </c>
      <c r="O1979" s="22" t="str">
        <f aca="false">IF($B1979="","",G1979*N1979)</f>
        <v/>
      </c>
      <c r="P1979" s="22" t="str">
        <f aca="false">IF($B1979="","",IFERROR(INDEX(고객사!$K$5:$K$104,MATCH($B1979,고객사!$A$5:$A$104,0)),0))</f>
        <v/>
      </c>
      <c r="Q1979" s="22" t="str">
        <f aca="false">IF($B1979="","",G1979*P1979)</f>
        <v/>
      </c>
      <c r="R1979" s="22" t="str">
        <f aca="false">IF($B1979="","",O1979-Q1979-L1979)</f>
        <v/>
      </c>
      <c r="S1979" s="21" t="str">
        <f aca="false">IF(OR($B1979="",N(O1979)=0),"",R1979/O1979)</f>
        <v/>
      </c>
      <c r="T1979" s="14"/>
      <c r="U1979" s="19" t="n">
        <f aca="false">IF(OR($B1979="",$A1979=""),0,IF(COUNTIFS($A$5:$A1979,$A1979,$B$5:$B1979,$B1979)=1,1,0))</f>
        <v>0</v>
      </c>
    </row>
    <row r="1980" customFormat="false" ht="15" hidden="false" customHeight="false" outlineLevel="0" collapsed="false">
      <c r="A1980" s="17"/>
      <c r="B1980" s="13"/>
      <c r="C1980" s="20" t="str">
        <f aca="false">IF($B1980="","",IFERROR(INDEX(고객사!$B$5:$B$104,MATCH($B1980,고객사!$A$5:$A$104,0)),"코드 확인"))</f>
        <v/>
      </c>
      <c r="D1980" s="15"/>
      <c r="E1980" s="15"/>
      <c r="F1980" s="16"/>
      <c r="G1980" s="16"/>
      <c r="H1980" s="21" t="str">
        <f aca="false">IF(OR($B1980="",F1980=0),"",G1980/F1980)</f>
        <v/>
      </c>
      <c r="I1980" s="22" t="str">
        <f aca="false">IF($B1980="","",MAX(F1980-G1980,0))</f>
        <v/>
      </c>
      <c r="J1980" s="23" t="str">
        <f aca="false">IF($B1980="","",IFERROR(INDEX(고객사!$G$5:$G$104,MATCH($B1980,고객사!$A$5:$A$104,0)),""))</f>
        <v/>
      </c>
      <c r="K1980" s="16"/>
      <c r="L1980" s="22" t="str">
        <f aca="false">IF($B1980="","",K1980*IFERROR(INDEX(고객사!$L$5:$L$104,MATCH($B1980,고객사!$A$5:$A$104,0)),0))</f>
        <v/>
      </c>
      <c r="M1980" s="23" t="str">
        <f aca="false">IF($B1980="","",IF(AND(J1980="N",G1980&gt;0,K1980=0,IFERROR(INDEX(고객사!$H$5:$H$104,MATCH($B1980,고객사!$A$5:$A$104,0)),"")="자사 차량 운행"),"차량 미배정",""))</f>
        <v/>
      </c>
      <c r="N1980" s="22" t="str">
        <f aca="false">IF($B1980="","",IFERROR(INDEX(고객사!$J$5:$J$104,MATCH($B1980,고객사!$A$5:$A$104,0)),0))</f>
        <v/>
      </c>
      <c r="O1980" s="22" t="str">
        <f aca="false">IF($B1980="","",G1980*N1980)</f>
        <v/>
      </c>
      <c r="P1980" s="22" t="str">
        <f aca="false">IF($B1980="","",IFERROR(INDEX(고객사!$K$5:$K$104,MATCH($B1980,고객사!$A$5:$A$104,0)),0))</f>
        <v/>
      </c>
      <c r="Q1980" s="22" t="str">
        <f aca="false">IF($B1980="","",G1980*P1980)</f>
        <v/>
      </c>
      <c r="R1980" s="22" t="str">
        <f aca="false">IF($B1980="","",O1980-Q1980-L1980)</f>
        <v/>
      </c>
      <c r="S1980" s="21" t="str">
        <f aca="false">IF(OR($B1980="",N(O1980)=0),"",R1980/O1980)</f>
        <v/>
      </c>
      <c r="T1980" s="14"/>
      <c r="U1980" s="19" t="n">
        <f aca="false">IF(OR($B1980="",$A1980=""),0,IF(COUNTIFS($A$5:$A1980,$A1980,$B$5:$B1980,$B1980)=1,1,0))</f>
        <v>0</v>
      </c>
    </row>
    <row r="1981" customFormat="false" ht="15" hidden="false" customHeight="false" outlineLevel="0" collapsed="false">
      <c r="A1981" s="17"/>
      <c r="B1981" s="13"/>
      <c r="C1981" s="20" t="str">
        <f aca="false">IF($B1981="","",IFERROR(INDEX(고객사!$B$5:$B$104,MATCH($B1981,고객사!$A$5:$A$104,0)),"코드 확인"))</f>
        <v/>
      </c>
      <c r="D1981" s="15"/>
      <c r="E1981" s="15"/>
      <c r="F1981" s="16"/>
      <c r="G1981" s="16"/>
      <c r="H1981" s="21" t="str">
        <f aca="false">IF(OR($B1981="",F1981=0),"",G1981/F1981)</f>
        <v/>
      </c>
      <c r="I1981" s="22" t="str">
        <f aca="false">IF($B1981="","",MAX(F1981-G1981,0))</f>
        <v/>
      </c>
      <c r="J1981" s="23" t="str">
        <f aca="false">IF($B1981="","",IFERROR(INDEX(고객사!$G$5:$G$104,MATCH($B1981,고객사!$A$5:$A$104,0)),""))</f>
        <v/>
      </c>
      <c r="K1981" s="16"/>
      <c r="L1981" s="22" t="str">
        <f aca="false">IF($B1981="","",K1981*IFERROR(INDEX(고객사!$L$5:$L$104,MATCH($B1981,고객사!$A$5:$A$104,0)),0))</f>
        <v/>
      </c>
      <c r="M1981" s="23" t="str">
        <f aca="false">IF($B1981="","",IF(AND(J1981="N",G1981&gt;0,K1981=0,IFERROR(INDEX(고객사!$H$5:$H$104,MATCH($B1981,고객사!$A$5:$A$104,0)),"")="자사 차량 운행"),"차량 미배정",""))</f>
        <v/>
      </c>
      <c r="N1981" s="22" t="str">
        <f aca="false">IF($B1981="","",IFERROR(INDEX(고객사!$J$5:$J$104,MATCH($B1981,고객사!$A$5:$A$104,0)),0))</f>
        <v/>
      </c>
      <c r="O1981" s="22" t="str">
        <f aca="false">IF($B1981="","",G1981*N1981)</f>
        <v/>
      </c>
      <c r="P1981" s="22" t="str">
        <f aca="false">IF($B1981="","",IFERROR(INDEX(고객사!$K$5:$K$104,MATCH($B1981,고객사!$A$5:$A$104,0)),0))</f>
        <v/>
      </c>
      <c r="Q1981" s="22" t="str">
        <f aca="false">IF($B1981="","",G1981*P1981)</f>
        <v/>
      </c>
      <c r="R1981" s="22" t="str">
        <f aca="false">IF($B1981="","",O1981-Q1981-L1981)</f>
        <v/>
      </c>
      <c r="S1981" s="21" t="str">
        <f aca="false">IF(OR($B1981="",N(O1981)=0),"",R1981/O1981)</f>
        <v/>
      </c>
      <c r="T1981" s="14"/>
      <c r="U1981" s="19" t="n">
        <f aca="false">IF(OR($B1981="",$A1981=""),0,IF(COUNTIFS($A$5:$A1981,$A1981,$B$5:$B1981,$B1981)=1,1,0))</f>
        <v>0</v>
      </c>
    </row>
    <row r="1982" customFormat="false" ht="15" hidden="false" customHeight="false" outlineLevel="0" collapsed="false">
      <c r="A1982" s="17"/>
      <c r="B1982" s="13"/>
      <c r="C1982" s="20" t="str">
        <f aca="false">IF($B1982="","",IFERROR(INDEX(고객사!$B$5:$B$104,MATCH($B1982,고객사!$A$5:$A$104,0)),"코드 확인"))</f>
        <v/>
      </c>
      <c r="D1982" s="15"/>
      <c r="E1982" s="15"/>
      <c r="F1982" s="16"/>
      <c r="G1982" s="16"/>
      <c r="H1982" s="21" t="str">
        <f aca="false">IF(OR($B1982="",F1982=0),"",G1982/F1982)</f>
        <v/>
      </c>
      <c r="I1982" s="22" t="str">
        <f aca="false">IF($B1982="","",MAX(F1982-G1982,0))</f>
        <v/>
      </c>
      <c r="J1982" s="23" t="str">
        <f aca="false">IF($B1982="","",IFERROR(INDEX(고객사!$G$5:$G$104,MATCH($B1982,고객사!$A$5:$A$104,0)),""))</f>
        <v/>
      </c>
      <c r="K1982" s="16"/>
      <c r="L1982" s="22" t="str">
        <f aca="false">IF($B1982="","",K1982*IFERROR(INDEX(고객사!$L$5:$L$104,MATCH($B1982,고객사!$A$5:$A$104,0)),0))</f>
        <v/>
      </c>
      <c r="M1982" s="23" t="str">
        <f aca="false">IF($B1982="","",IF(AND(J1982="N",G1982&gt;0,K1982=0,IFERROR(INDEX(고객사!$H$5:$H$104,MATCH($B1982,고객사!$A$5:$A$104,0)),"")="자사 차량 운행"),"차량 미배정",""))</f>
        <v/>
      </c>
      <c r="N1982" s="22" t="str">
        <f aca="false">IF($B1982="","",IFERROR(INDEX(고객사!$J$5:$J$104,MATCH($B1982,고객사!$A$5:$A$104,0)),0))</f>
        <v/>
      </c>
      <c r="O1982" s="22" t="str">
        <f aca="false">IF($B1982="","",G1982*N1982)</f>
        <v/>
      </c>
      <c r="P1982" s="22" t="str">
        <f aca="false">IF($B1982="","",IFERROR(INDEX(고객사!$K$5:$K$104,MATCH($B1982,고객사!$A$5:$A$104,0)),0))</f>
        <v/>
      </c>
      <c r="Q1982" s="22" t="str">
        <f aca="false">IF($B1982="","",G1982*P1982)</f>
        <v/>
      </c>
      <c r="R1982" s="22" t="str">
        <f aca="false">IF($B1982="","",O1982-Q1982-L1982)</f>
        <v/>
      </c>
      <c r="S1982" s="21" t="str">
        <f aca="false">IF(OR($B1982="",N(O1982)=0),"",R1982/O1982)</f>
        <v/>
      </c>
      <c r="T1982" s="14"/>
      <c r="U1982" s="19" t="n">
        <f aca="false">IF(OR($B1982="",$A1982=""),0,IF(COUNTIFS($A$5:$A1982,$A1982,$B$5:$B1982,$B1982)=1,1,0))</f>
        <v>0</v>
      </c>
    </row>
    <row r="1983" customFormat="false" ht="15" hidden="false" customHeight="false" outlineLevel="0" collapsed="false">
      <c r="A1983" s="17"/>
      <c r="B1983" s="13"/>
      <c r="C1983" s="20" t="str">
        <f aca="false">IF($B1983="","",IFERROR(INDEX(고객사!$B$5:$B$104,MATCH($B1983,고객사!$A$5:$A$104,0)),"코드 확인"))</f>
        <v/>
      </c>
      <c r="D1983" s="15"/>
      <c r="E1983" s="15"/>
      <c r="F1983" s="16"/>
      <c r="G1983" s="16"/>
      <c r="H1983" s="21" t="str">
        <f aca="false">IF(OR($B1983="",F1983=0),"",G1983/F1983)</f>
        <v/>
      </c>
      <c r="I1983" s="22" t="str">
        <f aca="false">IF($B1983="","",MAX(F1983-G1983,0))</f>
        <v/>
      </c>
      <c r="J1983" s="23" t="str">
        <f aca="false">IF($B1983="","",IFERROR(INDEX(고객사!$G$5:$G$104,MATCH($B1983,고객사!$A$5:$A$104,0)),""))</f>
        <v/>
      </c>
      <c r="K1983" s="16"/>
      <c r="L1983" s="22" t="str">
        <f aca="false">IF($B1983="","",K1983*IFERROR(INDEX(고객사!$L$5:$L$104,MATCH($B1983,고객사!$A$5:$A$104,0)),0))</f>
        <v/>
      </c>
      <c r="M1983" s="23" t="str">
        <f aca="false">IF($B1983="","",IF(AND(J1983="N",G1983&gt;0,K1983=0,IFERROR(INDEX(고객사!$H$5:$H$104,MATCH($B1983,고객사!$A$5:$A$104,0)),"")="자사 차량 운행"),"차량 미배정",""))</f>
        <v/>
      </c>
      <c r="N1983" s="22" t="str">
        <f aca="false">IF($B1983="","",IFERROR(INDEX(고객사!$J$5:$J$104,MATCH($B1983,고객사!$A$5:$A$104,0)),0))</f>
        <v/>
      </c>
      <c r="O1983" s="22" t="str">
        <f aca="false">IF($B1983="","",G1983*N1983)</f>
        <v/>
      </c>
      <c r="P1983" s="22" t="str">
        <f aca="false">IF($B1983="","",IFERROR(INDEX(고객사!$K$5:$K$104,MATCH($B1983,고객사!$A$5:$A$104,0)),0))</f>
        <v/>
      </c>
      <c r="Q1983" s="22" t="str">
        <f aca="false">IF($B1983="","",G1983*P1983)</f>
        <v/>
      </c>
      <c r="R1983" s="22" t="str">
        <f aca="false">IF($B1983="","",O1983-Q1983-L1983)</f>
        <v/>
      </c>
      <c r="S1983" s="21" t="str">
        <f aca="false">IF(OR($B1983="",N(O1983)=0),"",R1983/O1983)</f>
        <v/>
      </c>
      <c r="T1983" s="14"/>
      <c r="U1983" s="19" t="n">
        <f aca="false">IF(OR($B1983="",$A1983=""),0,IF(COUNTIFS($A$5:$A1983,$A1983,$B$5:$B1983,$B1983)=1,1,0))</f>
        <v>0</v>
      </c>
    </row>
    <row r="1984" customFormat="false" ht="15" hidden="false" customHeight="false" outlineLevel="0" collapsed="false">
      <c r="A1984" s="17"/>
      <c r="B1984" s="13"/>
      <c r="C1984" s="20" t="str">
        <f aca="false">IF($B1984="","",IFERROR(INDEX(고객사!$B$5:$B$104,MATCH($B1984,고객사!$A$5:$A$104,0)),"코드 확인"))</f>
        <v/>
      </c>
      <c r="D1984" s="15"/>
      <c r="E1984" s="15"/>
      <c r="F1984" s="16"/>
      <c r="G1984" s="16"/>
      <c r="H1984" s="21" t="str">
        <f aca="false">IF(OR($B1984="",F1984=0),"",G1984/F1984)</f>
        <v/>
      </c>
      <c r="I1984" s="22" t="str">
        <f aca="false">IF($B1984="","",MAX(F1984-G1984,0))</f>
        <v/>
      </c>
      <c r="J1984" s="23" t="str">
        <f aca="false">IF($B1984="","",IFERROR(INDEX(고객사!$G$5:$G$104,MATCH($B1984,고객사!$A$5:$A$104,0)),""))</f>
        <v/>
      </c>
      <c r="K1984" s="16"/>
      <c r="L1984" s="22" t="str">
        <f aca="false">IF($B1984="","",K1984*IFERROR(INDEX(고객사!$L$5:$L$104,MATCH($B1984,고객사!$A$5:$A$104,0)),0))</f>
        <v/>
      </c>
      <c r="M1984" s="23" t="str">
        <f aca="false">IF($B1984="","",IF(AND(J1984="N",G1984&gt;0,K1984=0,IFERROR(INDEX(고객사!$H$5:$H$104,MATCH($B1984,고객사!$A$5:$A$104,0)),"")="자사 차량 운행"),"차량 미배정",""))</f>
        <v/>
      </c>
      <c r="N1984" s="22" t="str">
        <f aca="false">IF($B1984="","",IFERROR(INDEX(고객사!$J$5:$J$104,MATCH($B1984,고객사!$A$5:$A$104,0)),0))</f>
        <v/>
      </c>
      <c r="O1984" s="22" t="str">
        <f aca="false">IF($B1984="","",G1984*N1984)</f>
        <v/>
      </c>
      <c r="P1984" s="22" t="str">
        <f aca="false">IF($B1984="","",IFERROR(INDEX(고객사!$K$5:$K$104,MATCH($B1984,고객사!$A$5:$A$104,0)),0))</f>
        <v/>
      </c>
      <c r="Q1984" s="22" t="str">
        <f aca="false">IF($B1984="","",G1984*P1984)</f>
        <v/>
      </c>
      <c r="R1984" s="22" t="str">
        <f aca="false">IF($B1984="","",O1984-Q1984-L1984)</f>
        <v/>
      </c>
      <c r="S1984" s="21" t="str">
        <f aca="false">IF(OR($B1984="",N(O1984)=0),"",R1984/O1984)</f>
        <v/>
      </c>
      <c r="T1984" s="14"/>
      <c r="U1984" s="19" t="n">
        <f aca="false">IF(OR($B1984="",$A1984=""),0,IF(COUNTIFS($A$5:$A1984,$A1984,$B$5:$B1984,$B1984)=1,1,0))</f>
        <v>0</v>
      </c>
    </row>
    <row r="1985" customFormat="false" ht="15" hidden="false" customHeight="false" outlineLevel="0" collapsed="false">
      <c r="A1985" s="17"/>
      <c r="B1985" s="13"/>
      <c r="C1985" s="20" t="str">
        <f aca="false">IF($B1985="","",IFERROR(INDEX(고객사!$B$5:$B$104,MATCH($B1985,고객사!$A$5:$A$104,0)),"코드 확인"))</f>
        <v/>
      </c>
      <c r="D1985" s="15"/>
      <c r="E1985" s="15"/>
      <c r="F1985" s="16"/>
      <c r="G1985" s="16"/>
      <c r="H1985" s="21" t="str">
        <f aca="false">IF(OR($B1985="",F1985=0),"",G1985/F1985)</f>
        <v/>
      </c>
      <c r="I1985" s="22" t="str">
        <f aca="false">IF($B1985="","",MAX(F1985-G1985,0))</f>
        <v/>
      </c>
      <c r="J1985" s="23" t="str">
        <f aca="false">IF($B1985="","",IFERROR(INDEX(고객사!$G$5:$G$104,MATCH($B1985,고객사!$A$5:$A$104,0)),""))</f>
        <v/>
      </c>
      <c r="K1985" s="16"/>
      <c r="L1985" s="22" t="str">
        <f aca="false">IF($B1985="","",K1985*IFERROR(INDEX(고객사!$L$5:$L$104,MATCH($B1985,고객사!$A$5:$A$104,0)),0))</f>
        <v/>
      </c>
      <c r="M1985" s="23" t="str">
        <f aca="false">IF($B1985="","",IF(AND(J1985="N",G1985&gt;0,K1985=0,IFERROR(INDEX(고객사!$H$5:$H$104,MATCH($B1985,고객사!$A$5:$A$104,0)),"")="자사 차량 운행"),"차량 미배정",""))</f>
        <v/>
      </c>
      <c r="N1985" s="22" t="str">
        <f aca="false">IF($B1985="","",IFERROR(INDEX(고객사!$J$5:$J$104,MATCH($B1985,고객사!$A$5:$A$104,0)),0))</f>
        <v/>
      </c>
      <c r="O1985" s="22" t="str">
        <f aca="false">IF($B1985="","",G1985*N1985)</f>
        <v/>
      </c>
      <c r="P1985" s="22" t="str">
        <f aca="false">IF($B1985="","",IFERROR(INDEX(고객사!$K$5:$K$104,MATCH($B1985,고객사!$A$5:$A$104,0)),0))</f>
        <v/>
      </c>
      <c r="Q1985" s="22" t="str">
        <f aca="false">IF($B1985="","",G1985*P1985)</f>
        <v/>
      </c>
      <c r="R1985" s="22" t="str">
        <f aca="false">IF($B1985="","",O1985-Q1985-L1985)</f>
        <v/>
      </c>
      <c r="S1985" s="21" t="str">
        <f aca="false">IF(OR($B1985="",N(O1985)=0),"",R1985/O1985)</f>
        <v/>
      </c>
      <c r="T1985" s="14"/>
      <c r="U1985" s="19" t="n">
        <f aca="false">IF(OR($B1985="",$A1985=""),0,IF(COUNTIFS($A$5:$A1985,$A1985,$B$5:$B1985,$B1985)=1,1,0))</f>
        <v>0</v>
      </c>
    </row>
    <row r="1986" customFormat="false" ht="15" hidden="false" customHeight="false" outlineLevel="0" collapsed="false">
      <c r="A1986" s="17"/>
      <c r="B1986" s="13"/>
      <c r="C1986" s="20" t="str">
        <f aca="false">IF($B1986="","",IFERROR(INDEX(고객사!$B$5:$B$104,MATCH($B1986,고객사!$A$5:$A$104,0)),"코드 확인"))</f>
        <v/>
      </c>
      <c r="D1986" s="15"/>
      <c r="E1986" s="15"/>
      <c r="F1986" s="16"/>
      <c r="G1986" s="16"/>
      <c r="H1986" s="21" t="str">
        <f aca="false">IF(OR($B1986="",F1986=0),"",G1986/F1986)</f>
        <v/>
      </c>
      <c r="I1986" s="22" t="str">
        <f aca="false">IF($B1986="","",MAX(F1986-G1986,0))</f>
        <v/>
      </c>
      <c r="J1986" s="23" t="str">
        <f aca="false">IF($B1986="","",IFERROR(INDEX(고객사!$G$5:$G$104,MATCH($B1986,고객사!$A$5:$A$104,0)),""))</f>
        <v/>
      </c>
      <c r="K1986" s="16"/>
      <c r="L1986" s="22" t="str">
        <f aca="false">IF($B1986="","",K1986*IFERROR(INDEX(고객사!$L$5:$L$104,MATCH($B1986,고객사!$A$5:$A$104,0)),0))</f>
        <v/>
      </c>
      <c r="M1986" s="23" t="str">
        <f aca="false">IF($B1986="","",IF(AND(J1986="N",G1986&gt;0,K1986=0,IFERROR(INDEX(고객사!$H$5:$H$104,MATCH($B1986,고객사!$A$5:$A$104,0)),"")="자사 차량 운행"),"차량 미배정",""))</f>
        <v/>
      </c>
      <c r="N1986" s="22" t="str">
        <f aca="false">IF($B1986="","",IFERROR(INDEX(고객사!$J$5:$J$104,MATCH($B1986,고객사!$A$5:$A$104,0)),0))</f>
        <v/>
      </c>
      <c r="O1986" s="22" t="str">
        <f aca="false">IF($B1986="","",G1986*N1986)</f>
        <v/>
      </c>
      <c r="P1986" s="22" t="str">
        <f aca="false">IF($B1986="","",IFERROR(INDEX(고객사!$K$5:$K$104,MATCH($B1986,고객사!$A$5:$A$104,0)),0))</f>
        <v/>
      </c>
      <c r="Q1986" s="22" t="str">
        <f aca="false">IF($B1986="","",G1986*P1986)</f>
        <v/>
      </c>
      <c r="R1986" s="22" t="str">
        <f aca="false">IF($B1986="","",O1986-Q1986-L1986)</f>
        <v/>
      </c>
      <c r="S1986" s="21" t="str">
        <f aca="false">IF(OR($B1986="",N(O1986)=0),"",R1986/O1986)</f>
        <v/>
      </c>
      <c r="T1986" s="14"/>
      <c r="U1986" s="19" t="n">
        <f aca="false">IF(OR($B1986="",$A1986=""),0,IF(COUNTIFS($A$5:$A1986,$A1986,$B$5:$B1986,$B1986)=1,1,0))</f>
        <v>0</v>
      </c>
    </row>
    <row r="1987" customFormat="false" ht="15" hidden="false" customHeight="false" outlineLevel="0" collapsed="false">
      <c r="A1987" s="17"/>
      <c r="B1987" s="13"/>
      <c r="C1987" s="20" t="str">
        <f aca="false">IF($B1987="","",IFERROR(INDEX(고객사!$B$5:$B$104,MATCH($B1987,고객사!$A$5:$A$104,0)),"코드 확인"))</f>
        <v/>
      </c>
      <c r="D1987" s="15"/>
      <c r="E1987" s="15"/>
      <c r="F1987" s="16"/>
      <c r="G1987" s="16"/>
      <c r="H1987" s="21" t="str">
        <f aca="false">IF(OR($B1987="",F1987=0),"",G1987/F1987)</f>
        <v/>
      </c>
      <c r="I1987" s="22" t="str">
        <f aca="false">IF($B1987="","",MAX(F1987-G1987,0))</f>
        <v/>
      </c>
      <c r="J1987" s="23" t="str">
        <f aca="false">IF($B1987="","",IFERROR(INDEX(고객사!$G$5:$G$104,MATCH($B1987,고객사!$A$5:$A$104,0)),""))</f>
        <v/>
      </c>
      <c r="K1987" s="16"/>
      <c r="L1987" s="22" t="str">
        <f aca="false">IF($B1987="","",K1987*IFERROR(INDEX(고객사!$L$5:$L$104,MATCH($B1987,고객사!$A$5:$A$104,0)),0))</f>
        <v/>
      </c>
      <c r="M1987" s="23" t="str">
        <f aca="false">IF($B1987="","",IF(AND(J1987="N",G1987&gt;0,K1987=0,IFERROR(INDEX(고객사!$H$5:$H$104,MATCH($B1987,고객사!$A$5:$A$104,0)),"")="자사 차량 운행"),"차량 미배정",""))</f>
        <v/>
      </c>
      <c r="N1987" s="22" t="str">
        <f aca="false">IF($B1987="","",IFERROR(INDEX(고객사!$J$5:$J$104,MATCH($B1987,고객사!$A$5:$A$104,0)),0))</f>
        <v/>
      </c>
      <c r="O1987" s="22" t="str">
        <f aca="false">IF($B1987="","",G1987*N1987)</f>
        <v/>
      </c>
      <c r="P1987" s="22" t="str">
        <f aca="false">IF($B1987="","",IFERROR(INDEX(고객사!$K$5:$K$104,MATCH($B1987,고객사!$A$5:$A$104,0)),0))</f>
        <v/>
      </c>
      <c r="Q1987" s="22" t="str">
        <f aca="false">IF($B1987="","",G1987*P1987)</f>
        <v/>
      </c>
      <c r="R1987" s="22" t="str">
        <f aca="false">IF($B1987="","",O1987-Q1987-L1987)</f>
        <v/>
      </c>
      <c r="S1987" s="21" t="str">
        <f aca="false">IF(OR($B1987="",N(O1987)=0),"",R1987/O1987)</f>
        <v/>
      </c>
      <c r="T1987" s="14"/>
      <c r="U1987" s="19" t="n">
        <f aca="false">IF(OR($B1987="",$A1987=""),0,IF(COUNTIFS($A$5:$A1987,$A1987,$B$5:$B1987,$B1987)=1,1,0))</f>
        <v>0</v>
      </c>
    </row>
    <row r="1988" customFormat="false" ht="15" hidden="false" customHeight="false" outlineLevel="0" collapsed="false">
      <c r="A1988" s="17"/>
      <c r="B1988" s="13"/>
      <c r="C1988" s="20" t="str">
        <f aca="false">IF($B1988="","",IFERROR(INDEX(고객사!$B$5:$B$104,MATCH($B1988,고객사!$A$5:$A$104,0)),"코드 확인"))</f>
        <v/>
      </c>
      <c r="D1988" s="15"/>
      <c r="E1988" s="15"/>
      <c r="F1988" s="16"/>
      <c r="G1988" s="16"/>
      <c r="H1988" s="21" t="str">
        <f aca="false">IF(OR($B1988="",F1988=0),"",G1988/F1988)</f>
        <v/>
      </c>
      <c r="I1988" s="22" t="str">
        <f aca="false">IF($B1988="","",MAX(F1988-G1988,0))</f>
        <v/>
      </c>
      <c r="J1988" s="23" t="str">
        <f aca="false">IF($B1988="","",IFERROR(INDEX(고객사!$G$5:$G$104,MATCH($B1988,고객사!$A$5:$A$104,0)),""))</f>
        <v/>
      </c>
      <c r="K1988" s="16"/>
      <c r="L1988" s="22" t="str">
        <f aca="false">IF($B1988="","",K1988*IFERROR(INDEX(고객사!$L$5:$L$104,MATCH($B1988,고객사!$A$5:$A$104,0)),0))</f>
        <v/>
      </c>
      <c r="M1988" s="23" t="str">
        <f aca="false">IF($B1988="","",IF(AND(J1988="N",G1988&gt;0,K1988=0,IFERROR(INDEX(고객사!$H$5:$H$104,MATCH($B1988,고객사!$A$5:$A$104,0)),"")="자사 차량 운행"),"차량 미배정",""))</f>
        <v/>
      </c>
      <c r="N1988" s="22" t="str">
        <f aca="false">IF($B1988="","",IFERROR(INDEX(고객사!$J$5:$J$104,MATCH($B1988,고객사!$A$5:$A$104,0)),0))</f>
        <v/>
      </c>
      <c r="O1988" s="22" t="str">
        <f aca="false">IF($B1988="","",G1988*N1988)</f>
        <v/>
      </c>
      <c r="P1988" s="22" t="str">
        <f aca="false">IF($B1988="","",IFERROR(INDEX(고객사!$K$5:$K$104,MATCH($B1988,고객사!$A$5:$A$104,0)),0))</f>
        <v/>
      </c>
      <c r="Q1988" s="22" t="str">
        <f aca="false">IF($B1988="","",G1988*P1988)</f>
        <v/>
      </c>
      <c r="R1988" s="22" t="str">
        <f aca="false">IF($B1988="","",O1988-Q1988-L1988)</f>
        <v/>
      </c>
      <c r="S1988" s="21" t="str">
        <f aca="false">IF(OR($B1988="",N(O1988)=0),"",R1988/O1988)</f>
        <v/>
      </c>
      <c r="T1988" s="14"/>
      <c r="U1988" s="19" t="n">
        <f aca="false">IF(OR($B1988="",$A1988=""),0,IF(COUNTIFS($A$5:$A1988,$A1988,$B$5:$B1988,$B1988)=1,1,0))</f>
        <v>0</v>
      </c>
    </row>
    <row r="1989" customFormat="false" ht="15" hidden="false" customHeight="false" outlineLevel="0" collapsed="false">
      <c r="A1989" s="17"/>
      <c r="B1989" s="13"/>
      <c r="C1989" s="20" t="str">
        <f aca="false">IF($B1989="","",IFERROR(INDEX(고객사!$B$5:$B$104,MATCH($B1989,고객사!$A$5:$A$104,0)),"코드 확인"))</f>
        <v/>
      </c>
      <c r="D1989" s="15"/>
      <c r="E1989" s="15"/>
      <c r="F1989" s="16"/>
      <c r="G1989" s="16"/>
      <c r="H1989" s="21" t="str">
        <f aca="false">IF(OR($B1989="",F1989=0),"",G1989/F1989)</f>
        <v/>
      </c>
      <c r="I1989" s="22" t="str">
        <f aca="false">IF($B1989="","",MAX(F1989-G1989,0))</f>
        <v/>
      </c>
      <c r="J1989" s="23" t="str">
        <f aca="false">IF($B1989="","",IFERROR(INDEX(고객사!$G$5:$G$104,MATCH($B1989,고객사!$A$5:$A$104,0)),""))</f>
        <v/>
      </c>
      <c r="K1989" s="16"/>
      <c r="L1989" s="22" t="str">
        <f aca="false">IF($B1989="","",K1989*IFERROR(INDEX(고객사!$L$5:$L$104,MATCH($B1989,고객사!$A$5:$A$104,0)),0))</f>
        <v/>
      </c>
      <c r="M1989" s="23" t="str">
        <f aca="false">IF($B1989="","",IF(AND(J1989="N",G1989&gt;0,K1989=0,IFERROR(INDEX(고객사!$H$5:$H$104,MATCH($B1989,고객사!$A$5:$A$104,0)),"")="자사 차량 운행"),"차량 미배정",""))</f>
        <v/>
      </c>
      <c r="N1989" s="22" t="str">
        <f aca="false">IF($B1989="","",IFERROR(INDEX(고객사!$J$5:$J$104,MATCH($B1989,고객사!$A$5:$A$104,0)),0))</f>
        <v/>
      </c>
      <c r="O1989" s="22" t="str">
        <f aca="false">IF($B1989="","",G1989*N1989)</f>
        <v/>
      </c>
      <c r="P1989" s="22" t="str">
        <f aca="false">IF($B1989="","",IFERROR(INDEX(고객사!$K$5:$K$104,MATCH($B1989,고객사!$A$5:$A$104,0)),0))</f>
        <v/>
      </c>
      <c r="Q1989" s="22" t="str">
        <f aca="false">IF($B1989="","",G1989*P1989)</f>
        <v/>
      </c>
      <c r="R1989" s="22" t="str">
        <f aca="false">IF($B1989="","",O1989-Q1989-L1989)</f>
        <v/>
      </c>
      <c r="S1989" s="21" t="str">
        <f aca="false">IF(OR($B1989="",N(O1989)=0),"",R1989/O1989)</f>
        <v/>
      </c>
      <c r="T1989" s="14"/>
      <c r="U1989" s="19" t="n">
        <f aca="false">IF(OR($B1989="",$A1989=""),0,IF(COUNTIFS($A$5:$A1989,$A1989,$B$5:$B1989,$B1989)=1,1,0))</f>
        <v>0</v>
      </c>
    </row>
    <row r="1990" customFormat="false" ht="15" hidden="false" customHeight="false" outlineLevel="0" collapsed="false">
      <c r="A1990" s="17"/>
      <c r="B1990" s="13"/>
      <c r="C1990" s="20" t="str">
        <f aca="false">IF($B1990="","",IFERROR(INDEX(고객사!$B$5:$B$104,MATCH($B1990,고객사!$A$5:$A$104,0)),"코드 확인"))</f>
        <v/>
      </c>
      <c r="D1990" s="15"/>
      <c r="E1990" s="15"/>
      <c r="F1990" s="16"/>
      <c r="G1990" s="16"/>
      <c r="H1990" s="21" t="str">
        <f aca="false">IF(OR($B1990="",F1990=0),"",G1990/F1990)</f>
        <v/>
      </c>
      <c r="I1990" s="22" t="str">
        <f aca="false">IF($B1990="","",MAX(F1990-G1990,0))</f>
        <v/>
      </c>
      <c r="J1990" s="23" t="str">
        <f aca="false">IF($B1990="","",IFERROR(INDEX(고객사!$G$5:$G$104,MATCH($B1990,고객사!$A$5:$A$104,0)),""))</f>
        <v/>
      </c>
      <c r="K1990" s="16"/>
      <c r="L1990" s="22" t="str">
        <f aca="false">IF($B1990="","",K1990*IFERROR(INDEX(고객사!$L$5:$L$104,MATCH($B1990,고객사!$A$5:$A$104,0)),0))</f>
        <v/>
      </c>
      <c r="M1990" s="23" t="str">
        <f aca="false">IF($B1990="","",IF(AND(J1990="N",G1990&gt;0,K1990=0,IFERROR(INDEX(고객사!$H$5:$H$104,MATCH($B1990,고객사!$A$5:$A$104,0)),"")="자사 차량 운행"),"차량 미배정",""))</f>
        <v/>
      </c>
      <c r="N1990" s="22" t="str">
        <f aca="false">IF($B1990="","",IFERROR(INDEX(고객사!$J$5:$J$104,MATCH($B1990,고객사!$A$5:$A$104,0)),0))</f>
        <v/>
      </c>
      <c r="O1990" s="22" t="str">
        <f aca="false">IF($B1990="","",G1990*N1990)</f>
        <v/>
      </c>
      <c r="P1990" s="22" t="str">
        <f aca="false">IF($B1990="","",IFERROR(INDEX(고객사!$K$5:$K$104,MATCH($B1990,고객사!$A$5:$A$104,0)),0))</f>
        <v/>
      </c>
      <c r="Q1990" s="22" t="str">
        <f aca="false">IF($B1990="","",G1990*P1990)</f>
        <v/>
      </c>
      <c r="R1990" s="22" t="str">
        <f aca="false">IF($B1990="","",O1990-Q1990-L1990)</f>
        <v/>
      </c>
      <c r="S1990" s="21" t="str">
        <f aca="false">IF(OR($B1990="",N(O1990)=0),"",R1990/O1990)</f>
        <v/>
      </c>
      <c r="T1990" s="14"/>
      <c r="U1990" s="19" t="n">
        <f aca="false">IF(OR($B1990="",$A1990=""),0,IF(COUNTIFS($A$5:$A1990,$A1990,$B$5:$B1990,$B1990)=1,1,0))</f>
        <v>0</v>
      </c>
    </row>
    <row r="1991" customFormat="false" ht="15" hidden="false" customHeight="false" outlineLevel="0" collapsed="false">
      <c r="A1991" s="17"/>
      <c r="B1991" s="13"/>
      <c r="C1991" s="20" t="str">
        <f aca="false">IF($B1991="","",IFERROR(INDEX(고객사!$B$5:$B$104,MATCH($B1991,고객사!$A$5:$A$104,0)),"코드 확인"))</f>
        <v/>
      </c>
      <c r="D1991" s="15"/>
      <c r="E1991" s="15"/>
      <c r="F1991" s="16"/>
      <c r="G1991" s="16"/>
      <c r="H1991" s="21" t="str">
        <f aca="false">IF(OR($B1991="",F1991=0),"",G1991/F1991)</f>
        <v/>
      </c>
      <c r="I1991" s="22" t="str">
        <f aca="false">IF($B1991="","",MAX(F1991-G1991,0))</f>
        <v/>
      </c>
      <c r="J1991" s="23" t="str">
        <f aca="false">IF($B1991="","",IFERROR(INDEX(고객사!$G$5:$G$104,MATCH($B1991,고객사!$A$5:$A$104,0)),""))</f>
        <v/>
      </c>
      <c r="K1991" s="16"/>
      <c r="L1991" s="22" t="str">
        <f aca="false">IF($B1991="","",K1991*IFERROR(INDEX(고객사!$L$5:$L$104,MATCH($B1991,고객사!$A$5:$A$104,0)),0))</f>
        <v/>
      </c>
      <c r="M1991" s="23" t="str">
        <f aca="false">IF($B1991="","",IF(AND(J1991="N",G1991&gt;0,K1991=0,IFERROR(INDEX(고객사!$H$5:$H$104,MATCH($B1991,고객사!$A$5:$A$104,0)),"")="자사 차량 운행"),"차량 미배정",""))</f>
        <v/>
      </c>
      <c r="N1991" s="22" t="str">
        <f aca="false">IF($B1991="","",IFERROR(INDEX(고객사!$J$5:$J$104,MATCH($B1991,고객사!$A$5:$A$104,0)),0))</f>
        <v/>
      </c>
      <c r="O1991" s="22" t="str">
        <f aca="false">IF($B1991="","",G1991*N1991)</f>
        <v/>
      </c>
      <c r="P1991" s="22" t="str">
        <f aca="false">IF($B1991="","",IFERROR(INDEX(고객사!$K$5:$K$104,MATCH($B1991,고객사!$A$5:$A$104,0)),0))</f>
        <v/>
      </c>
      <c r="Q1991" s="22" t="str">
        <f aca="false">IF($B1991="","",G1991*P1991)</f>
        <v/>
      </c>
      <c r="R1991" s="22" t="str">
        <f aca="false">IF($B1991="","",O1991-Q1991-L1991)</f>
        <v/>
      </c>
      <c r="S1991" s="21" t="str">
        <f aca="false">IF(OR($B1991="",N(O1991)=0),"",R1991/O1991)</f>
        <v/>
      </c>
      <c r="T1991" s="14"/>
      <c r="U1991" s="19" t="n">
        <f aca="false">IF(OR($B1991="",$A1991=""),0,IF(COUNTIFS($A$5:$A1991,$A1991,$B$5:$B1991,$B1991)=1,1,0))</f>
        <v>0</v>
      </c>
    </row>
    <row r="1992" customFormat="false" ht="15" hidden="false" customHeight="false" outlineLevel="0" collapsed="false">
      <c r="A1992" s="17"/>
      <c r="B1992" s="13"/>
      <c r="C1992" s="20" t="str">
        <f aca="false">IF($B1992="","",IFERROR(INDEX(고객사!$B$5:$B$104,MATCH($B1992,고객사!$A$5:$A$104,0)),"코드 확인"))</f>
        <v/>
      </c>
      <c r="D1992" s="15"/>
      <c r="E1992" s="15"/>
      <c r="F1992" s="16"/>
      <c r="G1992" s="16"/>
      <c r="H1992" s="21" t="str">
        <f aca="false">IF(OR($B1992="",F1992=0),"",G1992/F1992)</f>
        <v/>
      </c>
      <c r="I1992" s="22" t="str">
        <f aca="false">IF($B1992="","",MAX(F1992-G1992,0))</f>
        <v/>
      </c>
      <c r="J1992" s="23" t="str">
        <f aca="false">IF($B1992="","",IFERROR(INDEX(고객사!$G$5:$G$104,MATCH($B1992,고객사!$A$5:$A$104,0)),""))</f>
        <v/>
      </c>
      <c r="K1992" s="16"/>
      <c r="L1992" s="22" t="str">
        <f aca="false">IF($B1992="","",K1992*IFERROR(INDEX(고객사!$L$5:$L$104,MATCH($B1992,고객사!$A$5:$A$104,0)),0))</f>
        <v/>
      </c>
      <c r="M1992" s="23" t="str">
        <f aca="false">IF($B1992="","",IF(AND(J1992="N",G1992&gt;0,K1992=0,IFERROR(INDEX(고객사!$H$5:$H$104,MATCH($B1992,고객사!$A$5:$A$104,0)),"")="자사 차량 운행"),"차량 미배정",""))</f>
        <v/>
      </c>
      <c r="N1992" s="22" t="str">
        <f aca="false">IF($B1992="","",IFERROR(INDEX(고객사!$J$5:$J$104,MATCH($B1992,고객사!$A$5:$A$104,0)),0))</f>
        <v/>
      </c>
      <c r="O1992" s="22" t="str">
        <f aca="false">IF($B1992="","",G1992*N1992)</f>
        <v/>
      </c>
      <c r="P1992" s="22" t="str">
        <f aca="false">IF($B1992="","",IFERROR(INDEX(고객사!$K$5:$K$104,MATCH($B1992,고객사!$A$5:$A$104,0)),0))</f>
        <v/>
      </c>
      <c r="Q1992" s="22" t="str">
        <f aca="false">IF($B1992="","",G1992*P1992)</f>
        <v/>
      </c>
      <c r="R1992" s="22" t="str">
        <f aca="false">IF($B1992="","",O1992-Q1992-L1992)</f>
        <v/>
      </c>
      <c r="S1992" s="21" t="str">
        <f aca="false">IF(OR($B1992="",N(O1992)=0),"",R1992/O1992)</f>
        <v/>
      </c>
      <c r="T1992" s="14"/>
      <c r="U1992" s="19" t="n">
        <f aca="false">IF(OR($B1992="",$A1992=""),0,IF(COUNTIFS($A$5:$A1992,$A1992,$B$5:$B1992,$B1992)=1,1,0))</f>
        <v>0</v>
      </c>
    </row>
    <row r="1993" customFormat="false" ht="15" hidden="false" customHeight="false" outlineLevel="0" collapsed="false">
      <c r="A1993" s="17"/>
      <c r="B1993" s="13"/>
      <c r="C1993" s="20" t="str">
        <f aca="false">IF($B1993="","",IFERROR(INDEX(고객사!$B$5:$B$104,MATCH($B1993,고객사!$A$5:$A$104,0)),"코드 확인"))</f>
        <v/>
      </c>
      <c r="D1993" s="15"/>
      <c r="E1993" s="15"/>
      <c r="F1993" s="16"/>
      <c r="G1993" s="16"/>
      <c r="H1993" s="21" t="str">
        <f aca="false">IF(OR($B1993="",F1993=0),"",G1993/F1993)</f>
        <v/>
      </c>
      <c r="I1993" s="22" t="str">
        <f aca="false">IF($B1993="","",MAX(F1993-G1993,0))</f>
        <v/>
      </c>
      <c r="J1993" s="23" t="str">
        <f aca="false">IF($B1993="","",IFERROR(INDEX(고객사!$G$5:$G$104,MATCH($B1993,고객사!$A$5:$A$104,0)),""))</f>
        <v/>
      </c>
      <c r="K1993" s="16"/>
      <c r="L1993" s="22" t="str">
        <f aca="false">IF($B1993="","",K1993*IFERROR(INDEX(고객사!$L$5:$L$104,MATCH($B1993,고객사!$A$5:$A$104,0)),0))</f>
        <v/>
      </c>
      <c r="M1993" s="23" t="str">
        <f aca="false">IF($B1993="","",IF(AND(J1993="N",G1993&gt;0,K1993=0,IFERROR(INDEX(고객사!$H$5:$H$104,MATCH($B1993,고객사!$A$5:$A$104,0)),"")="자사 차량 운행"),"차량 미배정",""))</f>
        <v/>
      </c>
      <c r="N1993" s="22" t="str">
        <f aca="false">IF($B1993="","",IFERROR(INDEX(고객사!$J$5:$J$104,MATCH($B1993,고객사!$A$5:$A$104,0)),0))</f>
        <v/>
      </c>
      <c r="O1993" s="22" t="str">
        <f aca="false">IF($B1993="","",G1993*N1993)</f>
        <v/>
      </c>
      <c r="P1993" s="22" t="str">
        <f aca="false">IF($B1993="","",IFERROR(INDEX(고객사!$K$5:$K$104,MATCH($B1993,고객사!$A$5:$A$104,0)),0))</f>
        <v/>
      </c>
      <c r="Q1993" s="22" t="str">
        <f aca="false">IF($B1993="","",G1993*P1993)</f>
        <v/>
      </c>
      <c r="R1993" s="22" t="str">
        <f aca="false">IF($B1993="","",O1993-Q1993-L1993)</f>
        <v/>
      </c>
      <c r="S1993" s="21" t="str">
        <f aca="false">IF(OR($B1993="",N(O1993)=0),"",R1993/O1993)</f>
        <v/>
      </c>
      <c r="T1993" s="14"/>
      <c r="U1993" s="19" t="n">
        <f aca="false">IF(OR($B1993="",$A1993=""),0,IF(COUNTIFS($A$5:$A1993,$A1993,$B$5:$B1993,$B1993)=1,1,0))</f>
        <v>0</v>
      </c>
    </row>
    <row r="1994" customFormat="false" ht="15" hidden="false" customHeight="false" outlineLevel="0" collapsed="false">
      <c r="A1994" s="17"/>
      <c r="B1994" s="13"/>
      <c r="C1994" s="20" t="str">
        <f aca="false">IF($B1994="","",IFERROR(INDEX(고객사!$B$5:$B$104,MATCH($B1994,고객사!$A$5:$A$104,0)),"코드 확인"))</f>
        <v/>
      </c>
      <c r="D1994" s="15"/>
      <c r="E1994" s="15"/>
      <c r="F1994" s="16"/>
      <c r="G1994" s="16"/>
      <c r="H1994" s="21" t="str">
        <f aca="false">IF(OR($B1994="",F1994=0),"",G1994/F1994)</f>
        <v/>
      </c>
      <c r="I1994" s="22" t="str">
        <f aca="false">IF($B1994="","",MAX(F1994-G1994,0))</f>
        <v/>
      </c>
      <c r="J1994" s="23" t="str">
        <f aca="false">IF($B1994="","",IFERROR(INDEX(고객사!$G$5:$G$104,MATCH($B1994,고객사!$A$5:$A$104,0)),""))</f>
        <v/>
      </c>
      <c r="K1994" s="16"/>
      <c r="L1994" s="22" t="str">
        <f aca="false">IF($B1994="","",K1994*IFERROR(INDEX(고객사!$L$5:$L$104,MATCH($B1994,고객사!$A$5:$A$104,0)),0))</f>
        <v/>
      </c>
      <c r="M1994" s="23" t="str">
        <f aca="false">IF($B1994="","",IF(AND(J1994="N",G1994&gt;0,K1994=0,IFERROR(INDEX(고객사!$H$5:$H$104,MATCH($B1994,고객사!$A$5:$A$104,0)),"")="자사 차량 운행"),"차량 미배정",""))</f>
        <v/>
      </c>
      <c r="N1994" s="22" t="str">
        <f aca="false">IF($B1994="","",IFERROR(INDEX(고객사!$J$5:$J$104,MATCH($B1994,고객사!$A$5:$A$104,0)),0))</f>
        <v/>
      </c>
      <c r="O1994" s="22" t="str">
        <f aca="false">IF($B1994="","",G1994*N1994)</f>
        <v/>
      </c>
      <c r="P1994" s="22" t="str">
        <f aca="false">IF($B1994="","",IFERROR(INDEX(고객사!$K$5:$K$104,MATCH($B1994,고객사!$A$5:$A$104,0)),0))</f>
        <v/>
      </c>
      <c r="Q1994" s="22" t="str">
        <f aca="false">IF($B1994="","",G1994*P1994)</f>
        <v/>
      </c>
      <c r="R1994" s="22" t="str">
        <f aca="false">IF($B1994="","",O1994-Q1994-L1994)</f>
        <v/>
      </c>
      <c r="S1994" s="21" t="str">
        <f aca="false">IF(OR($B1994="",N(O1994)=0),"",R1994/O1994)</f>
        <v/>
      </c>
      <c r="T1994" s="14"/>
      <c r="U1994" s="19" t="n">
        <f aca="false">IF(OR($B1994="",$A1994=""),0,IF(COUNTIFS($A$5:$A1994,$A1994,$B$5:$B1994,$B1994)=1,1,0))</f>
        <v>0</v>
      </c>
    </row>
    <row r="1995" customFormat="false" ht="15" hidden="false" customHeight="false" outlineLevel="0" collapsed="false">
      <c r="A1995" s="17"/>
      <c r="B1995" s="13"/>
      <c r="C1995" s="20" t="str">
        <f aca="false">IF($B1995="","",IFERROR(INDEX(고객사!$B$5:$B$104,MATCH($B1995,고객사!$A$5:$A$104,0)),"코드 확인"))</f>
        <v/>
      </c>
      <c r="D1995" s="15"/>
      <c r="E1995" s="15"/>
      <c r="F1995" s="16"/>
      <c r="G1995" s="16"/>
      <c r="H1995" s="21" t="str">
        <f aca="false">IF(OR($B1995="",F1995=0),"",G1995/F1995)</f>
        <v/>
      </c>
      <c r="I1995" s="22" t="str">
        <f aca="false">IF($B1995="","",MAX(F1995-G1995,0))</f>
        <v/>
      </c>
      <c r="J1995" s="23" t="str">
        <f aca="false">IF($B1995="","",IFERROR(INDEX(고객사!$G$5:$G$104,MATCH($B1995,고객사!$A$5:$A$104,0)),""))</f>
        <v/>
      </c>
      <c r="K1995" s="16"/>
      <c r="L1995" s="22" t="str">
        <f aca="false">IF($B1995="","",K1995*IFERROR(INDEX(고객사!$L$5:$L$104,MATCH($B1995,고객사!$A$5:$A$104,0)),0))</f>
        <v/>
      </c>
      <c r="M1995" s="23" t="str">
        <f aca="false">IF($B1995="","",IF(AND(J1995="N",G1995&gt;0,K1995=0,IFERROR(INDEX(고객사!$H$5:$H$104,MATCH($B1995,고객사!$A$5:$A$104,0)),"")="자사 차량 운행"),"차량 미배정",""))</f>
        <v/>
      </c>
      <c r="N1995" s="22" t="str">
        <f aca="false">IF($B1995="","",IFERROR(INDEX(고객사!$J$5:$J$104,MATCH($B1995,고객사!$A$5:$A$104,0)),0))</f>
        <v/>
      </c>
      <c r="O1995" s="22" t="str">
        <f aca="false">IF($B1995="","",G1995*N1995)</f>
        <v/>
      </c>
      <c r="P1995" s="22" t="str">
        <f aca="false">IF($B1995="","",IFERROR(INDEX(고객사!$K$5:$K$104,MATCH($B1995,고객사!$A$5:$A$104,0)),0))</f>
        <v/>
      </c>
      <c r="Q1995" s="22" t="str">
        <f aca="false">IF($B1995="","",G1995*P1995)</f>
        <v/>
      </c>
      <c r="R1995" s="22" t="str">
        <f aca="false">IF($B1995="","",O1995-Q1995-L1995)</f>
        <v/>
      </c>
      <c r="S1995" s="21" t="str">
        <f aca="false">IF(OR($B1995="",N(O1995)=0),"",R1995/O1995)</f>
        <v/>
      </c>
      <c r="T1995" s="14"/>
      <c r="U1995" s="19" t="n">
        <f aca="false">IF(OR($B1995="",$A1995=""),0,IF(COUNTIFS($A$5:$A1995,$A1995,$B$5:$B1995,$B1995)=1,1,0))</f>
        <v>0</v>
      </c>
    </row>
    <row r="1996" customFormat="false" ht="15" hidden="false" customHeight="false" outlineLevel="0" collapsed="false">
      <c r="A1996" s="17"/>
      <c r="B1996" s="13"/>
      <c r="C1996" s="20" t="str">
        <f aca="false">IF($B1996="","",IFERROR(INDEX(고객사!$B$5:$B$104,MATCH($B1996,고객사!$A$5:$A$104,0)),"코드 확인"))</f>
        <v/>
      </c>
      <c r="D1996" s="15"/>
      <c r="E1996" s="15"/>
      <c r="F1996" s="16"/>
      <c r="G1996" s="16"/>
      <c r="H1996" s="21" t="str">
        <f aca="false">IF(OR($B1996="",F1996=0),"",G1996/F1996)</f>
        <v/>
      </c>
      <c r="I1996" s="22" t="str">
        <f aca="false">IF($B1996="","",MAX(F1996-G1996,0))</f>
        <v/>
      </c>
      <c r="J1996" s="23" t="str">
        <f aca="false">IF($B1996="","",IFERROR(INDEX(고객사!$G$5:$G$104,MATCH($B1996,고객사!$A$5:$A$104,0)),""))</f>
        <v/>
      </c>
      <c r="K1996" s="16"/>
      <c r="L1996" s="22" t="str">
        <f aca="false">IF($B1996="","",K1996*IFERROR(INDEX(고객사!$L$5:$L$104,MATCH($B1996,고객사!$A$5:$A$104,0)),0))</f>
        <v/>
      </c>
      <c r="M1996" s="23" t="str">
        <f aca="false">IF($B1996="","",IF(AND(J1996="N",G1996&gt;0,K1996=0,IFERROR(INDEX(고객사!$H$5:$H$104,MATCH($B1996,고객사!$A$5:$A$104,0)),"")="자사 차량 운행"),"차량 미배정",""))</f>
        <v/>
      </c>
      <c r="N1996" s="22" t="str">
        <f aca="false">IF($B1996="","",IFERROR(INDEX(고객사!$J$5:$J$104,MATCH($B1996,고객사!$A$5:$A$104,0)),0))</f>
        <v/>
      </c>
      <c r="O1996" s="22" t="str">
        <f aca="false">IF($B1996="","",G1996*N1996)</f>
        <v/>
      </c>
      <c r="P1996" s="22" t="str">
        <f aca="false">IF($B1996="","",IFERROR(INDEX(고객사!$K$5:$K$104,MATCH($B1996,고객사!$A$5:$A$104,0)),0))</f>
        <v/>
      </c>
      <c r="Q1996" s="22" t="str">
        <f aca="false">IF($B1996="","",G1996*P1996)</f>
        <v/>
      </c>
      <c r="R1996" s="22" t="str">
        <f aca="false">IF($B1996="","",O1996-Q1996-L1996)</f>
        <v/>
      </c>
      <c r="S1996" s="21" t="str">
        <f aca="false">IF(OR($B1996="",N(O1996)=0),"",R1996/O1996)</f>
        <v/>
      </c>
      <c r="T1996" s="14"/>
      <c r="U1996" s="19" t="n">
        <f aca="false">IF(OR($B1996="",$A1996=""),0,IF(COUNTIFS($A$5:$A1996,$A1996,$B$5:$B1996,$B1996)=1,1,0))</f>
        <v>0</v>
      </c>
    </row>
    <row r="1997" customFormat="false" ht="15" hidden="false" customHeight="false" outlineLevel="0" collapsed="false">
      <c r="A1997" s="17"/>
      <c r="B1997" s="13"/>
      <c r="C1997" s="20" t="str">
        <f aca="false">IF($B1997="","",IFERROR(INDEX(고객사!$B$5:$B$104,MATCH($B1997,고객사!$A$5:$A$104,0)),"코드 확인"))</f>
        <v/>
      </c>
      <c r="D1997" s="15"/>
      <c r="E1997" s="15"/>
      <c r="F1997" s="16"/>
      <c r="G1997" s="16"/>
      <c r="H1997" s="21" t="str">
        <f aca="false">IF(OR($B1997="",F1997=0),"",G1997/F1997)</f>
        <v/>
      </c>
      <c r="I1997" s="22" t="str">
        <f aca="false">IF($B1997="","",MAX(F1997-G1997,0))</f>
        <v/>
      </c>
      <c r="J1997" s="23" t="str">
        <f aca="false">IF($B1997="","",IFERROR(INDEX(고객사!$G$5:$G$104,MATCH($B1997,고객사!$A$5:$A$104,0)),""))</f>
        <v/>
      </c>
      <c r="K1997" s="16"/>
      <c r="L1997" s="22" t="str">
        <f aca="false">IF($B1997="","",K1997*IFERROR(INDEX(고객사!$L$5:$L$104,MATCH($B1997,고객사!$A$5:$A$104,0)),0))</f>
        <v/>
      </c>
      <c r="M1997" s="23" t="str">
        <f aca="false">IF($B1997="","",IF(AND(J1997="N",G1997&gt;0,K1997=0,IFERROR(INDEX(고객사!$H$5:$H$104,MATCH($B1997,고객사!$A$5:$A$104,0)),"")="자사 차량 운행"),"차량 미배정",""))</f>
        <v/>
      </c>
      <c r="N1997" s="22" t="str">
        <f aca="false">IF($B1997="","",IFERROR(INDEX(고객사!$J$5:$J$104,MATCH($B1997,고객사!$A$5:$A$104,0)),0))</f>
        <v/>
      </c>
      <c r="O1997" s="22" t="str">
        <f aca="false">IF($B1997="","",G1997*N1997)</f>
        <v/>
      </c>
      <c r="P1997" s="22" t="str">
        <f aca="false">IF($B1997="","",IFERROR(INDEX(고객사!$K$5:$K$104,MATCH($B1997,고객사!$A$5:$A$104,0)),0))</f>
        <v/>
      </c>
      <c r="Q1997" s="22" t="str">
        <f aca="false">IF($B1997="","",G1997*P1997)</f>
        <v/>
      </c>
      <c r="R1997" s="22" t="str">
        <f aca="false">IF($B1997="","",O1997-Q1997-L1997)</f>
        <v/>
      </c>
      <c r="S1997" s="21" t="str">
        <f aca="false">IF(OR($B1997="",N(O1997)=0),"",R1997/O1997)</f>
        <v/>
      </c>
      <c r="T1997" s="14"/>
      <c r="U1997" s="19" t="n">
        <f aca="false">IF(OR($B1997="",$A1997=""),0,IF(COUNTIFS($A$5:$A1997,$A1997,$B$5:$B1997,$B1997)=1,1,0))</f>
        <v>0</v>
      </c>
    </row>
    <row r="1998" customFormat="false" ht="15" hidden="false" customHeight="false" outlineLevel="0" collapsed="false">
      <c r="A1998" s="17"/>
      <c r="B1998" s="13"/>
      <c r="C1998" s="20" t="str">
        <f aca="false">IF($B1998="","",IFERROR(INDEX(고객사!$B$5:$B$104,MATCH($B1998,고객사!$A$5:$A$104,0)),"코드 확인"))</f>
        <v/>
      </c>
      <c r="D1998" s="15"/>
      <c r="E1998" s="15"/>
      <c r="F1998" s="16"/>
      <c r="G1998" s="16"/>
      <c r="H1998" s="21" t="str">
        <f aca="false">IF(OR($B1998="",F1998=0),"",G1998/F1998)</f>
        <v/>
      </c>
      <c r="I1998" s="22" t="str">
        <f aca="false">IF($B1998="","",MAX(F1998-G1998,0))</f>
        <v/>
      </c>
      <c r="J1998" s="23" t="str">
        <f aca="false">IF($B1998="","",IFERROR(INDEX(고객사!$G$5:$G$104,MATCH($B1998,고객사!$A$5:$A$104,0)),""))</f>
        <v/>
      </c>
      <c r="K1998" s="16"/>
      <c r="L1998" s="22" t="str">
        <f aca="false">IF($B1998="","",K1998*IFERROR(INDEX(고객사!$L$5:$L$104,MATCH($B1998,고객사!$A$5:$A$104,0)),0))</f>
        <v/>
      </c>
      <c r="M1998" s="23" t="str">
        <f aca="false">IF($B1998="","",IF(AND(J1998="N",G1998&gt;0,K1998=0,IFERROR(INDEX(고객사!$H$5:$H$104,MATCH($B1998,고객사!$A$5:$A$104,0)),"")="자사 차량 운행"),"차량 미배정",""))</f>
        <v/>
      </c>
      <c r="N1998" s="22" t="str">
        <f aca="false">IF($B1998="","",IFERROR(INDEX(고객사!$J$5:$J$104,MATCH($B1998,고객사!$A$5:$A$104,0)),0))</f>
        <v/>
      </c>
      <c r="O1998" s="22" t="str">
        <f aca="false">IF($B1998="","",G1998*N1998)</f>
        <v/>
      </c>
      <c r="P1998" s="22" t="str">
        <f aca="false">IF($B1998="","",IFERROR(INDEX(고객사!$K$5:$K$104,MATCH($B1998,고객사!$A$5:$A$104,0)),0))</f>
        <v/>
      </c>
      <c r="Q1998" s="22" t="str">
        <f aca="false">IF($B1998="","",G1998*P1998)</f>
        <v/>
      </c>
      <c r="R1998" s="22" t="str">
        <f aca="false">IF($B1998="","",O1998-Q1998-L1998)</f>
        <v/>
      </c>
      <c r="S1998" s="21" t="str">
        <f aca="false">IF(OR($B1998="",N(O1998)=0),"",R1998/O1998)</f>
        <v/>
      </c>
      <c r="T1998" s="14"/>
      <c r="U1998" s="19" t="n">
        <f aca="false">IF(OR($B1998="",$A1998=""),0,IF(COUNTIFS($A$5:$A1998,$A1998,$B$5:$B1998,$B1998)=1,1,0))</f>
        <v>0</v>
      </c>
    </row>
    <row r="1999" customFormat="false" ht="15" hidden="false" customHeight="false" outlineLevel="0" collapsed="false">
      <c r="A1999" s="17"/>
      <c r="B1999" s="13"/>
      <c r="C1999" s="20" t="str">
        <f aca="false">IF($B1999="","",IFERROR(INDEX(고객사!$B$5:$B$104,MATCH($B1999,고객사!$A$5:$A$104,0)),"코드 확인"))</f>
        <v/>
      </c>
      <c r="D1999" s="15"/>
      <c r="E1999" s="15"/>
      <c r="F1999" s="16"/>
      <c r="G1999" s="16"/>
      <c r="H1999" s="21" t="str">
        <f aca="false">IF(OR($B1999="",F1999=0),"",G1999/F1999)</f>
        <v/>
      </c>
      <c r="I1999" s="22" t="str">
        <f aca="false">IF($B1999="","",MAX(F1999-G1999,0))</f>
        <v/>
      </c>
      <c r="J1999" s="23" t="str">
        <f aca="false">IF($B1999="","",IFERROR(INDEX(고객사!$G$5:$G$104,MATCH($B1999,고객사!$A$5:$A$104,0)),""))</f>
        <v/>
      </c>
      <c r="K1999" s="16"/>
      <c r="L1999" s="22" t="str">
        <f aca="false">IF($B1999="","",K1999*IFERROR(INDEX(고객사!$L$5:$L$104,MATCH($B1999,고객사!$A$5:$A$104,0)),0))</f>
        <v/>
      </c>
      <c r="M1999" s="23" t="str">
        <f aca="false">IF($B1999="","",IF(AND(J1999="N",G1999&gt;0,K1999=0,IFERROR(INDEX(고객사!$H$5:$H$104,MATCH($B1999,고객사!$A$5:$A$104,0)),"")="자사 차량 운행"),"차량 미배정",""))</f>
        <v/>
      </c>
      <c r="N1999" s="22" t="str">
        <f aca="false">IF($B1999="","",IFERROR(INDEX(고객사!$J$5:$J$104,MATCH($B1999,고객사!$A$5:$A$104,0)),0))</f>
        <v/>
      </c>
      <c r="O1999" s="22" t="str">
        <f aca="false">IF($B1999="","",G1999*N1999)</f>
        <v/>
      </c>
      <c r="P1999" s="22" t="str">
        <f aca="false">IF($B1999="","",IFERROR(INDEX(고객사!$K$5:$K$104,MATCH($B1999,고객사!$A$5:$A$104,0)),0))</f>
        <v/>
      </c>
      <c r="Q1999" s="22" t="str">
        <f aca="false">IF($B1999="","",G1999*P1999)</f>
        <v/>
      </c>
      <c r="R1999" s="22" t="str">
        <f aca="false">IF($B1999="","",O1999-Q1999-L1999)</f>
        <v/>
      </c>
      <c r="S1999" s="21" t="str">
        <f aca="false">IF(OR($B1999="",N(O1999)=0),"",R1999/O1999)</f>
        <v/>
      </c>
      <c r="T1999" s="14"/>
      <c r="U1999" s="19" t="n">
        <f aca="false">IF(OR($B1999="",$A1999=""),0,IF(COUNTIFS($A$5:$A1999,$A1999,$B$5:$B1999,$B1999)=1,1,0))</f>
        <v>0</v>
      </c>
    </row>
    <row r="2000" customFormat="false" ht="15" hidden="false" customHeight="false" outlineLevel="0" collapsed="false">
      <c r="A2000" s="17"/>
      <c r="B2000" s="13"/>
      <c r="C2000" s="20" t="str">
        <f aca="false">IF($B2000="","",IFERROR(INDEX(고객사!$B$5:$B$104,MATCH($B2000,고객사!$A$5:$A$104,0)),"코드 확인"))</f>
        <v/>
      </c>
      <c r="D2000" s="15"/>
      <c r="E2000" s="15"/>
      <c r="F2000" s="16"/>
      <c r="G2000" s="16"/>
      <c r="H2000" s="21" t="str">
        <f aca="false">IF(OR($B2000="",F2000=0),"",G2000/F2000)</f>
        <v/>
      </c>
      <c r="I2000" s="22" t="str">
        <f aca="false">IF($B2000="","",MAX(F2000-G2000,0))</f>
        <v/>
      </c>
      <c r="J2000" s="23" t="str">
        <f aca="false">IF($B2000="","",IFERROR(INDEX(고객사!$G$5:$G$104,MATCH($B2000,고객사!$A$5:$A$104,0)),""))</f>
        <v/>
      </c>
      <c r="K2000" s="16"/>
      <c r="L2000" s="22" t="str">
        <f aca="false">IF($B2000="","",K2000*IFERROR(INDEX(고객사!$L$5:$L$104,MATCH($B2000,고객사!$A$5:$A$104,0)),0))</f>
        <v/>
      </c>
      <c r="M2000" s="23" t="str">
        <f aca="false">IF($B2000="","",IF(AND(J2000="N",G2000&gt;0,K2000=0,IFERROR(INDEX(고객사!$H$5:$H$104,MATCH($B2000,고객사!$A$5:$A$104,0)),"")="자사 차량 운행"),"차량 미배정",""))</f>
        <v/>
      </c>
      <c r="N2000" s="22" t="str">
        <f aca="false">IF($B2000="","",IFERROR(INDEX(고객사!$J$5:$J$104,MATCH($B2000,고객사!$A$5:$A$104,0)),0))</f>
        <v/>
      </c>
      <c r="O2000" s="22" t="str">
        <f aca="false">IF($B2000="","",G2000*N2000)</f>
        <v/>
      </c>
      <c r="P2000" s="22" t="str">
        <f aca="false">IF($B2000="","",IFERROR(INDEX(고객사!$K$5:$K$104,MATCH($B2000,고객사!$A$5:$A$104,0)),0))</f>
        <v/>
      </c>
      <c r="Q2000" s="22" t="str">
        <f aca="false">IF($B2000="","",G2000*P2000)</f>
        <v/>
      </c>
      <c r="R2000" s="22" t="str">
        <f aca="false">IF($B2000="","",O2000-Q2000-L2000)</f>
        <v/>
      </c>
      <c r="S2000" s="21" t="str">
        <f aca="false">IF(OR($B2000="",N(O2000)=0),"",R2000/O2000)</f>
        <v/>
      </c>
      <c r="T2000" s="14"/>
      <c r="U2000" s="19" t="n">
        <f aca="false">IF(OR($B2000="",$A2000=""),0,IF(COUNTIFS($A$5:$A2000,$A2000,$B$5:$B2000,$B2000)=1,1,0))</f>
        <v>0</v>
      </c>
    </row>
    <row r="2001" customFormat="false" ht="15" hidden="false" customHeight="false" outlineLevel="0" collapsed="false">
      <c r="A2001" s="17"/>
      <c r="B2001" s="13"/>
      <c r="C2001" s="20" t="str">
        <f aca="false">IF($B2001="","",IFERROR(INDEX(고객사!$B$5:$B$104,MATCH($B2001,고객사!$A$5:$A$104,0)),"코드 확인"))</f>
        <v/>
      </c>
      <c r="D2001" s="15"/>
      <c r="E2001" s="15"/>
      <c r="F2001" s="16"/>
      <c r="G2001" s="16"/>
      <c r="H2001" s="21" t="str">
        <f aca="false">IF(OR($B2001="",F2001=0),"",G2001/F2001)</f>
        <v/>
      </c>
      <c r="I2001" s="22" t="str">
        <f aca="false">IF($B2001="","",MAX(F2001-G2001,0))</f>
        <v/>
      </c>
      <c r="J2001" s="23" t="str">
        <f aca="false">IF($B2001="","",IFERROR(INDEX(고객사!$G$5:$G$104,MATCH($B2001,고객사!$A$5:$A$104,0)),""))</f>
        <v/>
      </c>
      <c r="K2001" s="16"/>
      <c r="L2001" s="22" t="str">
        <f aca="false">IF($B2001="","",K2001*IFERROR(INDEX(고객사!$L$5:$L$104,MATCH($B2001,고객사!$A$5:$A$104,0)),0))</f>
        <v/>
      </c>
      <c r="M2001" s="23" t="str">
        <f aca="false">IF($B2001="","",IF(AND(J2001="N",G2001&gt;0,K2001=0,IFERROR(INDEX(고객사!$H$5:$H$104,MATCH($B2001,고객사!$A$5:$A$104,0)),"")="자사 차량 운행"),"차량 미배정",""))</f>
        <v/>
      </c>
      <c r="N2001" s="22" t="str">
        <f aca="false">IF($B2001="","",IFERROR(INDEX(고객사!$J$5:$J$104,MATCH($B2001,고객사!$A$5:$A$104,0)),0))</f>
        <v/>
      </c>
      <c r="O2001" s="22" t="str">
        <f aca="false">IF($B2001="","",G2001*N2001)</f>
        <v/>
      </c>
      <c r="P2001" s="22" t="str">
        <f aca="false">IF($B2001="","",IFERROR(INDEX(고객사!$K$5:$K$104,MATCH($B2001,고객사!$A$5:$A$104,0)),0))</f>
        <v/>
      </c>
      <c r="Q2001" s="22" t="str">
        <f aca="false">IF($B2001="","",G2001*P2001)</f>
        <v/>
      </c>
      <c r="R2001" s="22" t="str">
        <f aca="false">IF($B2001="","",O2001-Q2001-L2001)</f>
        <v/>
      </c>
      <c r="S2001" s="21" t="str">
        <f aca="false">IF(OR($B2001="",N(O2001)=0),"",R2001/O2001)</f>
        <v/>
      </c>
      <c r="T2001" s="14"/>
      <c r="U2001" s="19" t="n">
        <f aca="false">IF(OR($B2001="",$A2001=""),0,IF(COUNTIFS($A$5:$A2001,$A2001,$B$5:$B2001,$B2001)=1,1,0))</f>
        <v>0</v>
      </c>
    </row>
    <row r="2002" customFormat="false" ht="15" hidden="false" customHeight="false" outlineLevel="0" collapsed="false">
      <c r="A2002" s="17"/>
      <c r="B2002" s="13"/>
      <c r="C2002" s="20" t="str">
        <f aca="false">IF($B2002="","",IFERROR(INDEX(고객사!$B$5:$B$104,MATCH($B2002,고객사!$A$5:$A$104,0)),"코드 확인"))</f>
        <v/>
      </c>
      <c r="D2002" s="15"/>
      <c r="E2002" s="15"/>
      <c r="F2002" s="16"/>
      <c r="G2002" s="16"/>
      <c r="H2002" s="21" t="str">
        <f aca="false">IF(OR($B2002="",F2002=0),"",G2002/F2002)</f>
        <v/>
      </c>
      <c r="I2002" s="22" t="str">
        <f aca="false">IF($B2002="","",MAX(F2002-G2002,0))</f>
        <v/>
      </c>
      <c r="J2002" s="23" t="str">
        <f aca="false">IF($B2002="","",IFERROR(INDEX(고객사!$G$5:$G$104,MATCH($B2002,고객사!$A$5:$A$104,0)),""))</f>
        <v/>
      </c>
      <c r="K2002" s="16"/>
      <c r="L2002" s="22" t="str">
        <f aca="false">IF($B2002="","",K2002*IFERROR(INDEX(고객사!$L$5:$L$104,MATCH($B2002,고객사!$A$5:$A$104,0)),0))</f>
        <v/>
      </c>
      <c r="M2002" s="23" t="str">
        <f aca="false">IF($B2002="","",IF(AND(J2002="N",G2002&gt;0,K2002=0,IFERROR(INDEX(고객사!$H$5:$H$104,MATCH($B2002,고객사!$A$5:$A$104,0)),"")="자사 차량 운행"),"차량 미배정",""))</f>
        <v/>
      </c>
      <c r="N2002" s="22" t="str">
        <f aca="false">IF($B2002="","",IFERROR(INDEX(고객사!$J$5:$J$104,MATCH($B2002,고객사!$A$5:$A$104,0)),0))</f>
        <v/>
      </c>
      <c r="O2002" s="22" t="str">
        <f aca="false">IF($B2002="","",G2002*N2002)</f>
        <v/>
      </c>
      <c r="P2002" s="22" t="str">
        <f aca="false">IF($B2002="","",IFERROR(INDEX(고객사!$K$5:$K$104,MATCH($B2002,고객사!$A$5:$A$104,0)),0))</f>
        <v/>
      </c>
      <c r="Q2002" s="22" t="str">
        <f aca="false">IF($B2002="","",G2002*P2002)</f>
        <v/>
      </c>
      <c r="R2002" s="22" t="str">
        <f aca="false">IF($B2002="","",O2002-Q2002-L2002)</f>
        <v/>
      </c>
      <c r="S2002" s="21" t="str">
        <f aca="false">IF(OR($B2002="",N(O2002)=0),"",R2002/O2002)</f>
        <v/>
      </c>
      <c r="T2002" s="14"/>
      <c r="U2002" s="19" t="n">
        <f aca="false">IF(OR($B2002="",$A2002=""),0,IF(COUNTIFS($A$5:$A2002,$A2002,$B$5:$B2002,$B2002)=1,1,0))</f>
        <v>0</v>
      </c>
    </row>
    <row r="2003" customFormat="false" ht="15" hidden="false" customHeight="false" outlineLevel="0" collapsed="false">
      <c r="A2003" s="17"/>
      <c r="B2003" s="13"/>
      <c r="C2003" s="20" t="str">
        <f aca="false">IF($B2003="","",IFERROR(INDEX(고객사!$B$5:$B$104,MATCH($B2003,고객사!$A$5:$A$104,0)),"코드 확인"))</f>
        <v/>
      </c>
      <c r="D2003" s="15"/>
      <c r="E2003" s="15"/>
      <c r="F2003" s="16"/>
      <c r="G2003" s="16"/>
      <c r="H2003" s="21" t="str">
        <f aca="false">IF(OR($B2003="",F2003=0),"",G2003/F2003)</f>
        <v/>
      </c>
      <c r="I2003" s="22" t="str">
        <f aca="false">IF($B2003="","",MAX(F2003-G2003,0))</f>
        <v/>
      </c>
      <c r="J2003" s="23" t="str">
        <f aca="false">IF($B2003="","",IFERROR(INDEX(고객사!$G$5:$G$104,MATCH($B2003,고객사!$A$5:$A$104,0)),""))</f>
        <v/>
      </c>
      <c r="K2003" s="16"/>
      <c r="L2003" s="22" t="str">
        <f aca="false">IF($B2003="","",K2003*IFERROR(INDEX(고객사!$L$5:$L$104,MATCH($B2003,고객사!$A$5:$A$104,0)),0))</f>
        <v/>
      </c>
      <c r="M2003" s="23" t="str">
        <f aca="false">IF($B2003="","",IF(AND(J2003="N",G2003&gt;0,K2003=0,IFERROR(INDEX(고객사!$H$5:$H$104,MATCH($B2003,고객사!$A$5:$A$104,0)),"")="자사 차량 운행"),"차량 미배정",""))</f>
        <v/>
      </c>
      <c r="N2003" s="22" t="str">
        <f aca="false">IF($B2003="","",IFERROR(INDEX(고객사!$J$5:$J$104,MATCH($B2003,고객사!$A$5:$A$104,0)),0))</f>
        <v/>
      </c>
      <c r="O2003" s="22" t="str">
        <f aca="false">IF($B2003="","",G2003*N2003)</f>
        <v/>
      </c>
      <c r="P2003" s="22" t="str">
        <f aca="false">IF($B2003="","",IFERROR(INDEX(고객사!$K$5:$K$104,MATCH($B2003,고객사!$A$5:$A$104,0)),0))</f>
        <v/>
      </c>
      <c r="Q2003" s="22" t="str">
        <f aca="false">IF($B2003="","",G2003*P2003)</f>
        <v/>
      </c>
      <c r="R2003" s="22" t="str">
        <f aca="false">IF($B2003="","",O2003-Q2003-L2003)</f>
        <v/>
      </c>
      <c r="S2003" s="21" t="str">
        <f aca="false">IF(OR($B2003="",N(O2003)=0),"",R2003/O2003)</f>
        <v/>
      </c>
      <c r="T2003" s="14"/>
      <c r="U2003" s="19" t="n">
        <f aca="false">IF(OR($B2003="",$A2003=""),0,IF(COUNTIFS($A$5:$A2003,$A2003,$B$5:$B2003,$B2003)=1,1,0))</f>
        <v>0</v>
      </c>
    </row>
    <row r="2004" customFormat="false" ht="15" hidden="false" customHeight="false" outlineLevel="0" collapsed="false">
      <c r="A2004" s="17"/>
      <c r="B2004" s="13"/>
      <c r="C2004" s="20" t="str">
        <f aca="false">IF($B2004="","",IFERROR(INDEX(고객사!$B$5:$B$104,MATCH($B2004,고객사!$A$5:$A$104,0)),"코드 확인"))</f>
        <v/>
      </c>
      <c r="D2004" s="15"/>
      <c r="E2004" s="15"/>
      <c r="F2004" s="16"/>
      <c r="G2004" s="16"/>
      <c r="H2004" s="21" t="str">
        <f aca="false">IF(OR($B2004="",F2004=0),"",G2004/F2004)</f>
        <v/>
      </c>
      <c r="I2004" s="22" t="str">
        <f aca="false">IF($B2004="","",MAX(F2004-G2004,0))</f>
        <v/>
      </c>
      <c r="J2004" s="23" t="str">
        <f aca="false">IF($B2004="","",IFERROR(INDEX(고객사!$G$5:$G$104,MATCH($B2004,고객사!$A$5:$A$104,0)),""))</f>
        <v/>
      </c>
      <c r="K2004" s="16"/>
      <c r="L2004" s="22" t="str">
        <f aca="false">IF($B2004="","",K2004*IFERROR(INDEX(고객사!$L$5:$L$104,MATCH($B2004,고객사!$A$5:$A$104,0)),0))</f>
        <v/>
      </c>
      <c r="M2004" s="23" t="str">
        <f aca="false">IF($B2004="","",IF(AND(J2004="N",G2004&gt;0,K2004=0,IFERROR(INDEX(고객사!$H$5:$H$104,MATCH($B2004,고객사!$A$5:$A$104,0)),"")="자사 차량 운행"),"차량 미배정",""))</f>
        <v/>
      </c>
      <c r="N2004" s="22" t="str">
        <f aca="false">IF($B2004="","",IFERROR(INDEX(고객사!$J$5:$J$104,MATCH($B2004,고객사!$A$5:$A$104,0)),0))</f>
        <v/>
      </c>
      <c r="O2004" s="22" t="str">
        <f aca="false">IF($B2004="","",G2004*N2004)</f>
        <v/>
      </c>
      <c r="P2004" s="22" t="str">
        <f aca="false">IF($B2004="","",IFERROR(INDEX(고객사!$K$5:$K$104,MATCH($B2004,고객사!$A$5:$A$104,0)),0))</f>
        <v/>
      </c>
      <c r="Q2004" s="22" t="str">
        <f aca="false">IF($B2004="","",G2004*P2004)</f>
        <v/>
      </c>
      <c r="R2004" s="22" t="str">
        <f aca="false">IF($B2004="","",O2004-Q2004-L2004)</f>
        <v/>
      </c>
      <c r="S2004" s="21" t="str">
        <f aca="false">IF(OR($B2004="",N(O2004)=0),"",R2004/O2004)</f>
        <v/>
      </c>
      <c r="T2004" s="14"/>
      <c r="U2004" s="19" t="n">
        <f aca="false">IF(OR($B2004="",$A2004=""),0,IF(COUNTIFS($A$5:$A2004,$A2004,$B$5:$B2004,$B2004)=1,1,0))</f>
        <v>0</v>
      </c>
    </row>
  </sheetData>
  <autoFilter ref="A4:T2004"/>
  <conditionalFormatting sqref="H5:H2004">
    <cfRule type="expression" priority="2" aboveAverage="0" equalAverage="0" bottom="0" percent="0" rank="0" text="" dxfId="7">
      <formula>AND(ISNUMBER(H5),H5&lt;0.9)</formula>
    </cfRule>
  </conditionalFormatting>
  <conditionalFormatting sqref="M5:M2004">
    <cfRule type="cellIs" priority="3" operator="equal" aboveAverage="0" equalAverage="0" bottom="0" percent="0" rank="0" text="" dxfId="7">
      <formula>"차량 미배정"</formula>
    </cfRule>
  </conditionalFormatting>
  <conditionalFormatting sqref="C5:C2004">
    <cfRule type="cellIs" priority="4" operator="equal" aboveAverage="0" equalAverage="0" bottom="0" percent="0" rank="0" text="" dxfId="8">
      <formula>"코드 확인"</formula>
    </cfRule>
  </conditionalFormatting>
  <dataValidations count="5">
    <dataValidation allowBlank="true" errorStyle="stop" operator="between" showDropDown="false" showErrorMessage="false" showInputMessage="false" sqref="B5:B2004" type="list">
      <formula1>고객사!$A$5:$A$104</formula1>
      <formula2>0</formula2>
    </dataValidation>
    <dataValidation allowBlank="true" errorStyle="stop" operator="between" showDropDown="false" showErrorMessage="false" showInputMessage="false" sqref="D5:D2004" type="list">
      <formula1>목록!$A$2:$A$31</formula1>
      <formula2>0</formula2>
    </dataValidation>
    <dataValidation allowBlank="true" errorStyle="stop" operator="between" showDropDown="false" showErrorMessage="false" showInputMessage="false" sqref="E5:E2004" type="list">
      <formula1>목록!$B$2:$B$31</formula1>
      <formula2>0</formula2>
    </dataValidation>
    <dataValidation allowBlank="true" error="0 이상의 정수를 입력하세요." errorStyle="stop" operator="greaterThanOrEqual" showDropDown="false" showErrorMessage="true" showInputMessage="false" sqref="F5:G2004 K5:K2004" type="whole">
      <formula1>0</formula1>
      <formula2>0</formula2>
    </dataValidation>
    <dataValidation allowBlank="true" error="날짜 형식(예: 2026-10-01)으로 입력하세요." errorStyle="stop" operator="greaterThan" showDropDown="false" showErrorMessage="true" showInputMessage="false" sqref="A5:A2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23.8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4" t="s">
        <v>102</v>
      </c>
    </row>
    <row r="3" customFormat="false" ht="15" hidden="false" customHeight="false" outlineLevel="0" collapsed="false">
      <c r="A3" s="3" t="s">
        <v>103</v>
      </c>
      <c r="C3" s="25" t="n">
        <v>46266</v>
      </c>
      <c r="E3" s="11" t="s">
        <v>104</v>
      </c>
      <c r="F3" s="26" t="n">
        <f aca="false">DATE(YEAR($C$3),MONTH($C$3),1)</f>
        <v>46266</v>
      </c>
      <c r="G3" s="11" t="s">
        <v>105</v>
      </c>
      <c r="H3" s="26" t="n">
        <f aca="false">EDATE($F$3,1)</f>
        <v>46296</v>
      </c>
    </row>
    <row r="5" customFormat="false" ht="31.5" hidden="false" customHeight="true" outlineLevel="0" collapsed="false">
      <c r="A5" s="12" t="s">
        <v>21</v>
      </c>
      <c r="B5" s="12" t="s">
        <v>75</v>
      </c>
      <c r="C5" s="12" t="s">
        <v>106</v>
      </c>
      <c r="D5" s="12" t="s">
        <v>107</v>
      </c>
      <c r="E5" s="12" t="s">
        <v>108</v>
      </c>
      <c r="F5" s="12" t="s">
        <v>109</v>
      </c>
      <c r="G5" s="12" t="s">
        <v>80</v>
      </c>
      <c r="H5" s="12" t="s">
        <v>110</v>
      </c>
      <c r="I5" s="12" t="s">
        <v>87</v>
      </c>
      <c r="J5" s="12" t="s">
        <v>111</v>
      </c>
      <c r="K5" s="12" t="s">
        <v>112</v>
      </c>
      <c r="L5" s="12" t="s">
        <v>90</v>
      </c>
      <c r="M5" s="12" t="s">
        <v>91</v>
      </c>
    </row>
    <row r="6" customFormat="false" ht="15" hidden="false" customHeight="false" outlineLevel="0" collapsed="false">
      <c r="A6" s="23" t="str">
        <f aca="false">IF(고객사!$A$5="","",고객사!$A$5)</f>
        <v>C001</v>
      </c>
      <c r="B6" s="20" t="str">
        <f aca="false">IF($A6="","",고객사!$B$5)</f>
        <v>예시) 한빛전자 비나</v>
      </c>
      <c r="C6" s="23" t="str">
        <f aca="false">IF($A6="","",고객사!$G$5)</f>
        <v>Y</v>
      </c>
      <c r="D6" s="22" t="n">
        <f aca="false">IF($A6="","",SUMIFS(일일계획실적!$U$5:$U$2004,일일계획실적!$B$5:$B$2004,$A6,일일계획실적!$A$5:$A$2004,"&gt;="&amp;$F$3,일일계획실적!$A$5:$A$2004,"&lt;"&amp;$H$3))</f>
        <v>22</v>
      </c>
      <c r="E6" s="22" t="n">
        <f aca="false">IF($A6="","",SUMIFS(일일계획실적!$F$5:$F$2004,일일계획실적!$B$5:$B$2004,$A6,일일계획실적!$A$5:$A$2004,"&gt;="&amp;$F$3,일일계획실적!$A$5:$A$2004,"&lt;"&amp;$H$3))</f>
        <v>1144</v>
      </c>
      <c r="F6" s="22" t="n">
        <f aca="false">IF($A6="","",SUMIFS(일일계획실적!$G$5:$G$2004,일일계획실적!$B$5:$B$2004,$A6,일일계획실적!$A$5:$A$2004,"&gt;="&amp;$F$3,일일계획실적!$A$5:$A$2004,"&lt;"&amp;$H$3))</f>
        <v>1091</v>
      </c>
      <c r="G6" s="21" t="n">
        <f aca="false">IF(OR($A6="",N(E6)=0),"",F6/E6)</f>
        <v>0.953671328671329</v>
      </c>
      <c r="H6" s="22" t="n">
        <f aca="false">IF($A6="","",SUMIFS(일일계획실적!$I$5:$I$2004,일일계획실적!$B$5:$B$2004,$A6,일일계획실적!$A$5:$A$2004,"&gt;="&amp;$F$3,일일계획실적!$A$5:$A$2004,"&lt;"&amp;$H$3))</f>
        <v>53</v>
      </c>
      <c r="I6" s="22" t="n">
        <f aca="false">IF($A6="","",SUMIFS(일일계획실적!$O$5:$O$2004,일일계획실적!$B$5:$B$2004,$A6,일일계획실적!$A$5:$A$2004,"&gt;="&amp;$F$3,일일계획실적!$A$5:$A$2004,"&lt;"&amp;$H$3))</f>
        <v>458220000</v>
      </c>
      <c r="J6" s="22" t="n">
        <f aca="false">IF($A6="","",SUMIFS(일일계획실적!$Q$5:$Q$2004,일일계획실적!$B$5:$B$2004,$A6,일일계획실적!$A$5:$A$2004,"&gt;="&amp;$F$3,일일계획실적!$A$5:$A$2004,"&lt;"&amp;$H$3))</f>
        <v>360030000</v>
      </c>
      <c r="K6" s="22" t="n">
        <f aca="false">IF($A6="","",SUMIFS(일일계획실적!$L$5:$L$2004,일일계획실적!$B$5:$B$2004,$A6,일일계획실적!$A$5:$A$2004,"&gt;="&amp;$F$3,일일계획실적!$A$5:$A$2004,"&lt;"&amp;$H$3))</f>
        <v>0</v>
      </c>
      <c r="L6" s="22" t="n">
        <f aca="false">IF($A6="","",I6-J6-K6)</f>
        <v>98190000</v>
      </c>
      <c r="M6" s="21" t="n">
        <f aca="false">IF(OR($A6="",N(I6)=0),"",L6/I6)</f>
        <v>0.214285714285714</v>
      </c>
    </row>
    <row r="7" customFormat="false" ht="15" hidden="false" customHeight="false" outlineLevel="0" collapsed="false">
      <c r="A7" s="23" t="str">
        <f aca="false">IF(고객사!$A$6="","",고객사!$A$6)</f>
        <v>C002</v>
      </c>
      <c r="B7" s="20" t="str">
        <f aca="false">IF($A7="","",고객사!$B$6)</f>
        <v>예시) 대성섬유 VN</v>
      </c>
      <c r="C7" s="23" t="str">
        <f aca="false">IF($A7="","",고객사!$G$6)</f>
        <v>N</v>
      </c>
      <c r="D7" s="22" t="n">
        <f aca="false">IF($A7="","",SUMIFS(일일계획실적!$U$5:$U$2004,일일계획실적!$B$5:$B$2004,$A7,일일계획실적!$A$5:$A$2004,"&gt;="&amp;$F$3,일일계획실적!$A$5:$A$2004,"&lt;"&amp;$H$3))</f>
        <v>22</v>
      </c>
      <c r="E7" s="22" t="n">
        <f aca="false">IF($A7="","",SUMIFS(일일계획실적!$F$5:$F$2004,일일계획실적!$B$5:$B$2004,$A7,일일계획실적!$A$5:$A$2004,"&gt;="&amp;$F$3,일일계획실적!$A$5:$A$2004,"&lt;"&amp;$H$3))</f>
        <v>660</v>
      </c>
      <c r="F7" s="22" t="n">
        <f aca="false">IF($A7="","",SUMIFS(일일계획실적!$G$5:$G$2004,일일계획실적!$B$5:$B$2004,$A7,일일계획실적!$A$5:$A$2004,"&gt;="&amp;$F$3,일일계획실적!$A$5:$A$2004,"&lt;"&amp;$H$3))</f>
        <v>616</v>
      </c>
      <c r="G7" s="21" t="n">
        <f aca="false">IF(OR($A7="",N(E7)=0),"",F7/E7)</f>
        <v>0.933333333333333</v>
      </c>
      <c r="H7" s="22" t="n">
        <f aca="false">IF($A7="","",SUMIFS(일일계획실적!$I$5:$I$2004,일일계획실적!$B$5:$B$2004,$A7,일일계획실적!$A$5:$A$2004,"&gt;="&amp;$F$3,일일계획실적!$A$5:$A$2004,"&lt;"&amp;$H$3))</f>
        <v>44</v>
      </c>
      <c r="I7" s="22" t="n">
        <f aca="false">IF($A7="","",SUMIFS(일일계획실적!$O$5:$O$2004,일일계획실적!$B$5:$B$2004,$A7,일일계획실적!$A$5:$A$2004,"&gt;="&amp;$F$3,일일계획실적!$A$5:$A$2004,"&lt;"&amp;$H$3))</f>
        <v>234080000</v>
      </c>
      <c r="J7" s="22" t="n">
        <f aca="false">IF($A7="","",SUMIFS(일일계획실적!$Q$5:$Q$2004,일일계획실적!$B$5:$B$2004,$A7,일일계획실적!$A$5:$A$2004,"&gt;="&amp;$F$3,일일계획실적!$A$5:$A$2004,"&lt;"&amp;$H$3))</f>
        <v>184800000</v>
      </c>
      <c r="K7" s="22" t="n">
        <f aca="false">IF($A7="","",SUMIFS(일일계획실적!$L$5:$L$2004,일일계획실적!$B$5:$B$2004,$A7,일일계획실적!$A$5:$A$2004,"&gt;="&amp;$F$3,일일계획실적!$A$5:$A$2004,"&lt;"&amp;$H$3))</f>
        <v>26400000</v>
      </c>
      <c r="L7" s="22" t="n">
        <f aca="false">IF($A7="","",I7-J7-K7)</f>
        <v>22880000</v>
      </c>
      <c r="M7" s="21" t="n">
        <f aca="false">IF(OR($A7="",N(I7)=0),"",L7/I7)</f>
        <v>0.0977443609022556</v>
      </c>
    </row>
    <row r="8" customFormat="false" ht="15" hidden="false" customHeight="false" outlineLevel="0" collapsed="false">
      <c r="A8" s="23" t="str">
        <f aca="false">IF(고객사!$A$7="","",고객사!$A$7)</f>
        <v>C003</v>
      </c>
      <c r="B8" s="20" t="str">
        <f aca="false">IF($A8="","",고객사!$B$7)</f>
        <v>예시) 그린물류 하노이</v>
      </c>
      <c r="C8" s="23" t="str">
        <f aca="false">IF($A8="","",고객사!$G$7)</f>
        <v>N</v>
      </c>
      <c r="D8" s="22" t="n">
        <f aca="false">IF($A8="","",SUMIFS(일일계획실적!$U$5:$U$2004,일일계획실적!$B$5:$B$2004,$A8,일일계획실적!$A$5:$A$2004,"&gt;="&amp;$F$3,일일계획실적!$A$5:$A$2004,"&lt;"&amp;$H$3))</f>
        <v>22</v>
      </c>
      <c r="E8" s="22" t="n">
        <f aca="false">IF($A8="","",SUMIFS(일일계획실적!$F$5:$F$2004,일일계획실적!$B$5:$B$2004,$A8,일일계획실적!$A$5:$A$2004,"&gt;="&amp;$F$3,일일계획실적!$A$5:$A$2004,"&lt;"&amp;$H$3))</f>
        <v>396</v>
      </c>
      <c r="F8" s="22" t="n">
        <f aca="false">IF($A8="","",SUMIFS(일일계획실적!$G$5:$G$2004,일일계획실적!$B$5:$B$2004,$A8,일일계획실적!$A$5:$A$2004,"&gt;="&amp;$F$3,일일계획실적!$A$5:$A$2004,"&lt;"&amp;$H$3))</f>
        <v>358</v>
      </c>
      <c r="G8" s="21" t="n">
        <f aca="false">IF(OR($A8="",N(E8)=0),"",F8/E8)</f>
        <v>0.904040404040404</v>
      </c>
      <c r="H8" s="22" t="n">
        <f aca="false">IF($A8="","",SUMIFS(일일계획실적!$I$5:$I$2004,일일계획실적!$B$5:$B$2004,$A8,일일계획실적!$A$5:$A$2004,"&gt;="&amp;$F$3,일일계획실적!$A$5:$A$2004,"&lt;"&amp;$H$3))</f>
        <v>38</v>
      </c>
      <c r="I8" s="22" t="n">
        <f aca="false">IF($A8="","",SUMIFS(일일계획실적!$O$5:$O$2004,일일계획실적!$B$5:$B$2004,$A8,일일계획실적!$A$5:$A$2004,"&gt;="&amp;$F$3,일일계획실적!$A$5:$A$2004,"&lt;"&amp;$H$3))</f>
        <v>143200000</v>
      </c>
      <c r="J8" s="22" t="n">
        <f aca="false">IF($A8="","",SUMIFS(일일계획실적!$Q$5:$Q$2004,일일계획실적!$B$5:$B$2004,$A8,일일계획실적!$A$5:$A$2004,"&gt;="&amp;$F$3,일일계획실적!$A$5:$A$2004,"&lt;"&amp;$H$3))</f>
        <v>112770000</v>
      </c>
      <c r="K8" s="22" t="n">
        <f aca="false">IF($A8="","",SUMIFS(일일계획실적!$L$5:$L$2004,일일계획실적!$B$5:$B$2004,$A8,일일계획실적!$A$5:$A$2004,"&gt;="&amp;$F$3,일일계획실적!$A$5:$A$2004,"&lt;"&amp;$H$3))</f>
        <v>0</v>
      </c>
      <c r="L8" s="22" t="n">
        <f aca="false">IF($A8="","",I8-J8-K8)</f>
        <v>30430000</v>
      </c>
      <c r="M8" s="21" t="n">
        <f aca="false">IF(OR($A8="",N(I8)=0),"",L8/I8)</f>
        <v>0.2125</v>
      </c>
    </row>
    <row r="9" customFormat="false" ht="15" hidden="false" customHeight="false" outlineLevel="0" collapsed="false">
      <c r="A9" s="23" t="str">
        <f aca="false">IF(고객사!$A$8="","",고객사!$A$8)</f>
        <v>C004</v>
      </c>
      <c r="B9" s="20" t="str">
        <f aca="false">IF($A9="","",고객사!$B$8)</f>
        <v>예시) 미래식품 빈즈엉</v>
      </c>
      <c r="C9" s="23" t="str">
        <f aca="false">IF($A9="","",고객사!$G$8)</f>
        <v>Y</v>
      </c>
      <c r="D9" s="22" t="n">
        <f aca="false">IF($A9="","",SUMIFS(일일계획실적!$U$5:$U$2004,일일계획실적!$B$5:$B$2004,$A9,일일계획실적!$A$5:$A$2004,"&gt;="&amp;$F$3,일일계획실적!$A$5:$A$2004,"&lt;"&amp;$H$3))</f>
        <v>22</v>
      </c>
      <c r="E9" s="22" t="n">
        <f aca="false">IF($A9="","",SUMIFS(일일계획실적!$F$5:$F$2004,일일계획실적!$B$5:$B$2004,$A9,일일계획실적!$A$5:$A$2004,"&gt;="&amp;$F$3,일일계획실적!$A$5:$A$2004,"&lt;"&amp;$H$3))</f>
        <v>484</v>
      </c>
      <c r="F9" s="22" t="n">
        <f aca="false">IF($A9="","",SUMIFS(일일계획실적!$G$5:$G$2004,일일계획실적!$B$5:$B$2004,$A9,일일계획실적!$A$5:$A$2004,"&gt;="&amp;$F$3,일일계획실적!$A$5:$A$2004,"&lt;"&amp;$H$3))</f>
        <v>453</v>
      </c>
      <c r="G9" s="21" t="n">
        <f aca="false">IF(OR($A9="",N(E9)=0),"",F9/E9)</f>
        <v>0.935950413223141</v>
      </c>
      <c r="H9" s="22" t="n">
        <f aca="false">IF($A9="","",SUMIFS(일일계획실적!$I$5:$I$2004,일일계획실적!$B$5:$B$2004,$A9,일일계획실적!$A$5:$A$2004,"&gt;="&amp;$F$3,일일계획실적!$A$5:$A$2004,"&lt;"&amp;$H$3))</f>
        <v>31</v>
      </c>
      <c r="I9" s="22" t="n">
        <f aca="false">IF($A9="","",SUMIFS(일일계획실적!$O$5:$O$2004,일일계획실적!$B$5:$B$2004,$A9,일일계획실적!$A$5:$A$2004,"&gt;="&amp;$F$3,일일계획실적!$A$5:$A$2004,"&lt;"&amp;$H$3))</f>
        <v>176670000</v>
      </c>
      <c r="J9" s="22" t="n">
        <f aca="false">IF($A9="","",SUMIFS(일일계획실적!$Q$5:$Q$2004,일일계획실적!$B$5:$B$2004,$A9,일일계획실적!$A$5:$A$2004,"&gt;="&amp;$F$3,일일계획실적!$A$5:$A$2004,"&lt;"&amp;$H$3))</f>
        <v>138165000</v>
      </c>
      <c r="K9" s="22" t="n">
        <f aca="false">IF($A9="","",SUMIFS(일일계획실적!$L$5:$L$2004,일일계획실적!$B$5:$B$2004,$A9,일일계획실적!$A$5:$A$2004,"&gt;="&amp;$F$3,일일계획실적!$A$5:$A$2004,"&lt;"&amp;$H$3))</f>
        <v>0</v>
      </c>
      <c r="L9" s="22" t="n">
        <f aca="false">IF($A9="","",I9-J9-K9)</f>
        <v>38505000</v>
      </c>
      <c r="M9" s="21" t="n">
        <f aca="false">IF(OR($A9="",N(I9)=0),"",L9/I9)</f>
        <v>0.217948717948718</v>
      </c>
    </row>
    <row r="10" customFormat="false" ht="15" hidden="false" customHeight="false" outlineLevel="0" collapsed="false">
      <c r="A10" s="23" t="str">
        <f aca="false">IF(고객사!$A$9="","",고객사!$A$9)</f>
        <v/>
      </c>
      <c r="B10" s="20" t="str">
        <f aca="false">IF($A10="","",고객사!$B$9)</f>
        <v/>
      </c>
      <c r="C10" s="23" t="str">
        <f aca="false">IF($A10="","",고객사!$G$9)</f>
        <v/>
      </c>
      <c r="D10" s="22" t="str">
        <f aca="false">IF($A10="","",SUMIFS(일일계획실적!$U$5:$U$2004,일일계획실적!$B$5:$B$2004,$A10,일일계획실적!$A$5:$A$2004,"&gt;="&amp;$F$3,일일계획실적!$A$5:$A$2004,"&lt;"&amp;$H$3))</f>
        <v/>
      </c>
      <c r="E10" s="22" t="str">
        <f aca="false">IF($A10="","",SUMIFS(일일계획실적!$F$5:$F$2004,일일계획실적!$B$5:$B$2004,$A10,일일계획실적!$A$5:$A$2004,"&gt;="&amp;$F$3,일일계획실적!$A$5:$A$2004,"&lt;"&amp;$H$3))</f>
        <v/>
      </c>
      <c r="F10" s="22" t="str">
        <f aca="false">IF($A10="","",SUMIFS(일일계획실적!$G$5:$G$2004,일일계획실적!$B$5:$B$2004,$A10,일일계획실적!$A$5:$A$2004,"&gt;="&amp;$F$3,일일계획실적!$A$5:$A$2004,"&lt;"&amp;$H$3))</f>
        <v/>
      </c>
      <c r="G10" s="21" t="str">
        <f aca="false">IF(OR($A10="",N(E10)=0),"",F10/E10)</f>
        <v/>
      </c>
      <c r="H10" s="22" t="str">
        <f aca="false">IF($A10="","",SUMIFS(일일계획실적!$I$5:$I$2004,일일계획실적!$B$5:$B$2004,$A10,일일계획실적!$A$5:$A$2004,"&gt;="&amp;$F$3,일일계획실적!$A$5:$A$2004,"&lt;"&amp;$H$3))</f>
        <v/>
      </c>
      <c r="I10" s="22" t="str">
        <f aca="false">IF($A10="","",SUMIFS(일일계획실적!$O$5:$O$2004,일일계획실적!$B$5:$B$2004,$A10,일일계획실적!$A$5:$A$2004,"&gt;="&amp;$F$3,일일계획실적!$A$5:$A$2004,"&lt;"&amp;$H$3))</f>
        <v/>
      </c>
      <c r="J10" s="22" t="str">
        <f aca="false">IF($A10="","",SUMIFS(일일계획실적!$Q$5:$Q$2004,일일계획실적!$B$5:$B$2004,$A10,일일계획실적!$A$5:$A$2004,"&gt;="&amp;$F$3,일일계획실적!$A$5:$A$2004,"&lt;"&amp;$H$3))</f>
        <v/>
      </c>
      <c r="K10" s="22" t="str">
        <f aca="false">IF($A10="","",SUMIFS(일일계획실적!$L$5:$L$2004,일일계획실적!$B$5:$B$2004,$A10,일일계획실적!$A$5:$A$2004,"&gt;="&amp;$F$3,일일계획실적!$A$5:$A$2004,"&lt;"&amp;$H$3))</f>
        <v/>
      </c>
      <c r="L10" s="22" t="str">
        <f aca="false">IF($A10="","",I10-J10-K10)</f>
        <v/>
      </c>
      <c r="M10" s="21" t="str">
        <f aca="false">IF(OR($A10="",N(I10)=0),"",L10/I10)</f>
        <v/>
      </c>
    </row>
    <row r="11" customFormat="false" ht="15" hidden="false" customHeight="false" outlineLevel="0" collapsed="false">
      <c r="A11" s="23" t="str">
        <f aca="false">IF(고객사!$A$10="","",고객사!$A$10)</f>
        <v/>
      </c>
      <c r="B11" s="20" t="str">
        <f aca="false">IF($A11="","",고객사!$B$10)</f>
        <v/>
      </c>
      <c r="C11" s="23" t="str">
        <f aca="false">IF($A11="","",고객사!$G$10)</f>
        <v/>
      </c>
      <c r="D11" s="22" t="str">
        <f aca="false">IF($A11="","",SUMIFS(일일계획실적!$U$5:$U$2004,일일계획실적!$B$5:$B$2004,$A11,일일계획실적!$A$5:$A$2004,"&gt;="&amp;$F$3,일일계획실적!$A$5:$A$2004,"&lt;"&amp;$H$3))</f>
        <v/>
      </c>
      <c r="E11" s="22" t="str">
        <f aca="false">IF($A11="","",SUMIFS(일일계획실적!$F$5:$F$2004,일일계획실적!$B$5:$B$2004,$A11,일일계획실적!$A$5:$A$2004,"&gt;="&amp;$F$3,일일계획실적!$A$5:$A$2004,"&lt;"&amp;$H$3))</f>
        <v/>
      </c>
      <c r="F11" s="22" t="str">
        <f aca="false">IF($A11="","",SUMIFS(일일계획실적!$G$5:$G$2004,일일계획실적!$B$5:$B$2004,$A11,일일계획실적!$A$5:$A$2004,"&gt;="&amp;$F$3,일일계획실적!$A$5:$A$2004,"&lt;"&amp;$H$3))</f>
        <v/>
      </c>
      <c r="G11" s="21" t="str">
        <f aca="false">IF(OR($A11="",N(E11)=0),"",F11/E11)</f>
        <v/>
      </c>
      <c r="H11" s="22" t="str">
        <f aca="false">IF($A11="","",SUMIFS(일일계획실적!$I$5:$I$2004,일일계획실적!$B$5:$B$2004,$A11,일일계획실적!$A$5:$A$2004,"&gt;="&amp;$F$3,일일계획실적!$A$5:$A$2004,"&lt;"&amp;$H$3))</f>
        <v/>
      </c>
      <c r="I11" s="22" t="str">
        <f aca="false">IF($A11="","",SUMIFS(일일계획실적!$O$5:$O$2004,일일계획실적!$B$5:$B$2004,$A11,일일계획실적!$A$5:$A$2004,"&gt;="&amp;$F$3,일일계획실적!$A$5:$A$2004,"&lt;"&amp;$H$3))</f>
        <v/>
      </c>
      <c r="J11" s="22" t="str">
        <f aca="false">IF($A11="","",SUMIFS(일일계획실적!$Q$5:$Q$2004,일일계획실적!$B$5:$B$2004,$A11,일일계획실적!$A$5:$A$2004,"&gt;="&amp;$F$3,일일계획실적!$A$5:$A$2004,"&lt;"&amp;$H$3))</f>
        <v/>
      </c>
      <c r="K11" s="22" t="str">
        <f aca="false">IF($A11="","",SUMIFS(일일계획실적!$L$5:$L$2004,일일계획실적!$B$5:$B$2004,$A11,일일계획실적!$A$5:$A$2004,"&gt;="&amp;$F$3,일일계획실적!$A$5:$A$2004,"&lt;"&amp;$H$3))</f>
        <v/>
      </c>
      <c r="L11" s="22" t="str">
        <f aca="false">IF($A11="","",I11-J11-K11)</f>
        <v/>
      </c>
      <c r="M11" s="21" t="str">
        <f aca="false">IF(OR($A11="",N(I11)=0),"",L11/I11)</f>
        <v/>
      </c>
    </row>
    <row r="12" customFormat="false" ht="15" hidden="false" customHeight="false" outlineLevel="0" collapsed="false">
      <c r="A12" s="23" t="str">
        <f aca="false">IF(고객사!$A$11="","",고객사!$A$11)</f>
        <v/>
      </c>
      <c r="B12" s="20" t="str">
        <f aca="false">IF($A12="","",고객사!$B$11)</f>
        <v/>
      </c>
      <c r="C12" s="23" t="str">
        <f aca="false">IF($A12="","",고객사!$G$11)</f>
        <v/>
      </c>
      <c r="D12" s="22" t="str">
        <f aca="false">IF($A12="","",SUMIFS(일일계획실적!$U$5:$U$2004,일일계획실적!$B$5:$B$2004,$A12,일일계획실적!$A$5:$A$2004,"&gt;="&amp;$F$3,일일계획실적!$A$5:$A$2004,"&lt;"&amp;$H$3))</f>
        <v/>
      </c>
      <c r="E12" s="22" t="str">
        <f aca="false">IF($A12="","",SUMIFS(일일계획실적!$F$5:$F$2004,일일계획실적!$B$5:$B$2004,$A12,일일계획실적!$A$5:$A$2004,"&gt;="&amp;$F$3,일일계획실적!$A$5:$A$2004,"&lt;"&amp;$H$3))</f>
        <v/>
      </c>
      <c r="F12" s="22" t="str">
        <f aca="false">IF($A12="","",SUMIFS(일일계획실적!$G$5:$G$2004,일일계획실적!$B$5:$B$2004,$A12,일일계획실적!$A$5:$A$2004,"&gt;="&amp;$F$3,일일계획실적!$A$5:$A$2004,"&lt;"&amp;$H$3))</f>
        <v/>
      </c>
      <c r="G12" s="21" t="str">
        <f aca="false">IF(OR($A12="",N(E12)=0),"",F12/E12)</f>
        <v/>
      </c>
      <c r="H12" s="22" t="str">
        <f aca="false">IF($A12="","",SUMIFS(일일계획실적!$I$5:$I$2004,일일계획실적!$B$5:$B$2004,$A12,일일계획실적!$A$5:$A$2004,"&gt;="&amp;$F$3,일일계획실적!$A$5:$A$2004,"&lt;"&amp;$H$3))</f>
        <v/>
      </c>
      <c r="I12" s="22" t="str">
        <f aca="false">IF($A12="","",SUMIFS(일일계획실적!$O$5:$O$2004,일일계획실적!$B$5:$B$2004,$A12,일일계획실적!$A$5:$A$2004,"&gt;="&amp;$F$3,일일계획실적!$A$5:$A$2004,"&lt;"&amp;$H$3))</f>
        <v/>
      </c>
      <c r="J12" s="22" t="str">
        <f aca="false">IF($A12="","",SUMIFS(일일계획실적!$Q$5:$Q$2004,일일계획실적!$B$5:$B$2004,$A12,일일계획실적!$A$5:$A$2004,"&gt;="&amp;$F$3,일일계획실적!$A$5:$A$2004,"&lt;"&amp;$H$3))</f>
        <v/>
      </c>
      <c r="K12" s="22" t="str">
        <f aca="false">IF($A12="","",SUMIFS(일일계획실적!$L$5:$L$2004,일일계획실적!$B$5:$B$2004,$A12,일일계획실적!$A$5:$A$2004,"&gt;="&amp;$F$3,일일계획실적!$A$5:$A$2004,"&lt;"&amp;$H$3))</f>
        <v/>
      </c>
      <c r="L12" s="22" t="str">
        <f aca="false">IF($A12="","",I12-J12-K12)</f>
        <v/>
      </c>
      <c r="M12" s="21" t="str">
        <f aca="false">IF(OR($A12="",N(I12)=0),"",L12/I12)</f>
        <v/>
      </c>
    </row>
    <row r="13" customFormat="false" ht="15" hidden="false" customHeight="false" outlineLevel="0" collapsed="false">
      <c r="A13" s="23" t="str">
        <f aca="false">IF(고객사!$A$12="","",고객사!$A$12)</f>
        <v/>
      </c>
      <c r="B13" s="20" t="str">
        <f aca="false">IF($A13="","",고객사!$B$12)</f>
        <v/>
      </c>
      <c r="C13" s="23" t="str">
        <f aca="false">IF($A13="","",고객사!$G$12)</f>
        <v/>
      </c>
      <c r="D13" s="22" t="str">
        <f aca="false">IF($A13="","",SUMIFS(일일계획실적!$U$5:$U$2004,일일계획실적!$B$5:$B$2004,$A13,일일계획실적!$A$5:$A$2004,"&gt;="&amp;$F$3,일일계획실적!$A$5:$A$2004,"&lt;"&amp;$H$3))</f>
        <v/>
      </c>
      <c r="E13" s="22" t="str">
        <f aca="false">IF($A13="","",SUMIFS(일일계획실적!$F$5:$F$2004,일일계획실적!$B$5:$B$2004,$A13,일일계획실적!$A$5:$A$2004,"&gt;="&amp;$F$3,일일계획실적!$A$5:$A$2004,"&lt;"&amp;$H$3))</f>
        <v/>
      </c>
      <c r="F13" s="22" t="str">
        <f aca="false">IF($A13="","",SUMIFS(일일계획실적!$G$5:$G$2004,일일계획실적!$B$5:$B$2004,$A13,일일계획실적!$A$5:$A$2004,"&gt;="&amp;$F$3,일일계획실적!$A$5:$A$2004,"&lt;"&amp;$H$3))</f>
        <v/>
      </c>
      <c r="G13" s="21" t="str">
        <f aca="false">IF(OR($A13="",N(E13)=0),"",F13/E13)</f>
        <v/>
      </c>
      <c r="H13" s="22" t="str">
        <f aca="false">IF($A13="","",SUMIFS(일일계획실적!$I$5:$I$2004,일일계획실적!$B$5:$B$2004,$A13,일일계획실적!$A$5:$A$2004,"&gt;="&amp;$F$3,일일계획실적!$A$5:$A$2004,"&lt;"&amp;$H$3))</f>
        <v/>
      </c>
      <c r="I13" s="22" t="str">
        <f aca="false">IF($A13="","",SUMIFS(일일계획실적!$O$5:$O$2004,일일계획실적!$B$5:$B$2004,$A13,일일계획실적!$A$5:$A$2004,"&gt;="&amp;$F$3,일일계획실적!$A$5:$A$2004,"&lt;"&amp;$H$3))</f>
        <v/>
      </c>
      <c r="J13" s="22" t="str">
        <f aca="false">IF($A13="","",SUMIFS(일일계획실적!$Q$5:$Q$2004,일일계획실적!$B$5:$B$2004,$A13,일일계획실적!$A$5:$A$2004,"&gt;="&amp;$F$3,일일계획실적!$A$5:$A$2004,"&lt;"&amp;$H$3))</f>
        <v/>
      </c>
      <c r="K13" s="22" t="str">
        <f aca="false">IF($A13="","",SUMIFS(일일계획실적!$L$5:$L$2004,일일계획실적!$B$5:$B$2004,$A13,일일계획실적!$A$5:$A$2004,"&gt;="&amp;$F$3,일일계획실적!$A$5:$A$2004,"&lt;"&amp;$H$3))</f>
        <v/>
      </c>
      <c r="L13" s="22" t="str">
        <f aca="false">IF($A13="","",I13-J13-K13)</f>
        <v/>
      </c>
      <c r="M13" s="21" t="str">
        <f aca="false">IF(OR($A13="",N(I13)=0),"",L13/I13)</f>
        <v/>
      </c>
    </row>
    <row r="14" customFormat="false" ht="15" hidden="false" customHeight="false" outlineLevel="0" collapsed="false">
      <c r="A14" s="23" t="str">
        <f aca="false">IF(고객사!$A$13="","",고객사!$A$13)</f>
        <v/>
      </c>
      <c r="B14" s="20" t="str">
        <f aca="false">IF($A14="","",고객사!$B$13)</f>
        <v/>
      </c>
      <c r="C14" s="23" t="str">
        <f aca="false">IF($A14="","",고객사!$G$13)</f>
        <v/>
      </c>
      <c r="D14" s="22" t="str">
        <f aca="false">IF($A14="","",SUMIFS(일일계획실적!$U$5:$U$2004,일일계획실적!$B$5:$B$2004,$A14,일일계획실적!$A$5:$A$2004,"&gt;="&amp;$F$3,일일계획실적!$A$5:$A$2004,"&lt;"&amp;$H$3))</f>
        <v/>
      </c>
      <c r="E14" s="22" t="str">
        <f aca="false">IF($A14="","",SUMIFS(일일계획실적!$F$5:$F$2004,일일계획실적!$B$5:$B$2004,$A14,일일계획실적!$A$5:$A$2004,"&gt;="&amp;$F$3,일일계획실적!$A$5:$A$2004,"&lt;"&amp;$H$3))</f>
        <v/>
      </c>
      <c r="F14" s="22" t="str">
        <f aca="false">IF($A14="","",SUMIFS(일일계획실적!$G$5:$G$2004,일일계획실적!$B$5:$B$2004,$A14,일일계획실적!$A$5:$A$2004,"&gt;="&amp;$F$3,일일계획실적!$A$5:$A$2004,"&lt;"&amp;$H$3))</f>
        <v/>
      </c>
      <c r="G14" s="21" t="str">
        <f aca="false">IF(OR($A14="",N(E14)=0),"",F14/E14)</f>
        <v/>
      </c>
      <c r="H14" s="22" t="str">
        <f aca="false">IF($A14="","",SUMIFS(일일계획실적!$I$5:$I$2004,일일계획실적!$B$5:$B$2004,$A14,일일계획실적!$A$5:$A$2004,"&gt;="&amp;$F$3,일일계획실적!$A$5:$A$2004,"&lt;"&amp;$H$3))</f>
        <v/>
      </c>
      <c r="I14" s="22" t="str">
        <f aca="false">IF($A14="","",SUMIFS(일일계획실적!$O$5:$O$2004,일일계획실적!$B$5:$B$2004,$A14,일일계획실적!$A$5:$A$2004,"&gt;="&amp;$F$3,일일계획실적!$A$5:$A$2004,"&lt;"&amp;$H$3))</f>
        <v/>
      </c>
      <c r="J14" s="22" t="str">
        <f aca="false">IF($A14="","",SUMIFS(일일계획실적!$Q$5:$Q$2004,일일계획실적!$B$5:$B$2004,$A14,일일계획실적!$A$5:$A$2004,"&gt;="&amp;$F$3,일일계획실적!$A$5:$A$2004,"&lt;"&amp;$H$3))</f>
        <v/>
      </c>
      <c r="K14" s="22" t="str">
        <f aca="false">IF($A14="","",SUMIFS(일일계획실적!$L$5:$L$2004,일일계획실적!$B$5:$B$2004,$A14,일일계획실적!$A$5:$A$2004,"&gt;="&amp;$F$3,일일계획실적!$A$5:$A$2004,"&lt;"&amp;$H$3))</f>
        <v/>
      </c>
      <c r="L14" s="22" t="str">
        <f aca="false">IF($A14="","",I14-J14-K14)</f>
        <v/>
      </c>
      <c r="M14" s="21" t="str">
        <f aca="false">IF(OR($A14="",N(I14)=0),"",L14/I14)</f>
        <v/>
      </c>
    </row>
    <row r="15" customFormat="false" ht="15" hidden="false" customHeight="false" outlineLevel="0" collapsed="false">
      <c r="A15" s="23" t="str">
        <f aca="false">IF(고객사!$A$14="","",고객사!$A$14)</f>
        <v/>
      </c>
      <c r="B15" s="20" t="str">
        <f aca="false">IF($A15="","",고객사!$B$14)</f>
        <v/>
      </c>
      <c r="C15" s="23" t="str">
        <f aca="false">IF($A15="","",고객사!$G$14)</f>
        <v/>
      </c>
      <c r="D15" s="22" t="str">
        <f aca="false">IF($A15="","",SUMIFS(일일계획실적!$U$5:$U$2004,일일계획실적!$B$5:$B$2004,$A15,일일계획실적!$A$5:$A$2004,"&gt;="&amp;$F$3,일일계획실적!$A$5:$A$2004,"&lt;"&amp;$H$3))</f>
        <v/>
      </c>
      <c r="E15" s="22" t="str">
        <f aca="false">IF($A15="","",SUMIFS(일일계획실적!$F$5:$F$2004,일일계획실적!$B$5:$B$2004,$A15,일일계획실적!$A$5:$A$2004,"&gt;="&amp;$F$3,일일계획실적!$A$5:$A$2004,"&lt;"&amp;$H$3))</f>
        <v/>
      </c>
      <c r="F15" s="22" t="str">
        <f aca="false">IF($A15="","",SUMIFS(일일계획실적!$G$5:$G$2004,일일계획실적!$B$5:$B$2004,$A15,일일계획실적!$A$5:$A$2004,"&gt;="&amp;$F$3,일일계획실적!$A$5:$A$2004,"&lt;"&amp;$H$3))</f>
        <v/>
      </c>
      <c r="G15" s="21" t="str">
        <f aca="false">IF(OR($A15="",N(E15)=0),"",F15/E15)</f>
        <v/>
      </c>
      <c r="H15" s="22" t="str">
        <f aca="false">IF($A15="","",SUMIFS(일일계획실적!$I$5:$I$2004,일일계획실적!$B$5:$B$2004,$A15,일일계획실적!$A$5:$A$2004,"&gt;="&amp;$F$3,일일계획실적!$A$5:$A$2004,"&lt;"&amp;$H$3))</f>
        <v/>
      </c>
      <c r="I15" s="22" t="str">
        <f aca="false">IF($A15="","",SUMIFS(일일계획실적!$O$5:$O$2004,일일계획실적!$B$5:$B$2004,$A15,일일계획실적!$A$5:$A$2004,"&gt;="&amp;$F$3,일일계획실적!$A$5:$A$2004,"&lt;"&amp;$H$3))</f>
        <v/>
      </c>
      <c r="J15" s="22" t="str">
        <f aca="false">IF($A15="","",SUMIFS(일일계획실적!$Q$5:$Q$2004,일일계획실적!$B$5:$B$2004,$A15,일일계획실적!$A$5:$A$2004,"&gt;="&amp;$F$3,일일계획실적!$A$5:$A$2004,"&lt;"&amp;$H$3))</f>
        <v/>
      </c>
      <c r="K15" s="22" t="str">
        <f aca="false">IF($A15="","",SUMIFS(일일계획실적!$L$5:$L$2004,일일계획실적!$B$5:$B$2004,$A15,일일계획실적!$A$5:$A$2004,"&gt;="&amp;$F$3,일일계획실적!$A$5:$A$2004,"&lt;"&amp;$H$3))</f>
        <v/>
      </c>
      <c r="L15" s="22" t="str">
        <f aca="false">IF($A15="","",I15-J15-K15)</f>
        <v/>
      </c>
      <c r="M15" s="21" t="str">
        <f aca="false">IF(OR($A15="",N(I15)=0),"",L15/I15)</f>
        <v/>
      </c>
    </row>
    <row r="16" customFormat="false" ht="15" hidden="false" customHeight="false" outlineLevel="0" collapsed="false">
      <c r="A16" s="23" t="str">
        <f aca="false">IF(고객사!$A$15="","",고객사!$A$15)</f>
        <v/>
      </c>
      <c r="B16" s="20" t="str">
        <f aca="false">IF($A16="","",고객사!$B$15)</f>
        <v/>
      </c>
      <c r="C16" s="23" t="str">
        <f aca="false">IF($A16="","",고객사!$G$15)</f>
        <v/>
      </c>
      <c r="D16" s="22" t="str">
        <f aca="false">IF($A16="","",SUMIFS(일일계획실적!$U$5:$U$2004,일일계획실적!$B$5:$B$2004,$A16,일일계획실적!$A$5:$A$2004,"&gt;="&amp;$F$3,일일계획실적!$A$5:$A$2004,"&lt;"&amp;$H$3))</f>
        <v/>
      </c>
      <c r="E16" s="22" t="str">
        <f aca="false">IF($A16="","",SUMIFS(일일계획실적!$F$5:$F$2004,일일계획실적!$B$5:$B$2004,$A16,일일계획실적!$A$5:$A$2004,"&gt;="&amp;$F$3,일일계획실적!$A$5:$A$2004,"&lt;"&amp;$H$3))</f>
        <v/>
      </c>
      <c r="F16" s="22" t="str">
        <f aca="false">IF($A16="","",SUMIFS(일일계획실적!$G$5:$G$2004,일일계획실적!$B$5:$B$2004,$A16,일일계획실적!$A$5:$A$2004,"&gt;="&amp;$F$3,일일계획실적!$A$5:$A$2004,"&lt;"&amp;$H$3))</f>
        <v/>
      </c>
      <c r="G16" s="21" t="str">
        <f aca="false">IF(OR($A16="",N(E16)=0),"",F16/E16)</f>
        <v/>
      </c>
      <c r="H16" s="22" t="str">
        <f aca="false">IF($A16="","",SUMIFS(일일계획실적!$I$5:$I$2004,일일계획실적!$B$5:$B$2004,$A16,일일계획실적!$A$5:$A$2004,"&gt;="&amp;$F$3,일일계획실적!$A$5:$A$2004,"&lt;"&amp;$H$3))</f>
        <v/>
      </c>
      <c r="I16" s="22" t="str">
        <f aca="false">IF($A16="","",SUMIFS(일일계획실적!$O$5:$O$2004,일일계획실적!$B$5:$B$2004,$A16,일일계획실적!$A$5:$A$2004,"&gt;="&amp;$F$3,일일계획실적!$A$5:$A$2004,"&lt;"&amp;$H$3))</f>
        <v/>
      </c>
      <c r="J16" s="22" t="str">
        <f aca="false">IF($A16="","",SUMIFS(일일계획실적!$Q$5:$Q$2004,일일계획실적!$B$5:$B$2004,$A16,일일계획실적!$A$5:$A$2004,"&gt;="&amp;$F$3,일일계획실적!$A$5:$A$2004,"&lt;"&amp;$H$3))</f>
        <v/>
      </c>
      <c r="K16" s="22" t="str">
        <f aca="false">IF($A16="","",SUMIFS(일일계획실적!$L$5:$L$2004,일일계획실적!$B$5:$B$2004,$A16,일일계획실적!$A$5:$A$2004,"&gt;="&amp;$F$3,일일계획실적!$A$5:$A$2004,"&lt;"&amp;$H$3))</f>
        <v/>
      </c>
      <c r="L16" s="22" t="str">
        <f aca="false">IF($A16="","",I16-J16-K16)</f>
        <v/>
      </c>
      <c r="M16" s="21" t="str">
        <f aca="false">IF(OR($A16="",N(I16)=0),"",L16/I16)</f>
        <v/>
      </c>
    </row>
    <row r="17" customFormat="false" ht="15" hidden="false" customHeight="false" outlineLevel="0" collapsed="false">
      <c r="A17" s="23" t="str">
        <f aca="false">IF(고객사!$A$16="","",고객사!$A$16)</f>
        <v/>
      </c>
      <c r="B17" s="20" t="str">
        <f aca="false">IF($A17="","",고객사!$B$16)</f>
        <v/>
      </c>
      <c r="C17" s="23" t="str">
        <f aca="false">IF($A17="","",고객사!$G$16)</f>
        <v/>
      </c>
      <c r="D17" s="22" t="str">
        <f aca="false">IF($A17="","",SUMIFS(일일계획실적!$U$5:$U$2004,일일계획실적!$B$5:$B$2004,$A17,일일계획실적!$A$5:$A$2004,"&gt;="&amp;$F$3,일일계획실적!$A$5:$A$2004,"&lt;"&amp;$H$3))</f>
        <v/>
      </c>
      <c r="E17" s="22" t="str">
        <f aca="false">IF($A17="","",SUMIFS(일일계획실적!$F$5:$F$2004,일일계획실적!$B$5:$B$2004,$A17,일일계획실적!$A$5:$A$2004,"&gt;="&amp;$F$3,일일계획실적!$A$5:$A$2004,"&lt;"&amp;$H$3))</f>
        <v/>
      </c>
      <c r="F17" s="22" t="str">
        <f aca="false">IF($A17="","",SUMIFS(일일계획실적!$G$5:$G$2004,일일계획실적!$B$5:$B$2004,$A17,일일계획실적!$A$5:$A$2004,"&gt;="&amp;$F$3,일일계획실적!$A$5:$A$2004,"&lt;"&amp;$H$3))</f>
        <v/>
      </c>
      <c r="G17" s="21" t="str">
        <f aca="false">IF(OR($A17="",N(E17)=0),"",F17/E17)</f>
        <v/>
      </c>
      <c r="H17" s="22" t="str">
        <f aca="false">IF($A17="","",SUMIFS(일일계획실적!$I$5:$I$2004,일일계획실적!$B$5:$B$2004,$A17,일일계획실적!$A$5:$A$2004,"&gt;="&amp;$F$3,일일계획실적!$A$5:$A$2004,"&lt;"&amp;$H$3))</f>
        <v/>
      </c>
      <c r="I17" s="22" t="str">
        <f aca="false">IF($A17="","",SUMIFS(일일계획실적!$O$5:$O$2004,일일계획실적!$B$5:$B$2004,$A17,일일계획실적!$A$5:$A$2004,"&gt;="&amp;$F$3,일일계획실적!$A$5:$A$2004,"&lt;"&amp;$H$3))</f>
        <v/>
      </c>
      <c r="J17" s="22" t="str">
        <f aca="false">IF($A17="","",SUMIFS(일일계획실적!$Q$5:$Q$2004,일일계획실적!$B$5:$B$2004,$A17,일일계획실적!$A$5:$A$2004,"&gt;="&amp;$F$3,일일계획실적!$A$5:$A$2004,"&lt;"&amp;$H$3))</f>
        <v/>
      </c>
      <c r="K17" s="22" t="str">
        <f aca="false">IF($A17="","",SUMIFS(일일계획실적!$L$5:$L$2004,일일계획실적!$B$5:$B$2004,$A17,일일계획실적!$A$5:$A$2004,"&gt;="&amp;$F$3,일일계획실적!$A$5:$A$2004,"&lt;"&amp;$H$3))</f>
        <v/>
      </c>
      <c r="L17" s="22" t="str">
        <f aca="false">IF($A17="","",I17-J17-K17)</f>
        <v/>
      </c>
      <c r="M17" s="21" t="str">
        <f aca="false">IF(OR($A17="",N(I17)=0),"",L17/I17)</f>
        <v/>
      </c>
    </row>
    <row r="18" customFormat="false" ht="15" hidden="false" customHeight="false" outlineLevel="0" collapsed="false">
      <c r="A18" s="23" t="str">
        <f aca="false">IF(고객사!$A$17="","",고객사!$A$17)</f>
        <v/>
      </c>
      <c r="B18" s="20" t="str">
        <f aca="false">IF($A18="","",고객사!$B$17)</f>
        <v/>
      </c>
      <c r="C18" s="23" t="str">
        <f aca="false">IF($A18="","",고객사!$G$17)</f>
        <v/>
      </c>
      <c r="D18" s="22" t="str">
        <f aca="false">IF($A18="","",SUMIFS(일일계획실적!$U$5:$U$2004,일일계획실적!$B$5:$B$2004,$A18,일일계획실적!$A$5:$A$2004,"&gt;="&amp;$F$3,일일계획실적!$A$5:$A$2004,"&lt;"&amp;$H$3))</f>
        <v/>
      </c>
      <c r="E18" s="22" t="str">
        <f aca="false">IF($A18="","",SUMIFS(일일계획실적!$F$5:$F$2004,일일계획실적!$B$5:$B$2004,$A18,일일계획실적!$A$5:$A$2004,"&gt;="&amp;$F$3,일일계획실적!$A$5:$A$2004,"&lt;"&amp;$H$3))</f>
        <v/>
      </c>
      <c r="F18" s="22" t="str">
        <f aca="false">IF($A18="","",SUMIFS(일일계획실적!$G$5:$G$2004,일일계획실적!$B$5:$B$2004,$A18,일일계획실적!$A$5:$A$2004,"&gt;="&amp;$F$3,일일계획실적!$A$5:$A$2004,"&lt;"&amp;$H$3))</f>
        <v/>
      </c>
      <c r="G18" s="21" t="str">
        <f aca="false">IF(OR($A18="",N(E18)=0),"",F18/E18)</f>
        <v/>
      </c>
      <c r="H18" s="22" t="str">
        <f aca="false">IF($A18="","",SUMIFS(일일계획실적!$I$5:$I$2004,일일계획실적!$B$5:$B$2004,$A18,일일계획실적!$A$5:$A$2004,"&gt;="&amp;$F$3,일일계획실적!$A$5:$A$2004,"&lt;"&amp;$H$3))</f>
        <v/>
      </c>
      <c r="I18" s="22" t="str">
        <f aca="false">IF($A18="","",SUMIFS(일일계획실적!$O$5:$O$2004,일일계획실적!$B$5:$B$2004,$A18,일일계획실적!$A$5:$A$2004,"&gt;="&amp;$F$3,일일계획실적!$A$5:$A$2004,"&lt;"&amp;$H$3))</f>
        <v/>
      </c>
      <c r="J18" s="22" t="str">
        <f aca="false">IF($A18="","",SUMIFS(일일계획실적!$Q$5:$Q$2004,일일계획실적!$B$5:$B$2004,$A18,일일계획실적!$A$5:$A$2004,"&gt;="&amp;$F$3,일일계획실적!$A$5:$A$2004,"&lt;"&amp;$H$3))</f>
        <v/>
      </c>
      <c r="K18" s="22" t="str">
        <f aca="false">IF($A18="","",SUMIFS(일일계획실적!$L$5:$L$2004,일일계획실적!$B$5:$B$2004,$A18,일일계획실적!$A$5:$A$2004,"&gt;="&amp;$F$3,일일계획실적!$A$5:$A$2004,"&lt;"&amp;$H$3))</f>
        <v/>
      </c>
      <c r="L18" s="22" t="str">
        <f aca="false">IF($A18="","",I18-J18-K18)</f>
        <v/>
      </c>
      <c r="M18" s="21" t="str">
        <f aca="false">IF(OR($A18="",N(I18)=0),"",L18/I18)</f>
        <v/>
      </c>
    </row>
    <row r="19" customFormat="false" ht="15" hidden="false" customHeight="false" outlineLevel="0" collapsed="false">
      <c r="A19" s="23" t="str">
        <f aca="false">IF(고객사!$A$18="","",고객사!$A$18)</f>
        <v/>
      </c>
      <c r="B19" s="20" t="str">
        <f aca="false">IF($A19="","",고객사!$B$18)</f>
        <v/>
      </c>
      <c r="C19" s="23" t="str">
        <f aca="false">IF($A19="","",고객사!$G$18)</f>
        <v/>
      </c>
      <c r="D19" s="22" t="str">
        <f aca="false">IF($A19="","",SUMIFS(일일계획실적!$U$5:$U$2004,일일계획실적!$B$5:$B$2004,$A19,일일계획실적!$A$5:$A$2004,"&gt;="&amp;$F$3,일일계획실적!$A$5:$A$2004,"&lt;"&amp;$H$3))</f>
        <v/>
      </c>
      <c r="E19" s="22" t="str">
        <f aca="false">IF($A19="","",SUMIFS(일일계획실적!$F$5:$F$2004,일일계획실적!$B$5:$B$2004,$A19,일일계획실적!$A$5:$A$2004,"&gt;="&amp;$F$3,일일계획실적!$A$5:$A$2004,"&lt;"&amp;$H$3))</f>
        <v/>
      </c>
      <c r="F19" s="22" t="str">
        <f aca="false">IF($A19="","",SUMIFS(일일계획실적!$G$5:$G$2004,일일계획실적!$B$5:$B$2004,$A19,일일계획실적!$A$5:$A$2004,"&gt;="&amp;$F$3,일일계획실적!$A$5:$A$2004,"&lt;"&amp;$H$3))</f>
        <v/>
      </c>
      <c r="G19" s="21" t="str">
        <f aca="false">IF(OR($A19="",N(E19)=0),"",F19/E19)</f>
        <v/>
      </c>
      <c r="H19" s="22" t="str">
        <f aca="false">IF($A19="","",SUMIFS(일일계획실적!$I$5:$I$2004,일일계획실적!$B$5:$B$2004,$A19,일일계획실적!$A$5:$A$2004,"&gt;="&amp;$F$3,일일계획실적!$A$5:$A$2004,"&lt;"&amp;$H$3))</f>
        <v/>
      </c>
      <c r="I19" s="22" t="str">
        <f aca="false">IF($A19="","",SUMIFS(일일계획실적!$O$5:$O$2004,일일계획실적!$B$5:$B$2004,$A19,일일계획실적!$A$5:$A$2004,"&gt;="&amp;$F$3,일일계획실적!$A$5:$A$2004,"&lt;"&amp;$H$3))</f>
        <v/>
      </c>
      <c r="J19" s="22" t="str">
        <f aca="false">IF($A19="","",SUMIFS(일일계획실적!$Q$5:$Q$2004,일일계획실적!$B$5:$B$2004,$A19,일일계획실적!$A$5:$A$2004,"&gt;="&amp;$F$3,일일계획실적!$A$5:$A$2004,"&lt;"&amp;$H$3))</f>
        <v/>
      </c>
      <c r="K19" s="22" t="str">
        <f aca="false">IF($A19="","",SUMIFS(일일계획실적!$L$5:$L$2004,일일계획실적!$B$5:$B$2004,$A19,일일계획실적!$A$5:$A$2004,"&gt;="&amp;$F$3,일일계획실적!$A$5:$A$2004,"&lt;"&amp;$H$3))</f>
        <v/>
      </c>
      <c r="L19" s="22" t="str">
        <f aca="false">IF($A19="","",I19-J19-K19)</f>
        <v/>
      </c>
      <c r="M19" s="21" t="str">
        <f aca="false">IF(OR($A19="",N(I19)=0),"",L19/I19)</f>
        <v/>
      </c>
    </row>
    <row r="20" customFormat="false" ht="15" hidden="false" customHeight="false" outlineLevel="0" collapsed="false">
      <c r="A20" s="23" t="str">
        <f aca="false">IF(고객사!$A$19="","",고객사!$A$19)</f>
        <v/>
      </c>
      <c r="B20" s="20" t="str">
        <f aca="false">IF($A20="","",고객사!$B$19)</f>
        <v/>
      </c>
      <c r="C20" s="23" t="str">
        <f aca="false">IF($A20="","",고객사!$G$19)</f>
        <v/>
      </c>
      <c r="D20" s="22" t="str">
        <f aca="false">IF($A20="","",SUMIFS(일일계획실적!$U$5:$U$2004,일일계획실적!$B$5:$B$2004,$A20,일일계획실적!$A$5:$A$2004,"&gt;="&amp;$F$3,일일계획실적!$A$5:$A$2004,"&lt;"&amp;$H$3))</f>
        <v/>
      </c>
      <c r="E20" s="22" t="str">
        <f aca="false">IF($A20="","",SUMIFS(일일계획실적!$F$5:$F$2004,일일계획실적!$B$5:$B$2004,$A20,일일계획실적!$A$5:$A$2004,"&gt;="&amp;$F$3,일일계획실적!$A$5:$A$2004,"&lt;"&amp;$H$3))</f>
        <v/>
      </c>
      <c r="F20" s="22" t="str">
        <f aca="false">IF($A20="","",SUMIFS(일일계획실적!$G$5:$G$2004,일일계획실적!$B$5:$B$2004,$A20,일일계획실적!$A$5:$A$2004,"&gt;="&amp;$F$3,일일계획실적!$A$5:$A$2004,"&lt;"&amp;$H$3))</f>
        <v/>
      </c>
      <c r="G20" s="21" t="str">
        <f aca="false">IF(OR($A20="",N(E20)=0),"",F20/E20)</f>
        <v/>
      </c>
      <c r="H20" s="22" t="str">
        <f aca="false">IF($A20="","",SUMIFS(일일계획실적!$I$5:$I$2004,일일계획실적!$B$5:$B$2004,$A20,일일계획실적!$A$5:$A$2004,"&gt;="&amp;$F$3,일일계획실적!$A$5:$A$2004,"&lt;"&amp;$H$3))</f>
        <v/>
      </c>
      <c r="I20" s="22" t="str">
        <f aca="false">IF($A20="","",SUMIFS(일일계획실적!$O$5:$O$2004,일일계획실적!$B$5:$B$2004,$A20,일일계획실적!$A$5:$A$2004,"&gt;="&amp;$F$3,일일계획실적!$A$5:$A$2004,"&lt;"&amp;$H$3))</f>
        <v/>
      </c>
      <c r="J20" s="22" t="str">
        <f aca="false">IF($A20="","",SUMIFS(일일계획실적!$Q$5:$Q$2004,일일계획실적!$B$5:$B$2004,$A20,일일계획실적!$A$5:$A$2004,"&gt;="&amp;$F$3,일일계획실적!$A$5:$A$2004,"&lt;"&amp;$H$3))</f>
        <v/>
      </c>
      <c r="K20" s="22" t="str">
        <f aca="false">IF($A20="","",SUMIFS(일일계획실적!$L$5:$L$2004,일일계획실적!$B$5:$B$2004,$A20,일일계획실적!$A$5:$A$2004,"&gt;="&amp;$F$3,일일계획실적!$A$5:$A$2004,"&lt;"&amp;$H$3))</f>
        <v/>
      </c>
      <c r="L20" s="22" t="str">
        <f aca="false">IF($A20="","",I20-J20-K20)</f>
        <v/>
      </c>
      <c r="M20" s="21" t="str">
        <f aca="false">IF(OR($A20="",N(I20)=0),"",L20/I20)</f>
        <v/>
      </c>
    </row>
    <row r="21" customFormat="false" ht="15" hidden="false" customHeight="false" outlineLevel="0" collapsed="false">
      <c r="A21" s="23" t="str">
        <f aca="false">IF(고객사!$A$20="","",고객사!$A$20)</f>
        <v/>
      </c>
      <c r="B21" s="20" t="str">
        <f aca="false">IF($A21="","",고객사!$B$20)</f>
        <v/>
      </c>
      <c r="C21" s="23" t="str">
        <f aca="false">IF($A21="","",고객사!$G$20)</f>
        <v/>
      </c>
      <c r="D21" s="22" t="str">
        <f aca="false">IF($A21="","",SUMIFS(일일계획실적!$U$5:$U$2004,일일계획실적!$B$5:$B$2004,$A21,일일계획실적!$A$5:$A$2004,"&gt;="&amp;$F$3,일일계획실적!$A$5:$A$2004,"&lt;"&amp;$H$3))</f>
        <v/>
      </c>
      <c r="E21" s="22" t="str">
        <f aca="false">IF($A21="","",SUMIFS(일일계획실적!$F$5:$F$2004,일일계획실적!$B$5:$B$2004,$A21,일일계획실적!$A$5:$A$2004,"&gt;="&amp;$F$3,일일계획실적!$A$5:$A$2004,"&lt;"&amp;$H$3))</f>
        <v/>
      </c>
      <c r="F21" s="22" t="str">
        <f aca="false">IF($A21="","",SUMIFS(일일계획실적!$G$5:$G$2004,일일계획실적!$B$5:$B$2004,$A21,일일계획실적!$A$5:$A$2004,"&gt;="&amp;$F$3,일일계획실적!$A$5:$A$2004,"&lt;"&amp;$H$3))</f>
        <v/>
      </c>
      <c r="G21" s="21" t="str">
        <f aca="false">IF(OR($A21="",N(E21)=0),"",F21/E21)</f>
        <v/>
      </c>
      <c r="H21" s="22" t="str">
        <f aca="false">IF($A21="","",SUMIFS(일일계획실적!$I$5:$I$2004,일일계획실적!$B$5:$B$2004,$A21,일일계획실적!$A$5:$A$2004,"&gt;="&amp;$F$3,일일계획실적!$A$5:$A$2004,"&lt;"&amp;$H$3))</f>
        <v/>
      </c>
      <c r="I21" s="22" t="str">
        <f aca="false">IF($A21="","",SUMIFS(일일계획실적!$O$5:$O$2004,일일계획실적!$B$5:$B$2004,$A21,일일계획실적!$A$5:$A$2004,"&gt;="&amp;$F$3,일일계획실적!$A$5:$A$2004,"&lt;"&amp;$H$3))</f>
        <v/>
      </c>
      <c r="J21" s="22" t="str">
        <f aca="false">IF($A21="","",SUMIFS(일일계획실적!$Q$5:$Q$2004,일일계획실적!$B$5:$B$2004,$A21,일일계획실적!$A$5:$A$2004,"&gt;="&amp;$F$3,일일계획실적!$A$5:$A$2004,"&lt;"&amp;$H$3))</f>
        <v/>
      </c>
      <c r="K21" s="22" t="str">
        <f aca="false">IF($A21="","",SUMIFS(일일계획실적!$L$5:$L$2004,일일계획실적!$B$5:$B$2004,$A21,일일계획실적!$A$5:$A$2004,"&gt;="&amp;$F$3,일일계획실적!$A$5:$A$2004,"&lt;"&amp;$H$3))</f>
        <v/>
      </c>
      <c r="L21" s="22" t="str">
        <f aca="false">IF($A21="","",I21-J21-K21)</f>
        <v/>
      </c>
      <c r="M21" s="21" t="str">
        <f aca="false">IF(OR($A21="",N(I21)=0),"",L21/I21)</f>
        <v/>
      </c>
    </row>
    <row r="22" customFormat="false" ht="15" hidden="false" customHeight="false" outlineLevel="0" collapsed="false">
      <c r="A22" s="23" t="str">
        <f aca="false">IF(고객사!$A$21="","",고객사!$A$21)</f>
        <v/>
      </c>
      <c r="B22" s="20" t="str">
        <f aca="false">IF($A22="","",고객사!$B$21)</f>
        <v/>
      </c>
      <c r="C22" s="23" t="str">
        <f aca="false">IF($A22="","",고객사!$G$21)</f>
        <v/>
      </c>
      <c r="D22" s="22" t="str">
        <f aca="false">IF($A22="","",SUMIFS(일일계획실적!$U$5:$U$2004,일일계획실적!$B$5:$B$2004,$A22,일일계획실적!$A$5:$A$2004,"&gt;="&amp;$F$3,일일계획실적!$A$5:$A$2004,"&lt;"&amp;$H$3))</f>
        <v/>
      </c>
      <c r="E22" s="22" t="str">
        <f aca="false">IF($A22="","",SUMIFS(일일계획실적!$F$5:$F$2004,일일계획실적!$B$5:$B$2004,$A22,일일계획실적!$A$5:$A$2004,"&gt;="&amp;$F$3,일일계획실적!$A$5:$A$2004,"&lt;"&amp;$H$3))</f>
        <v/>
      </c>
      <c r="F22" s="22" t="str">
        <f aca="false">IF($A22="","",SUMIFS(일일계획실적!$G$5:$G$2004,일일계획실적!$B$5:$B$2004,$A22,일일계획실적!$A$5:$A$2004,"&gt;="&amp;$F$3,일일계획실적!$A$5:$A$2004,"&lt;"&amp;$H$3))</f>
        <v/>
      </c>
      <c r="G22" s="21" t="str">
        <f aca="false">IF(OR($A22="",N(E22)=0),"",F22/E22)</f>
        <v/>
      </c>
      <c r="H22" s="22" t="str">
        <f aca="false">IF($A22="","",SUMIFS(일일계획실적!$I$5:$I$2004,일일계획실적!$B$5:$B$2004,$A22,일일계획실적!$A$5:$A$2004,"&gt;="&amp;$F$3,일일계획실적!$A$5:$A$2004,"&lt;"&amp;$H$3))</f>
        <v/>
      </c>
      <c r="I22" s="22" t="str">
        <f aca="false">IF($A22="","",SUMIFS(일일계획실적!$O$5:$O$2004,일일계획실적!$B$5:$B$2004,$A22,일일계획실적!$A$5:$A$2004,"&gt;="&amp;$F$3,일일계획실적!$A$5:$A$2004,"&lt;"&amp;$H$3))</f>
        <v/>
      </c>
      <c r="J22" s="22" t="str">
        <f aca="false">IF($A22="","",SUMIFS(일일계획실적!$Q$5:$Q$2004,일일계획실적!$B$5:$B$2004,$A22,일일계획실적!$A$5:$A$2004,"&gt;="&amp;$F$3,일일계획실적!$A$5:$A$2004,"&lt;"&amp;$H$3))</f>
        <v/>
      </c>
      <c r="K22" s="22" t="str">
        <f aca="false">IF($A22="","",SUMIFS(일일계획실적!$L$5:$L$2004,일일계획실적!$B$5:$B$2004,$A22,일일계획실적!$A$5:$A$2004,"&gt;="&amp;$F$3,일일계획실적!$A$5:$A$2004,"&lt;"&amp;$H$3))</f>
        <v/>
      </c>
      <c r="L22" s="22" t="str">
        <f aca="false">IF($A22="","",I22-J22-K22)</f>
        <v/>
      </c>
      <c r="M22" s="21" t="str">
        <f aca="false">IF(OR($A22="",N(I22)=0),"",L22/I22)</f>
        <v/>
      </c>
    </row>
    <row r="23" customFormat="false" ht="15" hidden="false" customHeight="false" outlineLevel="0" collapsed="false">
      <c r="A23" s="23" t="str">
        <f aca="false">IF(고객사!$A$22="","",고객사!$A$22)</f>
        <v/>
      </c>
      <c r="B23" s="20" t="str">
        <f aca="false">IF($A23="","",고객사!$B$22)</f>
        <v/>
      </c>
      <c r="C23" s="23" t="str">
        <f aca="false">IF($A23="","",고객사!$G$22)</f>
        <v/>
      </c>
      <c r="D23" s="22" t="str">
        <f aca="false">IF($A23="","",SUMIFS(일일계획실적!$U$5:$U$2004,일일계획실적!$B$5:$B$2004,$A23,일일계획실적!$A$5:$A$2004,"&gt;="&amp;$F$3,일일계획실적!$A$5:$A$2004,"&lt;"&amp;$H$3))</f>
        <v/>
      </c>
      <c r="E23" s="22" t="str">
        <f aca="false">IF($A23="","",SUMIFS(일일계획실적!$F$5:$F$2004,일일계획실적!$B$5:$B$2004,$A23,일일계획실적!$A$5:$A$2004,"&gt;="&amp;$F$3,일일계획실적!$A$5:$A$2004,"&lt;"&amp;$H$3))</f>
        <v/>
      </c>
      <c r="F23" s="22" t="str">
        <f aca="false">IF($A23="","",SUMIFS(일일계획실적!$G$5:$G$2004,일일계획실적!$B$5:$B$2004,$A23,일일계획실적!$A$5:$A$2004,"&gt;="&amp;$F$3,일일계획실적!$A$5:$A$2004,"&lt;"&amp;$H$3))</f>
        <v/>
      </c>
      <c r="G23" s="21" t="str">
        <f aca="false">IF(OR($A23="",N(E23)=0),"",F23/E23)</f>
        <v/>
      </c>
      <c r="H23" s="22" t="str">
        <f aca="false">IF($A23="","",SUMIFS(일일계획실적!$I$5:$I$2004,일일계획실적!$B$5:$B$2004,$A23,일일계획실적!$A$5:$A$2004,"&gt;="&amp;$F$3,일일계획실적!$A$5:$A$2004,"&lt;"&amp;$H$3))</f>
        <v/>
      </c>
      <c r="I23" s="22" t="str">
        <f aca="false">IF($A23="","",SUMIFS(일일계획실적!$O$5:$O$2004,일일계획실적!$B$5:$B$2004,$A23,일일계획실적!$A$5:$A$2004,"&gt;="&amp;$F$3,일일계획실적!$A$5:$A$2004,"&lt;"&amp;$H$3))</f>
        <v/>
      </c>
      <c r="J23" s="22" t="str">
        <f aca="false">IF($A23="","",SUMIFS(일일계획실적!$Q$5:$Q$2004,일일계획실적!$B$5:$B$2004,$A23,일일계획실적!$A$5:$A$2004,"&gt;="&amp;$F$3,일일계획실적!$A$5:$A$2004,"&lt;"&amp;$H$3))</f>
        <v/>
      </c>
      <c r="K23" s="22" t="str">
        <f aca="false">IF($A23="","",SUMIFS(일일계획실적!$L$5:$L$2004,일일계획실적!$B$5:$B$2004,$A23,일일계획실적!$A$5:$A$2004,"&gt;="&amp;$F$3,일일계획실적!$A$5:$A$2004,"&lt;"&amp;$H$3))</f>
        <v/>
      </c>
      <c r="L23" s="22" t="str">
        <f aca="false">IF($A23="","",I23-J23-K23)</f>
        <v/>
      </c>
      <c r="M23" s="21" t="str">
        <f aca="false">IF(OR($A23="",N(I23)=0),"",L23/I23)</f>
        <v/>
      </c>
    </row>
    <row r="24" customFormat="false" ht="15" hidden="false" customHeight="false" outlineLevel="0" collapsed="false">
      <c r="A24" s="23" t="str">
        <f aca="false">IF(고객사!$A$23="","",고객사!$A$23)</f>
        <v/>
      </c>
      <c r="B24" s="20" t="str">
        <f aca="false">IF($A24="","",고객사!$B$23)</f>
        <v/>
      </c>
      <c r="C24" s="23" t="str">
        <f aca="false">IF($A24="","",고객사!$G$23)</f>
        <v/>
      </c>
      <c r="D24" s="22" t="str">
        <f aca="false">IF($A24="","",SUMIFS(일일계획실적!$U$5:$U$2004,일일계획실적!$B$5:$B$2004,$A24,일일계획실적!$A$5:$A$2004,"&gt;="&amp;$F$3,일일계획실적!$A$5:$A$2004,"&lt;"&amp;$H$3))</f>
        <v/>
      </c>
      <c r="E24" s="22" t="str">
        <f aca="false">IF($A24="","",SUMIFS(일일계획실적!$F$5:$F$2004,일일계획실적!$B$5:$B$2004,$A24,일일계획실적!$A$5:$A$2004,"&gt;="&amp;$F$3,일일계획실적!$A$5:$A$2004,"&lt;"&amp;$H$3))</f>
        <v/>
      </c>
      <c r="F24" s="22" t="str">
        <f aca="false">IF($A24="","",SUMIFS(일일계획실적!$G$5:$G$2004,일일계획실적!$B$5:$B$2004,$A24,일일계획실적!$A$5:$A$2004,"&gt;="&amp;$F$3,일일계획실적!$A$5:$A$2004,"&lt;"&amp;$H$3))</f>
        <v/>
      </c>
      <c r="G24" s="21" t="str">
        <f aca="false">IF(OR($A24="",N(E24)=0),"",F24/E24)</f>
        <v/>
      </c>
      <c r="H24" s="22" t="str">
        <f aca="false">IF($A24="","",SUMIFS(일일계획실적!$I$5:$I$2004,일일계획실적!$B$5:$B$2004,$A24,일일계획실적!$A$5:$A$2004,"&gt;="&amp;$F$3,일일계획실적!$A$5:$A$2004,"&lt;"&amp;$H$3))</f>
        <v/>
      </c>
      <c r="I24" s="22" t="str">
        <f aca="false">IF($A24="","",SUMIFS(일일계획실적!$O$5:$O$2004,일일계획실적!$B$5:$B$2004,$A24,일일계획실적!$A$5:$A$2004,"&gt;="&amp;$F$3,일일계획실적!$A$5:$A$2004,"&lt;"&amp;$H$3))</f>
        <v/>
      </c>
      <c r="J24" s="22" t="str">
        <f aca="false">IF($A24="","",SUMIFS(일일계획실적!$Q$5:$Q$2004,일일계획실적!$B$5:$B$2004,$A24,일일계획실적!$A$5:$A$2004,"&gt;="&amp;$F$3,일일계획실적!$A$5:$A$2004,"&lt;"&amp;$H$3))</f>
        <v/>
      </c>
      <c r="K24" s="22" t="str">
        <f aca="false">IF($A24="","",SUMIFS(일일계획실적!$L$5:$L$2004,일일계획실적!$B$5:$B$2004,$A24,일일계획실적!$A$5:$A$2004,"&gt;="&amp;$F$3,일일계획실적!$A$5:$A$2004,"&lt;"&amp;$H$3))</f>
        <v/>
      </c>
      <c r="L24" s="22" t="str">
        <f aca="false">IF($A24="","",I24-J24-K24)</f>
        <v/>
      </c>
      <c r="M24" s="21" t="str">
        <f aca="false">IF(OR($A24="",N(I24)=0),"",L24/I24)</f>
        <v/>
      </c>
    </row>
    <row r="25" customFormat="false" ht="15" hidden="false" customHeight="false" outlineLevel="0" collapsed="false">
      <c r="A25" s="23" t="str">
        <f aca="false">IF(고객사!$A$24="","",고객사!$A$24)</f>
        <v/>
      </c>
      <c r="B25" s="20" t="str">
        <f aca="false">IF($A25="","",고객사!$B$24)</f>
        <v/>
      </c>
      <c r="C25" s="23" t="str">
        <f aca="false">IF($A25="","",고객사!$G$24)</f>
        <v/>
      </c>
      <c r="D25" s="22" t="str">
        <f aca="false">IF($A25="","",SUMIFS(일일계획실적!$U$5:$U$2004,일일계획실적!$B$5:$B$2004,$A25,일일계획실적!$A$5:$A$2004,"&gt;="&amp;$F$3,일일계획실적!$A$5:$A$2004,"&lt;"&amp;$H$3))</f>
        <v/>
      </c>
      <c r="E25" s="22" t="str">
        <f aca="false">IF($A25="","",SUMIFS(일일계획실적!$F$5:$F$2004,일일계획실적!$B$5:$B$2004,$A25,일일계획실적!$A$5:$A$2004,"&gt;="&amp;$F$3,일일계획실적!$A$5:$A$2004,"&lt;"&amp;$H$3))</f>
        <v/>
      </c>
      <c r="F25" s="22" t="str">
        <f aca="false">IF($A25="","",SUMIFS(일일계획실적!$G$5:$G$2004,일일계획실적!$B$5:$B$2004,$A25,일일계획실적!$A$5:$A$2004,"&gt;="&amp;$F$3,일일계획실적!$A$5:$A$2004,"&lt;"&amp;$H$3))</f>
        <v/>
      </c>
      <c r="G25" s="21" t="str">
        <f aca="false">IF(OR($A25="",N(E25)=0),"",F25/E25)</f>
        <v/>
      </c>
      <c r="H25" s="22" t="str">
        <f aca="false">IF($A25="","",SUMIFS(일일계획실적!$I$5:$I$2004,일일계획실적!$B$5:$B$2004,$A25,일일계획실적!$A$5:$A$2004,"&gt;="&amp;$F$3,일일계획실적!$A$5:$A$2004,"&lt;"&amp;$H$3))</f>
        <v/>
      </c>
      <c r="I25" s="22" t="str">
        <f aca="false">IF($A25="","",SUMIFS(일일계획실적!$O$5:$O$2004,일일계획실적!$B$5:$B$2004,$A25,일일계획실적!$A$5:$A$2004,"&gt;="&amp;$F$3,일일계획실적!$A$5:$A$2004,"&lt;"&amp;$H$3))</f>
        <v/>
      </c>
      <c r="J25" s="22" t="str">
        <f aca="false">IF($A25="","",SUMIFS(일일계획실적!$Q$5:$Q$2004,일일계획실적!$B$5:$B$2004,$A25,일일계획실적!$A$5:$A$2004,"&gt;="&amp;$F$3,일일계획실적!$A$5:$A$2004,"&lt;"&amp;$H$3))</f>
        <v/>
      </c>
      <c r="K25" s="22" t="str">
        <f aca="false">IF($A25="","",SUMIFS(일일계획실적!$L$5:$L$2004,일일계획실적!$B$5:$B$2004,$A25,일일계획실적!$A$5:$A$2004,"&gt;="&amp;$F$3,일일계획실적!$A$5:$A$2004,"&lt;"&amp;$H$3))</f>
        <v/>
      </c>
      <c r="L25" s="22" t="str">
        <f aca="false">IF($A25="","",I25-J25-K25)</f>
        <v/>
      </c>
      <c r="M25" s="21" t="str">
        <f aca="false">IF(OR($A25="",N(I25)=0),"",L25/I25)</f>
        <v/>
      </c>
    </row>
    <row r="26" customFormat="false" ht="15" hidden="false" customHeight="false" outlineLevel="0" collapsed="false">
      <c r="A26" s="23" t="str">
        <f aca="false">IF(고객사!$A$25="","",고객사!$A$25)</f>
        <v/>
      </c>
      <c r="B26" s="20" t="str">
        <f aca="false">IF($A26="","",고객사!$B$25)</f>
        <v/>
      </c>
      <c r="C26" s="23" t="str">
        <f aca="false">IF($A26="","",고객사!$G$25)</f>
        <v/>
      </c>
      <c r="D26" s="22" t="str">
        <f aca="false">IF($A26="","",SUMIFS(일일계획실적!$U$5:$U$2004,일일계획실적!$B$5:$B$2004,$A26,일일계획실적!$A$5:$A$2004,"&gt;="&amp;$F$3,일일계획실적!$A$5:$A$2004,"&lt;"&amp;$H$3))</f>
        <v/>
      </c>
      <c r="E26" s="22" t="str">
        <f aca="false">IF($A26="","",SUMIFS(일일계획실적!$F$5:$F$2004,일일계획실적!$B$5:$B$2004,$A26,일일계획실적!$A$5:$A$2004,"&gt;="&amp;$F$3,일일계획실적!$A$5:$A$2004,"&lt;"&amp;$H$3))</f>
        <v/>
      </c>
      <c r="F26" s="22" t="str">
        <f aca="false">IF($A26="","",SUMIFS(일일계획실적!$G$5:$G$2004,일일계획실적!$B$5:$B$2004,$A26,일일계획실적!$A$5:$A$2004,"&gt;="&amp;$F$3,일일계획실적!$A$5:$A$2004,"&lt;"&amp;$H$3))</f>
        <v/>
      </c>
      <c r="G26" s="21" t="str">
        <f aca="false">IF(OR($A26="",N(E26)=0),"",F26/E26)</f>
        <v/>
      </c>
      <c r="H26" s="22" t="str">
        <f aca="false">IF($A26="","",SUMIFS(일일계획실적!$I$5:$I$2004,일일계획실적!$B$5:$B$2004,$A26,일일계획실적!$A$5:$A$2004,"&gt;="&amp;$F$3,일일계획실적!$A$5:$A$2004,"&lt;"&amp;$H$3))</f>
        <v/>
      </c>
      <c r="I26" s="22" t="str">
        <f aca="false">IF($A26="","",SUMIFS(일일계획실적!$O$5:$O$2004,일일계획실적!$B$5:$B$2004,$A26,일일계획실적!$A$5:$A$2004,"&gt;="&amp;$F$3,일일계획실적!$A$5:$A$2004,"&lt;"&amp;$H$3))</f>
        <v/>
      </c>
      <c r="J26" s="22" t="str">
        <f aca="false">IF($A26="","",SUMIFS(일일계획실적!$Q$5:$Q$2004,일일계획실적!$B$5:$B$2004,$A26,일일계획실적!$A$5:$A$2004,"&gt;="&amp;$F$3,일일계획실적!$A$5:$A$2004,"&lt;"&amp;$H$3))</f>
        <v/>
      </c>
      <c r="K26" s="22" t="str">
        <f aca="false">IF($A26="","",SUMIFS(일일계획실적!$L$5:$L$2004,일일계획실적!$B$5:$B$2004,$A26,일일계획실적!$A$5:$A$2004,"&gt;="&amp;$F$3,일일계획실적!$A$5:$A$2004,"&lt;"&amp;$H$3))</f>
        <v/>
      </c>
      <c r="L26" s="22" t="str">
        <f aca="false">IF($A26="","",I26-J26-K26)</f>
        <v/>
      </c>
      <c r="M26" s="21" t="str">
        <f aca="false">IF(OR($A26="",N(I26)=0),"",L26/I26)</f>
        <v/>
      </c>
    </row>
    <row r="27" customFormat="false" ht="15" hidden="false" customHeight="false" outlineLevel="0" collapsed="false">
      <c r="A27" s="23" t="str">
        <f aca="false">IF(고객사!$A$26="","",고객사!$A$26)</f>
        <v/>
      </c>
      <c r="B27" s="20" t="str">
        <f aca="false">IF($A27="","",고객사!$B$26)</f>
        <v/>
      </c>
      <c r="C27" s="23" t="str">
        <f aca="false">IF($A27="","",고객사!$G$26)</f>
        <v/>
      </c>
      <c r="D27" s="22" t="str">
        <f aca="false">IF($A27="","",SUMIFS(일일계획실적!$U$5:$U$2004,일일계획실적!$B$5:$B$2004,$A27,일일계획실적!$A$5:$A$2004,"&gt;="&amp;$F$3,일일계획실적!$A$5:$A$2004,"&lt;"&amp;$H$3))</f>
        <v/>
      </c>
      <c r="E27" s="22" t="str">
        <f aca="false">IF($A27="","",SUMIFS(일일계획실적!$F$5:$F$2004,일일계획실적!$B$5:$B$2004,$A27,일일계획실적!$A$5:$A$2004,"&gt;="&amp;$F$3,일일계획실적!$A$5:$A$2004,"&lt;"&amp;$H$3))</f>
        <v/>
      </c>
      <c r="F27" s="22" t="str">
        <f aca="false">IF($A27="","",SUMIFS(일일계획실적!$G$5:$G$2004,일일계획실적!$B$5:$B$2004,$A27,일일계획실적!$A$5:$A$2004,"&gt;="&amp;$F$3,일일계획실적!$A$5:$A$2004,"&lt;"&amp;$H$3))</f>
        <v/>
      </c>
      <c r="G27" s="21" t="str">
        <f aca="false">IF(OR($A27="",N(E27)=0),"",F27/E27)</f>
        <v/>
      </c>
      <c r="H27" s="22" t="str">
        <f aca="false">IF($A27="","",SUMIFS(일일계획실적!$I$5:$I$2004,일일계획실적!$B$5:$B$2004,$A27,일일계획실적!$A$5:$A$2004,"&gt;="&amp;$F$3,일일계획실적!$A$5:$A$2004,"&lt;"&amp;$H$3))</f>
        <v/>
      </c>
      <c r="I27" s="22" t="str">
        <f aca="false">IF($A27="","",SUMIFS(일일계획실적!$O$5:$O$2004,일일계획실적!$B$5:$B$2004,$A27,일일계획실적!$A$5:$A$2004,"&gt;="&amp;$F$3,일일계획실적!$A$5:$A$2004,"&lt;"&amp;$H$3))</f>
        <v/>
      </c>
      <c r="J27" s="22" t="str">
        <f aca="false">IF($A27="","",SUMIFS(일일계획실적!$Q$5:$Q$2004,일일계획실적!$B$5:$B$2004,$A27,일일계획실적!$A$5:$A$2004,"&gt;="&amp;$F$3,일일계획실적!$A$5:$A$2004,"&lt;"&amp;$H$3))</f>
        <v/>
      </c>
      <c r="K27" s="22" t="str">
        <f aca="false">IF($A27="","",SUMIFS(일일계획실적!$L$5:$L$2004,일일계획실적!$B$5:$B$2004,$A27,일일계획실적!$A$5:$A$2004,"&gt;="&amp;$F$3,일일계획실적!$A$5:$A$2004,"&lt;"&amp;$H$3))</f>
        <v/>
      </c>
      <c r="L27" s="22" t="str">
        <f aca="false">IF($A27="","",I27-J27-K27)</f>
        <v/>
      </c>
      <c r="M27" s="21" t="str">
        <f aca="false">IF(OR($A27="",N(I27)=0),"",L27/I27)</f>
        <v/>
      </c>
    </row>
    <row r="28" customFormat="false" ht="15" hidden="false" customHeight="false" outlineLevel="0" collapsed="false">
      <c r="A28" s="23" t="str">
        <f aca="false">IF(고객사!$A$27="","",고객사!$A$27)</f>
        <v/>
      </c>
      <c r="B28" s="20" t="str">
        <f aca="false">IF($A28="","",고객사!$B$27)</f>
        <v/>
      </c>
      <c r="C28" s="23" t="str">
        <f aca="false">IF($A28="","",고객사!$G$27)</f>
        <v/>
      </c>
      <c r="D28" s="22" t="str">
        <f aca="false">IF($A28="","",SUMIFS(일일계획실적!$U$5:$U$2004,일일계획실적!$B$5:$B$2004,$A28,일일계획실적!$A$5:$A$2004,"&gt;="&amp;$F$3,일일계획실적!$A$5:$A$2004,"&lt;"&amp;$H$3))</f>
        <v/>
      </c>
      <c r="E28" s="22" t="str">
        <f aca="false">IF($A28="","",SUMIFS(일일계획실적!$F$5:$F$2004,일일계획실적!$B$5:$B$2004,$A28,일일계획실적!$A$5:$A$2004,"&gt;="&amp;$F$3,일일계획실적!$A$5:$A$2004,"&lt;"&amp;$H$3))</f>
        <v/>
      </c>
      <c r="F28" s="22" t="str">
        <f aca="false">IF($A28="","",SUMIFS(일일계획실적!$G$5:$G$2004,일일계획실적!$B$5:$B$2004,$A28,일일계획실적!$A$5:$A$2004,"&gt;="&amp;$F$3,일일계획실적!$A$5:$A$2004,"&lt;"&amp;$H$3))</f>
        <v/>
      </c>
      <c r="G28" s="21" t="str">
        <f aca="false">IF(OR($A28="",N(E28)=0),"",F28/E28)</f>
        <v/>
      </c>
      <c r="H28" s="22" t="str">
        <f aca="false">IF($A28="","",SUMIFS(일일계획실적!$I$5:$I$2004,일일계획실적!$B$5:$B$2004,$A28,일일계획실적!$A$5:$A$2004,"&gt;="&amp;$F$3,일일계획실적!$A$5:$A$2004,"&lt;"&amp;$H$3))</f>
        <v/>
      </c>
      <c r="I28" s="22" t="str">
        <f aca="false">IF($A28="","",SUMIFS(일일계획실적!$O$5:$O$2004,일일계획실적!$B$5:$B$2004,$A28,일일계획실적!$A$5:$A$2004,"&gt;="&amp;$F$3,일일계획실적!$A$5:$A$2004,"&lt;"&amp;$H$3))</f>
        <v/>
      </c>
      <c r="J28" s="22" t="str">
        <f aca="false">IF($A28="","",SUMIFS(일일계획실적!$Q$5:$Q$2004,일일계획실적!$B$5:$B$2004,$A28,일일계획실적!$A$5:$A$2004,"&gt;="&amp;$F$3,일일계획실적!$A$5:$A$2004,"&lt;"&amp;$H$3))</f>
        <v/>
      </c>
      <c r="K28" s="22" t="str">
        <f aca="false">IF($A28="","",SUMIFS(일일계획실적!$L$5:$L$2004,일일계획실적!$B$5:$B$2004,$A28,일일계획실적!$A$5:$A$2004,"&gt;="&amp;$F$3,일일계획실적!$A$5:$A$2004,"&lt;"&amp;$H$3))</f>
        <v/>
      </c>
      <c r="L28" s="22" t="str">
        <f aca="false">IF($A28="","",I28-J28-K28)</f>
        <v/>
      </c>
      <c r="M28" s="21" t="str">
        <f aca="false">IF(OR($A28="",N(I28)=0),"",L28/I28)</f>
        <v/>
      </c>
    </row>
    <row r="29" customFormat="false" ht="15" hidden="false" customHeight="false" outlineLevel="0" collapsed="false">
      <c r="A29" s="23" t="str">
        <f aca="false">IF(고객사!$A$28="","",고객사!$A$28)</f>
        <v/>
      </c>
      <c r="B29" s="20" t="str">
        <f aca="false">IF($A29="","",고객사!$B$28)</f>
        <v/>
      </c>
      <c r="C29" s="23" t="str">
        <f aca="false">IF($A29="","",고객사!$G$28)</f>
        <v/>
      </c>
      <c r="D29" s="22" t="str">
        <f aca="false">IF($A29="","",SUMIFS(일일계획실적!$U$5:$U$2004,일일계획실적!$B$5:$B$2004,$A29,일일계획실적!$A$5:$A$2004,"&gt;="&amp;$F$3,일일계획실적!$A$5:$A$2004,"&lt;"&amp;$H$3))</f>
        <v/>
      </c>
      <c r="E29" s="22" t="str">
        <f aca="false">IF($A29="","",SUMIFS(일일계획실적!$F$5:$F$2004,일일계획실적!$B$5:$B$2004,$A29,일일계획실적!$A$5:$A$2004,"&gt;="&amp;$F$3,일일계획실적!$A$5:$A$2004,"&lt;"&amp;$H$3))</f>
        <v/>
      </c>
      <c r="F29" s="22" t="str">
        <f aca="false">IF($A29="","",SUMIFS(일일계획실적!$G$5:$G$2004,일일계획실적!$B$5:$B$2004,$A29,일일계획실적!$A$5:$A$2004,"&gt;="&amp;$F$3,일일계획실적!$A$5:$A$2004,"&lt;"&amp;$H$3))</f>
        <v/>
      </c>
      <c r="G29" s="21" t="str">
        <f aca="false">IF(OR($A29="",N(E29)=0),"",F29/E29)</f>
        <v/>
      </c>
      <c r="H29" s="22" t="str">
        <f aca="false">IF($A29="","",SUMIFS(일일계획실적!$I$5:$I$2004,일일계획실적!$B$5:$B$2004,$A29,일일계획실적!$A$5:$A$2004,"&gt;="&amp;$F$3,일일계획실적!$A$5:$A$2004,"&lt;"&amp;$H$3))</f>
        <v/>
      </c>
      <c r="I29" s="22" t="str">
        <f aca="false">IF($A29="","",SUMIFS(일일계획실적!$O$5:$O$2004,일일계획실적!$B$5:$B$2004,$A29,일일계획실적!$A$5:$A$2004,"&gt;="&amp;$F$3,일일계획실적!$A$5:$A$2004,"&lt;"&amp;$H$3))</f>
        <v/>
      </c>
      <c r="J29" s="22" t="str">
        <f aca="false">IF($A29="","",SUMIFS(일일계획실적!$Q$5:$Q$2004,일일계획실적!$B$5:$B$2004,$A29,일일계획실적!$A$5:$A$2004,"&gt;="&amp;$F$3,일일계획실적!$A$5:$A$2004,"&lt;"&amp;$H$3))</f>
        <v/>
      </c>
      <c r="K29" s="22" t="str">
        <f aca="false">IF($A29="","",SUMIFS(일일계획실적!$L$5:$L$2004,일일계획실적!$B$5:$B$2004,$A29,일일계획실적!$A$5:$A$2004,"&gt;="&amp;$F$3,일일계획실적!$A$5:$A$2004,"&lt;"&amp;$H$3))</f>
        <v/>
      </c>
      <c r="L29" s="22" t="str">
        <f aca="false">IF($A29="","",I29-J29-K29)</f>
        <v/>
      </c>
      <c r="M29" s="21" t="str">
        <f aca="false">IF(OR($A29="",N(I29)=0),"",L29/I29)</f>
        <v/>
      </c>
    </row>
    <row r="30" customFormat="false" ht="15" hidden="false" customHeight="false" outlineLevel="0" collapsed="false">
      <c r="A30" s="23" t="str">
        <f aca="false">IF(고객사!$A$29="","",고객사!$A$29)</f>
        <v/>
      </c>
      <c r="B30" s="20" t="str">
        <f aca="false">IF($A30="","",고객사!$B$29)</f>
        <v/>
      </c>
      <c r="C30" s="23" t="str">
        <f aca="false">IF($A30="","",고객사!$G$29)</f>
        <v/>
      </c>
      <c r="D30" s="22" t="str">
        <f aca="false">IF($A30="","",SUMIFS(일일계획실적!$U$5:$U$2004,일일계획실적!$B$5:$B$2004,$A30,일일계획실적!$A$5:$A$2004,"&gt;="&amp;$F$3,일일계획실적!$A$5:$A$2004,"&lt;"&amp;$H$3))</f>
        <v/>
      </c>
      <c r="E30" s="22" t="str">
        <f aca="false">IF($A30="","",SUMIFS(일일계획실적!$F$5:$F$2004,일일계획실적!$B$5:$B$2004,$A30,일일계획실적!$A$5:$A$2004,"&gt;="&amp;$F$3,일일계획실적!$A$5:$A$2004,"&lt;"&amp;$H$3))</f>
        <v/>
      </c>
      <c r="F30" s="22" t="str">
        <f aca="false">IF($A30="","",SUMIFS(일일계획실적!$G$5:$G$2004,일일계획실적!$B$5:$B$2004,$A30,일일계획실적!$A$5:$A$2004,"&gt;="&amp;$F$3,일일계획실적!$A$5:$A$2004,"&lt;"&amp;$H$3))</f>
        <v/>
      </c>
      <c r="G30" s="21" t="str">
        <f aca="false">IF(OR($A30="",N(E30)=0),"",F30/E30)</f>
        <v/>
      </c>
      <c r="H30" s="22" t="str">
        <f aca="false">IF($A30="","",SUMIFS(일일계획실적!$I$5:$I$2004,일일계획실적!$B$5:$B$2004,$A30,일일계획실적!$A$5:$A$2004,"&gt;="&amp;$F$3,일일계획실적!$A$5:$A$2004,"&lt;"&amp;$H$3))</f>
        <v/>
      </c>
      <c r="I30" s="22" t="str">
        <f aca="false">IF($A30="","",SUMIFS(일일계획실적!$O$5:$O$2004,일일계획실적!$B$5:$B$2004,$A30,일일계획실적!$A$5:$A$2004,"&gt;="&amp;$F$3,일일계획실적!$A$5:$A$2004,"&lt;"&amp;$H$3))</f>
        <v/>
      </c>
      <c r="J30" s="22" t="str">
        <f aca="false">IF($A30="","",SUMIFS(일일계획실적!$Q$5:$Q$2004,일일계획실적!$B$5:$B$2004,$A30,일일계획실적!$A$5:$A$2004,"&gt;="&amp;$F$3,일일계획실적!$A$5:$A$2004,"&lt;"&amp;$H$3))</f>
        <v/>
      </c>
      <c r="K30" s="22" t="str">
        <f aca="false">IF($A30="","",SUMIFS(일일계획실적!$L$5:$L$2004,일일계획실적!$B$5:$B$2004,$A30,일일계획실적!$A$5:$A$2004,"&gt;="&amp;$F$3,일일계획실적!$A$5:$A$2004,"&lt;"&amp;$H$3))</f>
        <v/>
      </c>
      <c r="L30" s="22" t="str">
        <f aca="false">IF($A30="","",I30-J30-K30)</f>
        <v/>
      </c>
      <c r="M30" s="21" t="str">
        <f aca="false">IF(OR($A30="",N(I30)=0),"",L30/I30)</f>
        <v/>
      </c>
    </row>
    <row r="31" customFormat="false" ht="15" hidden="false" customHeight="false" outlineLevel="0" collapsed="false">
      <c r="A31" s="23" t="str">
        <f aca="false">IF(고객사!$A$30="","",고객사!$A$30)</f>
        <v/>
      </c>
      <c r="B31" s="20" t="str">
        <f aca="false">IF($A31="","",고객사!$B$30)</f>
        <v/>
      </c>
      <c r="C31" s="23" t="str">
        <f aca="false">IF($A31="","",고객사!$G$30)</f>
        <v/>
      </c>
      <c r="D31" s="22" t="str">
        <f aca="false">IF($A31="","",SUMIFS(일일계획실적!$U$5:$U$2004,일일계획실적!$B$5:$B$2004,$A31,일일계획실적!$A$5:$A$2004,"&gt;="&amp;$F$3,일일계획실적!$A$5:$A$2004,"&lt;"&amp;$H$3))</f>
        <v/>
      </c>
      <c r="E31" s="22" t="str">
        <f aca="false">IF($A31="","",SUMIFS(일일계획실적!$F$5:$F$2004,일일계획실적!$B$5:$B$2004,$A31,일일계획실적!$A$5:$A$2004,"&gt;="&amp;$F$3,일일계획실적!$A$5:$A$2004,"&lt;"&amp;$H$3))</f>
        <v/>
      </c>
      <c r="F31" s="22" t="str">
        <f aca="false">IF($A31="","",SUMIFS(일일계획실적!$G$5:$G$2004,일일계획실적!$B$5:$B$2004,$A31,일일계획실적!$A$5:$A$2004,"&gt;="&amp;$F$3,일일계획실적!$A$5:$A$2004,"&lt;"&amp;$H$3))</f>
        <v/>
      </c>
      <c r="G31" s="21" t="str">
        <f aca="false">IF(OR($A31="",N(E31)=0),"",F31/E31)</f>
        <v/>
      </c>
      <c r="H31" s="22" t="str">
        <f aca="false">IF($A31="","",SUMIFS(일일계획실적!$I$5:$I$2004,일일계획실적!$B$5:$B$2004,$A31,일일계획실적!$A$5:$A$2004,"&gt;="&amp;$F$3,일일계획실적!$A$5:$A$2004,"&lt;"&amp;$H$3))</f>
        <v/>
      </c>
      <c r="I31" s="22" t="str">
        <f aca="false">IF($A31="","",SUMIFS(일일계획실적!$O$5:$O$2004,일일계획실적!$B$5:$B$2004,$A31,일일계획실적!$A$5:$A$2004,"&gt;="&amp;$F$3,일일계획실적!$A$5:$A$2004,"&lt;"&amp;$H$3))</f>
        <v/>
      </c>
      <c r="J31" s="22" t="str">
        <f aca="false">IF($A31="","",SUMIFS(일일계획실적!$Q$5:$Q$2004,일일계획실적!$B$5:$B$2004,$A31,일일계획실적!$A$5:$A$2004,"&gt;="&amp;$F$3,일일계획실적!$A$5:$A$2004,"&lt;"&amp;$H$3))</f>
        <v/>
      </c>
      <c r="K31" s="22" t="str">
        <f aca="false">IF($A31="","",SUMIFS(일일계획실적!$L$5:$L$2004,일일계획실적!$B$5:$B$2004,$A31,일일계획실적!$A$5:$A$2004,"&gt;="&amp;$F$3,일일계획실적!$A$5:$A$2004,"&lt;"&amp;$H$3))</f>
        <v/>
      </c>
      <c r="L31" s="22" t="str">
        <f aca="false">IF($A31="","",I31-J31-K31)</f>
        <v/>
      </c>
      <c r="M31" s="21" t="str">
        <f aca="false">IF(OR($A31="",N(I31)=0),"",L31/I31)</f>
        <v/>
      </c>
    </row>
    <row r="32" customFormat="false" ht="15" hidden="false" customHeight="false" outlineLevel="0" collapsed="false">
      <c r="A32" s="23" t="str">
        <f aca="false">IF(고객사!$A$31="","",고객사!$A$31)</f>
        <v/>
      </c>
      <c r="B32" s="20" t="str">
        <f aca="false">IF($A32="","",고객사!$B$31)</f>
        <v/>
      </c>
      <c r="C32" s="23" t="str">
        <f aca="false">IF($A32="","",고객사!$G$31)</f>
        <v/>
      </c>
      <c r="D32" s="22" t="str">
        <f aca="false">IF($A32="","",SUMIFS(일일계획실적!$U$5:$U$2004,일일계획실적!$B$5:$B$2004,$A32,일일계획실적!$A$5:$A$2004,"&gt;="&amp;$F$3,일일계획실적!$A$5:$A$2004,"&lt;"&amp;$H$3))</f>
        <v/>
      </c>
      <c r="E32" s="22" t="str">
        <f aca="false">IF($A32="","",SUMIFS(일일계획실적!$F$5:$F$2004,일일계획실적!$B$5:$B$2004,$A32,일일계획실적!$A$5:$A$2004,"&gt;="&amp;$F$3,일일계획실적!$A$5:$A$2004,"&lt;"&amp;$H$3))</f>
        <v/>
      </c>
      <c r="F32" s="22" t="str">
        <f aca="false">IF($A32="","",SUMIFS(일일계획실적!$G$5:$G$2004,일일계획실적!$B$5:$B$2004,$A32,일일계획실적!$A$5:$A$2004,"&gt;="&amp;$F$3,일일계획실적!$A$5:$A$2004,"&lt;"&amp;$H$3))</f>
        <v/>
      </c>
      <c r="G32" s="21" t="str">
        <f aca="false">IF(OR($A32="",N(E32)=0),"",F32/E32)</f>
        <v/>
      </c>
      <c r="H32" s="22" t="str">
        <f aca="false">IF($A32="","",SUMIFS(일일계획실적!$I$5:$I$2004,일일계획실적!$B$5:$B$2004,$A32,일일계획실적!$A$5:$A$2004,"&gt;="&amp;$F$3,일일계획실적!$A$5:$A$2004,"&lt;"&amp;$H$3))</f>
        <v/>
      </c>
      <c r="I32" s="22" t="str">
        <f aca="false">IF($A32="","",SUMIFS(일일계획실적!$O$5:$O$2004,일일계획실적!$B$5:$B$2004,$A32,일일계획실적!$A$5:$A$2004,"&gt;="&amp;$F$3,일일계획실적!$A$5:$A$2004,"&lt;"&amp;$H$3))</f>
        <v/>
      </c>
      <c r="J32" s="22" t="str">
        <f aca="false">IF($A32="","",SUMIFS(일일계획실적!$Q$5:$Q$2004,일일계획실적!$B$5:$B$2004,$A32,일일계획실적!$A$5:$A$2004,"&gt;="&amp;$F$3,일일계획실적!$A$5:$A$2004,"&lt;"&amp;$H$3))</f>
        <v/>
      </c>
      <c r="K32" s="22" t="str">
        <f aca="false">IF($A32="","",SUMIFS(일일계획실적!$L$5:$L$2004,일일계획실적!$B$5:$B$2004,$A32,일일계획실적!$A$5:$A$2004,"&gt;="&amp;$F$3,일일계획실적!$A$5:$A$2004,"&lt;"&amp;$H$3))</f>
        <v/>
      </c>
      <c r="L32" s="22" t="str">
        <f aca="false">IF($A32="","",I32-J32-K32)</f>
        <v/>
      </c>
      <c r="M32" s="21" t="str">
        <f aca="false">IF(OR($A32="",N(I32)=0),"",L32/I32)</f>
        <v/>
      </c>
    </row>
    <row r="33" customFormat="false" ht="15" hidden="false" customHeight="false" outlineLevel="0" collapsed="false">
      <c r="A33" s="23" t="str">
        <f aca="false">IF(고객사!$A$32="","",고객사!$A$32)</f>
        <v/>
      </c>
      <c r="B33" s="20" t="str">
        <f aca="false">IF($A33="","",고객사!$B$32)</f>
        <v/>
      </c>
      <c r="C33" s="23" t="str">
        <f aca="false">IF($A33="","",고객사!$G$32)</f>
        <v/>
      </c>
      <c r="D33" s="22" t="str">
        <f aca="false">IF($A33="","",SUMIFS(일일계획실적!$U$5:$U$2004,일일계획실적!$B$5:$B$2004,$A33,일일계획실적!$A$5:$A$2004,"&gt;="&amp;$F$3,일일계획실적!$A$5:$A$2004,"&lt;"&amp;$H$3))</f>
        <v/>
      </c>
      <c r="E33" s="22" t="str">
        <f aca="false">IF($A33="","",SUMIFS(일일계획실적!$F$5:$F$2004,일일계획실적!$B$5:$B$2004,$A33,일일계획실적!$A$5:$A$2004,"&gt;="&amp;$F$3,일일계획실적!$A$5:$A$2004,"&lt;"&amp;$H$3))</f>
        <v/>
      </c>
      <c r="F33" s="22" t="str">
        <f aca="false">IF($A33="","",SUMIFS(일일계획실적!$G$5:$G$2004,일일계획실적!$B$5:$B$2004,$A33,일일계획실적!$A$5:$A$2004,"&gt;="&amp;$F$3,일일계획실적!$A$5:$A$2004,"&lt;"&amp;$H$3))</f>
        <v/>
      </c>
      <c r="G33" s="21" t="str">
        <f aca="false">IF(OR($A33="",N(E33)=0),"",F33/E33)</f>
        <v/>
      </c>
      <c r="H33" s="22" t="str">
        <f aca="false">IF($A33="","",SUMIFS(일일계획실적!$I$5:$I$2004,일일계획실적!$B$5:$B$2004,$A33,일일계획실적!$A$5:$A$2004,"&gt;="&amp;$F$3,일일계획실적!$A$5:$A$2004,"&lt;"&amp;$H$3))</f>
        <v/>
      </c>
      <c r="I33" s="22" t="str">
        <f aca="false">IF($A33="","",SUMIFS(일일계획실적!$O$5:$O$2004,일일계획실적!$B$5:$B$2004,$A33,일일계획실적!$A$5:$A$2004,"&gt;="&amp;$F$3,일일계획실적!$A$5:$A$2004,"&lt;"&amp;$H$3))</f>
        <v/>
      </c>
      <c r="J33" s="22" t="str">
        <f aca="false">IF($A33="","",SUMIFS(일일계획실적!$Q$5:$Q$2004,일일계획실적!$B$5:$B$2004,$A33,일일계획실적!$A$5:$A$2004,"&gt;="&amp;$F$3,일일계획실적!$A$5:$A$2004,"&lt;"&amp;$H$3))</f>
        <v/>
      </c>
      <c r="K33" s="22" t="str">
        <f aca="false">IF($A33="","",SUMIFS(일일계획실적!$L$5:$L$2004,일일계획실적!$B$5:$B$2004,$A33,일일계획실적!$A$5:$A$2004,"&gt;="&amp;$F$3,일일계획실적!$A$5:$A$2004,"&lt;"&amp;$H$3))</f>
        <v/>
      </c>
      <c r="L33" s="22" t="str">
        <f aca="false">IF($A33="","",I33-J33-K33)</f>
        <v/>
      </c>
      <c r="M33" s="21" t="str">
        <f aca="false">IF(OR($A33="",N(I33)=0),"",L33/I33)</f>
        <v/>
      </c>
    </row>
    <row r="34" customFormat="false" ht="15" hidden="false" customHeight="false" outlineLevel="0" collapsed="false">
      <c r="A34" s="23" t="str">
        <f aca="false">IF(고객사!$A$33="","",고객사!$A$33)</f>
        <v/>
      </c>
      <c r="B34" s="20" t="str">
        <f aca="false">IF($A34="","",고객사!$B$33)</f>
        <v/>
      </c>
      <c r="C34" s="23" t="str">
        <f aca="false">IF($A34="","",고객사!$G$33)</f>
        <v/>
      </c>
      <c r="D34" s="22" t="str">
        <f aca="false">IF($A34="","",SUMIFS(일일계획실적!$U$5:$U$2004,일일계획실적!$B$5:$B$2004,$A34,일일계획실적!$A$5:$A$2004,"&gt;="&amp;$F$3,일일계획실적!$A$5:$A$2004,"&lt;"&amp;$H$3))</f>
        <v/>
      </c>
      <c r="E34" s="22" t="str">
        <f aca="false">IF($A34="","",SUMIFS(일일계획실적!$F$5:$F$2004,일일계획실적!$B$5:$B$2004,$A34,일일계획실적!$A$5:$A$2004,"&gt;="&amp;$F$3,일일계획실적!$A$5:$A$2004,"&lt;"&amp;$H$3))</f>
        <v/>
      </c>
      <c r="F34" s="22" t="str">
        <f aca="false">IF($A34="","",SUMIFS(일일계획실적!$G$5:$G$2004,일일계획실적!$B$5:$B$2004,$A34,일일계획실적!$A$5:$A$2004,"&gt;="&amp;$F$3,일일계획실적!$A$5:$A$2004,"&lt;"&amp;$H$3))</f>
        <v/>
      </c>
      <c r="G34" s="21" t="str">
        <f aca="false">IF(OR($A34="",N(E34)=0),"",F34/E34)</f>
        <v/>
      </c>
      <c r="H34" s="22" t="str">
        <f aca="false">IF($A34="","",SUMIFS(일일계획실적!$I$5:$I$2004,일일계획실적!$B$5:$B$2004,$A34,일일계획실적!$A$5:$A$2004,"&gt;="&amp;$F$3,일일계획실적!$A$5:$A$2004,"&lt;"&amp;$H$3))</f>
        <v/>
      </c>
      <c r="I34" s="22" t="str">
        <f aca="false">IF($A34="","",SUMIFS(일일계획실적!$O$5:$O$2004,일일계획실적!$B$5:$B$2004,$A34,일일계획실적!$A$5:$A$2004,"&gt;="&amp;$F$3,일일계획실적!$A$5:$A$2004,"&lt;"&amp;$H$3))</f>
        <v/>
      </c>
      <c r="J34" s="22" t="str">
        <f aca="false">IF($A34="","",SUMIFS(일일계획실적!$Q$5:$Q$2004,일일계획실적!$B$5:$B$2004,$A34,일일계획실적!$A$5:$A$2004,"&gt;="&amp;$F$3,일일계획실적!$A$5:$A$2004,"&lt;"&amp;$H$3))</f>
        <v/>
      </c>
      <c r="K34" s="22" t="str">
        <f aca="false">IF($A34="","",SUMIFS(일일계획실적!$L$5:$L$2004,일일계획실적!$B$5:$B$2004,$A34,일일계획실적!$A$5:$A$2004,"&gt;="&amp;$F$3,일일계획실적!$A$5:$A$2004,"&lt;"&amp;$H$3))</f>
        <v/>
      </c>
      <c r="L34" s="22" t="str">
        <f aca="false">IF($A34="","",I34-J34-K34)</f>
        <v/>
      </c>
      <c r="M34" s="21" t="str">
        <f aca="false">IF(OR($A34="",N(I34)=0),"",L34/I34)</f>
        <v/>
      </c>
    </row>
    <row r="35" customFormat="false" ht="15" hidden="false" customHeight="false" outlineLevel="0" collapsed="false">
      <c r="A35" s="23" t="str">
        <f aca="false">IF(고객사!$A$34="","",고객사!$A$34)</f>
        <v/>
      </c>
      <c r="B35" s="20" t="str">
        <f aca="false">IF($A35="","",고객사!$B$34)</f>
        <v/>
      </c>
      <c r="C35" s="23" t="str">
        <f aca="false">IF($A35="","",고객사!$G$34)</f>
        <v/>
      </c>
      <c r="D35" s="22" t="str">
        <f aca="false">IF($A35="","",SUMIFS(일일계획실적!$U$5:$U$2004,일일계획실적!$B$5:$B$2004,$A35,일일계획실적!$A$5:$A$2004,"&gt;="&amp;$F$3,일일계획실적!$A$5:$A$2004,"&lt;"&amp;$H$3))</f>
        <v/>
      </c>
      <c r="E35" s="22" t="str">
        <f aca="false">IF($A35="","",SUMIFS(일일계획실적!$F$5:$F$2004,일일계획실적!$B$5:$B$2004,$A35,일일계획실적!$A$5:$A$2004,"&gt;="&amp;$F$3,일일계획실적!$A$5:$A$2004,"&lt;"&amp;$H$3))</f>
        <v/>
      </c>
      <c r="F35" s="22" t="str">
        <f aca="false">IF($A35="","",SUMIFS(일일계획실적!$G$5:$G$2004,일일계획실적!$B$5:$B$2004,$A35,일일계획실적!$A$5:$A$2004,"&gt;="&amp;$F$3,일일계획실적!$A$5:$A$2004,"&lt;"&amp;$H$3))</f>
        <v/>
      </c>
      <c r="G35" s="21" t="str">
        <f aca="false">IF(OR($A35="",N(E35)=0),"",F35/E35)</f>
        <v/>
      </c>
      <c r="H35" s="22" t="str">
        <f aca="false">IF($A35="","",SUMIFS(일일계획실적!$I$5:$I$2004,일일계획실적!$B$5:$B$2004,$A35,일일계획실적!$A$5:$A$2004,"&gt;="&amp;$F$3,일일계획실적!$A$5:$A$2004,"&lt;"&amp;$H$3))</f>
        <v/>
      </c>
      <c r="I35" s="22" t="str">
        <f aca="false">IF($A35="","",SUMIFS(일일계획실적!$O$5:$O$2004,일일계획실적!$B$5:$B$2004,$A35,일일계획실적!$A$5:$A$2004,"&gt;="&amp;$F$3,일일계획실적!$A$5:$A$2004,"&lt;"&amp;$H$3))</f>
        <v/>
      </c>
      <c r="J35" s="22" t="str">
        <f aca="false">IF($A35="","",SUMIFS(일일계획실적!$Q$5:$Q$2004,일일계획실적!$B$5:$B$2004,$A35,일일계획실적!$A$5:$A$2004,"&gt;="&amp;$F$3,일일계획실적!$A$5:$A$2004,"&lt;"&amp;$H$3))</f>
        <v/>
      </c>
      <c r="K35" s="22" t="str">
        <f aca="false">IF($A35="","",SUMIFS(일일계획실적!$L$5:$L$2004,일일계획실적!$B$5:$B$2004,$A35,일일계획실적!$A$5:$A$2004,"&gt;="&amp;$F$3,일일계획실적!$A$5:$A$2004,"&lt;"&amp;$H$3))</f>
        <v/>
      </c>
      <c r="L35" s="22" t="str">
        <f aca="false">IF($A35="","",I35-J35-K35)</f>
        <v/>
      </c>
      <c r="M35" s="21" t="str">
        <f aca="false">IF(OR($A35="",N(I35)=0),"",L35/I35)</f>
        <v/>
      </c>
    </row>
    <row r="36" customFormat="false" ht="15" hidden="false" customHeight="false" outlineLevel="0" collapsed="false">
      <c r="A36" s="27" t="s">
        <v>113</v>
      </c>
      <c r="B36" s="27"/>
      <c r="C36" s="27"/>
      <c r="D36" s="27"/>
      <c r="E36" s="28" t="n">
        <f aca="false">SUM(E6:E35)</f>
        <v>2684</v>
      </c>
      <c r="F36" s="28" t="n">
        <f aca="false">SUM(F6:F35)</f>
        <v>2518</v>
      </c>
      <c r="G36" s="29" t="n">
        <f aca="false">IF(E36=0,"",F36/E36)</f>
        <v>0.938152011922504</v>
      </c>
      <c r="H36" s="28" t="n">
        <f aca="false">SUM(H6:H35)</f>
        <v>166</v>
      </c>
      <c r="I36" s="28" t="n">
        <f aca="false">SUM(I6:I35)</f>
        <v>1012170000</v>
      </c>
      <c r="J36" s="28" t="n">
        <f aca="false">SUM(J6:J35)</f>
        <v>795765000</v>
      </c>
      <c r="K36" s="28" t="n">
        <f aca="false">SUM(K6:K35)</f>
        <v>26400000</v>
      </c>
      <c r="L36" s="28" t="n">
        <f aca="false">SUM(L6:L35)</f>
        <v>190005000</v>
      </c>
      <c r="M36" s="29" t="n">
        <f aca="false">IF(I36=0,"",L36/I36)</f>
        <v>0.187720442218204</v>
      </c>
    </row>
    <row r="38" customFormat="false" ht="19.4" hidden="false" customHeight="false" outlineLevel="0" collapsed="false">
      <c r="A38" s="6" t="s">
        <v>114</v>
      </c>
    </row>
    <row r="39" customFormat="false" ht="31.5" hidden="false" customHeight="true" outlineLevel="0" collapsed="false">
      <c r="A39" s="12" t="s">
        <v>115</v>
      </c>
      <c r="B39" s="12" t="s">
        <v>116</v>
      </c>
      <c r="C39" s="12" t="s">
        <v>117</v>
      </c>
      <c r="D39" s="12" t="s">
        <v>118</v>
      </c>
      <c r="E39" s="12" t="s">
        <v>119</v>
      </c>
    </row>
    <row r="40" customFormat="false" ht="15" hidden="false" customHeight="false" outlineLevel="0" collapsed="false">
      <c r="A40" s="23" t="n">
        <v>1</v>
      </c>
      <c r="B40" s="26" t="n">
        <f aca="false">IF(1&gt;DAY(EOMONTH($F$3,0)),"",$F$3+0)</f>
        <v>46266</v>
      </c>
      <c r="C40" s="22" t="n">
        <f aca="false">IF(B40="",0,SUMIFS(일일계획실적!$F$5:$F$2004,일일계획실적!$A$5:$A$2004,B40))</f>
        <v>122</v>
      </c>
      <c r="D40" s="22" t="n">
        <f aca="false">IF(B40="",0,SUMIFS(일일계획실적!$G$5:$G$2004,일일계획실적!$A$5:$A$2004,B40))</f>
        <v>117</v>
      </c>
      <c r="E40" s="21" t="n">
        <f aca="false">IF(C40=0,"",D40/C40)</f>
        <v>0.959016393442623</v>
      </c>
    </row>
    <row r="41" customFormat="false" ht="15" hidden="false" customHeight="false" outlineLevel="0" collapsed="false">
      <c r="A41" s="23" t="n">
        <v>2</v>
      </c>
      <c r="B41" s="26" t="n">
        <f aca="false">IF(2&gt;DAY(EOMONTH($F$3,0)),"",$F$3+1)</f>
        <v>46267</v>
      </c>
      <c r="C41" s="22" t="n">
        <f aca="false">IF(B41="",0,SUMIFS(일일계획실적!$F$5:$F$2004,일일계획실적!$A$5:$A$2004,B41))</f>
        <v>122</v>
      </c>
      <c r="D41" s="22" t="n">
        <f aca="false">IF(B41="",0,SUMIFS(일일계획실적!$G$5:$G$2004,일일계획실적!$A$5:$A$2004,B41))</f>
        <v>119</v>
      </c>
      <c r="E41" s="21" t="n">
        <f aca="false">IF(C41=0,"",D41/C41)</f>
        <v>0.975409836065574</v>
      </c>
    </row>
    <row r="42" customFormat="false" ht="15" hidden="false" customHeight="false" outlineLevel="0" collapsed="false">
      <c r="A42" s="23" t="n">
        <v>3</v>
      </c>
      <c r="B42" s="26" t="n">
        <f aca="false">IF(3&gt;DAY(EOMONTH($F$3,0)),"",$F$3+2)</f>
        <v>46268</v>
      </c>
      <c r="C42" s="22" t="n">
        <f aca="false">IF(B42="",0,SUMIFS(일일계획실적!$F$5:$F$2004,일일계획실적!$A$5:$A$2004,B42))</f>
        <v>122</v>
      </c>
      <c r="D42" s="22" t="n">
        <f aca="false">IF(B42="",0,SUMIFS(일일계획실적!$G$5:$G$2004,일일계획실적!$A$5:$A$2004,B42))</f>
        <v>115</v>
      </c>
      <c r="E42" s="21" t="n">
        <f aca="false">IF(C42=0,"",D42/C42)</f>
        <v>0.942622950819672</v>
      </c>
    </row>
    <row r="43" customFormat="false" ht="15" hidden="false" customHeight="false" outlineLevel="0" collapsed="false">
      <c r="A43" s="23" t="n">
        <v>4</v>
      </c>
      <c r="B43" s="26" t="n">
        <f aca="false">IF(4&gt;DAY(EOMONTH($F$3,0)),"",$F$3+3)</f>
        <v>46269</v>
      </c>
      <c r="C43" s="22" t="n">
        <f aca="false">IF(B43="",0,SUMIFS(일일계획실적!$F$5:$F$2004,일일계획실적!$A$5:$A$2004,B43))</f>
        <v>122</v>
      </c>
      <c r="D43" s="22" t="n">
        <f aca="false">IF(B43="",0,SUMIFS(일일계획실적!$G$5:$G$2004,일일계획실적!$A$5:$A$2004,B43))</f>
        <v>118</v>
      </c>
      <c r="E43" s="21" t="n">
        <f aca="false">IF(C43=0,"",D43/C43)</f>
        <v>0.967213114754098</v>
      </c>
    </row>
    <row r="44" customFormat="false" ht="15" hidden="false" customHeight="false" outlineLevel="0" collapsed="false">
      <c r="A44" s="23" t="n">
        <v>5</v>
      </c>
      <c r="B44" s="26" t="n">
        <f aca="false">IF(5&gt;DAY(EOMONTH($F$3,0)),"",$F$3+4)</f>
        <v>46270</v>
      </c>
      <c r="C44" s="22" t="n">
        <f aca="false">IF(B44="",0,SUMIFS(일일계획실적!$F$5:$F$2004,일일계획실적!$A$5:$A$2004,B44))</f>
        <v>122</v>
      </c>
      <c r="D44" s="22" t="n">
        <f aca="false">IF(B44="",0,SUMIFS(일일계획실적!$G$5:$G$2004,일일계획실적!$A$5:$A$2004,B44))</f>
        <v>118</v>
      </c>
      <c r="E44" s="21" t="n">
        <f aca="false">IF(C44=0,"",D44/C44)</f>
        <v>0.967213114754098</v>
      </c>
    </row>
    <row r="45" customFormat="false" ht="15" hidden="false" customHeight="false" outlineLevel="0" collapsed="false">
      <c r="A45" s="23" t="n">
        <v>6</v>
      </c>
      <c r="B45" s="26" t="n">
        <f aca="false">IF(6&gt;DAY(EOMONTH($F$3,0)),"",$F$3+5)</f>
        <v>46271</v>
      </c>
      <c r="C45" s="22" t="n">
        <f aca="false">IF(B45="",0,SUMIFS(일일계획실적!$F$5:$F$2004,일일계획실적!$A$5:$A$2004,B45))</f>
        <v>0</v>
      </c>
      <c r="D45" s="22" t="n">
        <f aca="false">IF(B45="",0,SUMIFS(일일계획실적!$G$5:$G$2004,일일계획실적!$A$5:$A$2004,B45))</f>
        <v>0</v>
      </c>
      <c r="E45" s="21" t="str">
        <f aca="false">IF(C45=0,"",D45/C45)</f>
        <v/>
      </c>
    </row>
    <row r="46" customFormat="false" ht="15" hidden="false" customHeight="false" outlineLevel="0" collapsed="false">
      <c r="A46" s="23" t="n">
        <v>7</v>
      </c>
      <c r="B46" s="26" t="n">
        <f aca="false">IF(7&gt;DAY(EOMONTH($F$3,0)),"",$F$3+6)</f>
        <v>46272</v>
      </c>
      <c r="C46" s="22" t="n">
        <f aca="false">IF(B46="",0,SUMIFS(일일계획실적!$F$5:$F$2004,일일계획실적!$A$5:$A$2004,B46))</f>
        <v>122</v>
      </c>
      <c r="D46" s="22" t="n">
        <f aca="false">IF(B46="",0,SUMIFS(일일계획실적!$G$5:$G$2004,일일계획실적!$A$5:$A$2004,B46))</f>
        <v>118</v>
      </c>
      <c r="E46" s="21" t="n">
        <f aca="false">IF(C46=0,"",D46/C46)</f>
        <v>0.967213114754098</v>
      </c>
    </row>
    <row r="47" customFormat="false" ht="15" hidden="false" customHeight="false" outlineLevel="0" collapsed="false">
      <c r="A47" s="23" t="n">
        <v>8</v>
      </c>
      <c r="B47" s="26" t="n">
        <f aca="false">IF(8&gt;DAY(EOMONTH($F$3,0)),"",$F$3+7)</f>
        <v>46273</v>
      </c>
      <c r="C47" s="22" t="n">
        <f aca="false">IF(B47="",0,SUMIFS(일일계획실적!$F$5:$F$2004,일일계획실적!$A$5:$A$2004,B47))</f>
        <v>122</v>
      </c>
      <c r="D47" s="22" t="n">
        <f aca="false">IF(B47="",0,SUMIFS(일일계획실적!$G$5:$G$2004,일일계획실적!$A$5:$A$2004,B47))</f>
        <v>118</v>
      </c>
      <c r="E47" s="21" t="n">
        <f aca="false">IF(C47=0,"",D47/C47)</f>
        <v>0.967213114754098</v>
      </c>
    </row>
    <row r="48" customFormat="false" ht="15" hidden="false" customHeight="false" outlineLevel="0" collapsed="false">
      <c r="A48" s="23" t="n">
        <v>9</v>
      </c>
      <c r="B48" s="26" t="n">
        <f aca="false">IF(9&gt;DAY(EOMONTH($F$3,0)),"",$F$3+8)</f>
        <v>46274</v>
      </c>
      <c r="C48" s="22" t="n">
        <f aca="false">IF(B48="",0,SUMIFS(일일계획실적!$F$5:$F$2004,일일계획실적!$A$5:$A$2004,B48))</f>
        <v>122</v>
      </c>
      <c r="D48" s="22" t="n">
        <f aca="false">IF(B48="",0,SUMIFS(일일계획실적!$G$5:$G$2004,일일계획실적!$A$5:$A$2004,B48))</f>
        <v>116</v>
      </c>
      <c r="E48" s="21" t="n">
        <f aca="false">IF(C48=0,"",D48/C48)</f>
        <v>0.950819672131148</v>
      </c>
    </row>
    <row r="49" customFormat="false" ht="15" hidden="false" customHeight="false" outlineLevel="0" collapsed="false">
      <c r="A49" s="23" t="n">
        <v>10</v>
      </c>
      <c r="B49" s="26" t="n">
        <f aca="false">IF(10&gt;DAY(EOMONTH($F$3,0)),"",$F$3+9)</f>
        <v>46275</v>
      </c>
      <c r="C49" s="22" t="n">
        <f aca="false">IF(B49="",0,SUMIFS(일일계획실적!$F$5:$F$2004,일일계획실적!$A$5:$A$2004,B49))</f>
        <v>122</v>
      </c>
      <c r="D49" s="22" t="n">
        <f aca="false">IF(B49="",0,SUMIFS(일일계획실적!$G$5:$G$2004,일일계획실적!$A$5:$A$2004,B49))</f>
        <v>105</v>
      </c>
      <c r="E49" s="21" t="n">
        <f aca="false">IF(C49=0,"",D49/C49)</f>
        <v>0.860655737704918</v>
      </c>
    </row>
    <row r="50" customFormat="false" ht="15" hidden="false" customHeight="false" outlineLevel="0" collapsed="false">
      <c r="A50" s="23" t="n">
        <v>11</v>
      </c>
      <c r="B50" s="26" t="n">
        <f aca="false">IF(11&gt;DAY(EOMONTH($F$3,0)),"",$F$3+10)</f>
        <v>46276</v>
      </c>
      <c r="C50" s="22" t="n">
        <f aca="false">IF(B50="",0,SUMIFS(일일계획실적!$F$5:$F$2004,일일계획실적!$A$5:$A$2004,B50))</f>
        <v>122</v>
      </c>
      <c r="D50" s="22" t="n">
        <f aca="false">IF(B50="",0,SUMIFS(일일계획실적!$G$5:$G$2004,일일계획실적!$A$5:$A$2004,B50))</f>
        <v>119</v>
      </c>
      <c r="E50" s="21" t="n">
        <f aca="false">IF(C50=0,"",D50/C50)</f>
        <v>0.975409836065574</v>
      </c>
    </row>
    <row r="51" customFormat="false" ht="15" hidden="false" customHeight="false" outlineLevel="0" collapsed="false">
      <c r="A51" s="23" t="n">
        <v>12</v>
      </c>
      <c r="B51" s="26" t="n">
        <f aca="false">IF(12&gt;DAY(EOMONTH($F$3,0)),"",$F$3+11)</f>
        <v>46277</v>
      </c>
      <c r="C51" s="22" t="n">
        <f aca="false">IF(B51="",0,SUMIFS(일일계획실적!$F$5:$F$2004,일일계획실적!$A$5:$A$2004,B51))</f>
        <v>122</v>
      </c>
      <c r="D51" s="22" t="n">
        <f aca="false">IF(B51="",0,SUMIFS(일일계획실적!$G$5:$G$2004,일일계획실적!$A$5:$A$2004,B51))</f>
        <v>108</v>
      </c>
      <c r="E51" s="21" t="n">
        <f aca="false">IF(C51=0,"",D51/C51)</f>
        <v>0.885245901639344</v>
      </c>
    </row>
    <row r="52" customFormat="false" ht="15" hidden="false" customHeight="false" outlineLevel="0" collapsed="false">
      <c r="A52" s="23" t="n">
        <v>13</v>
      </c>
      <c r="B52" s="26" t="n">
        <f aca="false">IF(13&gt;DAY(EOMONTH($F$3,0)),"",$F$3+12)</f>
        <v>46278</v>
      </c>
      <c r="C52" s="22" t="n">
        <f aca="false">IF(B52="",0,SUMIFS(일일계획실적!$F$5:$F$2004,일일계획실적!$A$5:$A$2004,B52))</f>
        <v>0</v>
      </c>
      <c r="D52" s="22" t="n">
        <f aca="false">IF(B52="",0,SUMIFS(일일계획실적!$G$5:$G$2004,일일계획실적!$A$5:$A$2004,B52))</f>
        <v>0</v>
      </c>
      <c r="E52" s="21" t="str">
        <f aca="false">IF(C52=0,"",D52/C52)</f>
        <v/>
      </c>
    </row>
    <row r="53" customFormat="false" ht="15" hidden="false" customHeight="false" outlineLevel="0" collapsed="false">
      <c r="A53" s="23" t="n">
        <v>14</v>
      </c>
      <c r="B53" s="26" t="n">
        <f aca="false">IF(14&gt;DAY(EOMONTH($F$3,0)),"",$F$3+13)</f>
        <v>46279</v>
      </c>
      <c r="C53" s="22" t="n">
        <f aca="false">IF(B53="",0,SUMIFS(일일계획실적!$F$5:$F$2004,일일계획실적!$A$5:$A$2004,B53))</f>
        <v>122</v>
      </c>
      <c r="D53" s="22" t="n">
        <f aca="false">IF(B53="",0,SUMIFS(일일계획실적!$G$5:$G$2004,일일계획실적!$A$5:$A$2004,B53))</f>
        <v>117</v>
      </c>
      <c r="E53" s="21" t="n">
        <f aca="false">IF(C53=0,"",D53/C53)</f>
        <v>0.959016393442623</v>
      </c>
    </row>
    <row r="54" customFormat="false" ht="15" hidden="false" customHeight="false" outlineLevel="0" collapsed="false">
      <c r="A54" s="23" t="n">
        <v>15</v>
      </c>
      <c r="B54" s="26" t="n">
        <f aca="false">IF(15&gt;DAY(EOMONTH($F$3,0)),"",$F$3+14)</f>
        <v>46280</v>
      </c>
      <c r="C54" s="22" t="n">
        <f aca="false">IF(B54="",0,SUMIFS(일일계획실적!$F$5:$F$2004,일일계획실적!$A$5:$A$2004,B54))</f>
        <v>122</v>
      </c>
      <c r="D54" s="22" t="n">
        <f aca="false">IF(B54="",0,SUMIFS(일일계획실적!$G$5:$G$2004,일일계획실적!$A$5:$A$2004,B54))</f>
        <v>114</v>
      </c>
      <c r="E54" s="21" t="n">
        <f aca="false">IF(C54=0,"",D54/C54)</f>
        <v>0.934426229508197</v>
      </c>
    </row>
    <row r="55" customFormat="false" ht="15" hidden="false" customHeight="false" outlineLevel="0" collapsed="false">
      <c r="A55" s="23" t="n">
        <v>16</v>
      </c>
      <c r="B55" s="26" t="n">
        <f aca="false">IF(16&gt;DAY(EOMONTH($F$3,0)),"",$F$3+15)</f>
        <v>46281</v>
      </c>
      <c r="C55" s="22" t="n">
        <f aca="false">IF(B55="",0,SUMIFS(일일계획실적!$F$5:$F$2004,일일계획실적!$A$5:$A$2004,B55))</f>
        <v>122</v>
      </c>
      <c r="D55" s="22" t="n">
        <f aca="false">IF(B55="",0,SUMIFS(일일계획실적!$G$5:$G$2004,일일계획실적!$A$5:$A$2004,B55))</f>
        <v>106</v>
      </c>
      <c r="E55" s="21" t="n">
        <f aca="false">IF(C55=0,"",D55/C55)</f>
        <v>0.868852459016393</v>
      </c>
    </row>
    <row r="56" customFormat="false" ht="15" hidden="false" customHeight="false" outlineLevel="0" collapsed="false">
      <c r="A56" s="23" t="n">
        <v>17</v>
      </c>
      <c r="B56" s="26" t="n">
        <f aca="false">IF(17&gt;DAY(EOMONTH($F$3,0)),"",$F$3+16)</f>
        <v>46282</v>
      </c>
      <c r="C56" s="22" t="n">
        <f aca="false">IF(B56="",0,SUMIFS(일일계획실적!$F$5:$F$2004,일일계획실적!$A$5:$A$2004,B56))</f>
        <v>122</v>
      </c>
      <c r="D56" s="22" t="n">
        <f aca="false">IF(B56="",0,SUMIFS(일일계획실적!$G$5:$G$2004,일일계획실적!$A$5:$A$2004,B56))</f>
        <v>116</v>
      </c>
      <c r="E56" s="21" t="n">
        <f aca="false">IF(C56=0,"",D56/C56)</f>
        <v>0.950819672131148</v>
      </c>
    </row>
    <row r="57" customFormat="false" ht="15" hidden="false" customHeight="false" outlineLevel="0" collapsed="false">
      <c r="A57" s="23" t="n">
        <v>18</v>
      </c>
      <c r="B57" s="26" t="n">
        <f aca="false">IF(18&gt;DAY(EOMONTH($F$3,0)),"",$F$3+17)</f>
        <v>46283</v>
      </c>
      <c r="C57" s="22" t="n">
        <f aca="false">IF(B57="",0,SUMIFS(일일계획실적!$F$5:$F$2004,일일계획실적!$A$5:$A$2004,B57))</f>
        <v>122</v>
      </c>
      <c r="D57" s="22" t="n">
        <f aca="false">IF(B57="",0,SUMIFS(일일계획실적!$G$5:$G$2004,일일계획실적!$A$5:$A$2004,B57))</f>
        <v>112</v>
      </c>
      <c r="E57" s="21" t="n">
        <f aca="false">IF(C57=0,"",D57/C57)</f>
        <v>0.918032786885246</v>
      </c>
    </row>
    <row r="58" customFormat="false" ht="15" hidden="false" customHeight="false" outlineLevel="0" collapsed="false">
      <c r="A58" s="23" t="n">
        <v>19</v>
      </c>
      <c r="B58" s="26" t="n">
        <f aca="false">IF(19&gt;DAY(EOMONTH($F$3,0)),"",$F$3+18)</f>
        <v>46284</v>
      </c>
      <c r="C58" s="22" t="n">
        <f aca="false">IF(B58="",0,SUMIFS(일일계획실적!$F$5:$F$2004,일일계획실적!$A$5:$A$2004,B58))</f>
        <v>122</v>
      </c>
      <c r="D58" s="22" t="n">
        <f aca="false">IF(B58="",0,SUMIFS(일일계획실적!$G$5:$G$2004,일일계획실적!$A$5:$A$2004,B58))</f>
        <v>113</v>
      </c>
      <c r="E58" s="21" t="n">
        <f aca="false">IF(C58=0,"",D58/C58)</f>
        <v>0.926229508196721</v>
      </c>
    </row>
    <row r="59" customFormat="false" ht="15" hidden="false" customHeight="false" outlineLevel="0" collapsed="false">
      <c r="A59" s="23" t="n">
        <v>20</v>
      </c>
      <c r="B59" s="26" t="n">
        <f aca="false">IF(20&gt;DAY(EOMONTH($F$3,0)),"",$F$3+19)</f>
        <v>46285</v>
      </c>
      <c r="C59" s="22" t="n">
        <f aca="false">IF(B59="",0,SUMIFS(일일계획실적!$F$5:$F$2004,일일계획실적!$A$5:$A$2004,B59))</f>
        <v>0</v>
      </c>
      <c r="D59" s="22" t="n">
        <f aca="false">IF(B59="",0,SUMIFS(일일계획실적!$G$5:$G$2004,일일계획실적!$A$5:$A$2004,B59))</f>
        <v>0</v>
      </c>
      <c r="E59" s="21" t="str">
        <f aca="false">IF(C59=0,"",D59/C59)</f>
        <v/>
      </c>
    </row>
    <row r="60" customFormat="false" ht="15" hidden="false" customHeight="false" outlineLevel="0" collapsed="false">
      <c r="A60" s="23" t="n">
        <v>21</v>
      </c>
      <c r="B60" s="26" t="n">
        <f aca="false">IF(21&gt;DAY(EOMONTH($F$3,0)),"",$F$3+20)</f>
        <v>46286</v>
      </c>
      <c r="C60" s="22" t="n">
        <f aca="false">IF(B60="",0,SUMIFS(일일계획실적!$F$5:$F$2004,일일계획실적!$A$5:$A$2004,B60))</f>
        <v>122</v>
      </c>
      <c r="D60" s="22" t="n">
        <f aca="false">IF(B60="",0,SUMIFS(일일계획실적!$G$5:$G$2004,일일계획실적!$A$5:$A$2004,B60))</f>
        <v>115</v>
      </c>
      <c r="E60" s="21" t="n">
        <f aca="false">IF(C60=0,"",D60/C60)</f>
        <v>0.942622950819672</v>
      </c>
    </row>
    <row r="61" customFormat="false" ht="15" hidden="false" customHeight="false" outlineLevel="0" collapsed="false">
      <c r="A61" s="23" t="n">
        <v>22</v>
      </c>
      <c r="B61" s="26" t="n">
        <f aca="false">IF(22&gt;DAY(EOMONTH($F$3,0)),"",$F$3+21)</f>
        <v>46287</v>
      </c>
      <c r="C61" s="22" t="n">
        <f aca="false">IF(B61="",0,SUMIFS(일일계획실적!$F$5:$F$2004,일일계획실적!$A$5:$A$2004,B61))</f>
        <v>122</v>
      </c>
      <c r="D61" s="22" t="n">
        <f aca="false">IF(B61="",0,SUMIFS(일일계획실적!$G$5:$G$2004,일일계획실적!$A$5:$A$2004,B61))</f>
        <v>110</v>
      </c>
      <c r="E61" s="21" t="n">
        <f aca="false">IF(C61=0,"",D61/C61)</f>
        <v>0.901639344262295</v>
      </c>
    </row>
    <row r="62" customFormat="false" ht="15" hidden="false" customHeight="false" outlineLevel="0" collapsed="false">
      <c r="A62" s="23" t="n">
        <v>23</v>
      </c>
      <c r="B62" s="26" t="n">
        <f aca="false">IF(23&gt;DAY(EOMONTH($F$3,0)),"",$F$3+22)</f>
        <v>46288</v>
      </c>
      <c r="C62" s="22" t="n">
        <f aca="false">IF(B62="",0,SUMIFS(일일계획실적!$F$5:$F$2004,일일계획실적!$A$5:$A$2004,B62))</f>
        <v>122</v>
      </c>
      <c r="D62" s="22" t="n">
        <f aca="false">IF(B62="",0,SUMIFS(일일계획실적!$G$5:$G$2004,일일계획실적!$A$5:$A$2004,B62))</f>
        <v>113</v>
      </c>
      <c r="E62" s="21" t="n">
        <f aca="false">IF(C62=0,"",D62/C62)</f>
        <v>0.926229508196721</v>
      </c>
    </row>
    <row r="63" customFormat="false" ht="15" hidden="false" customHeight="false" outlineLevel="0" collapsed="false">
      <c r="A63" s="23" t="n">
        <v>24</v>
      </c>
      <c r="B63" s="26" t="n">
        <f aca="false">IF(24&gt;DAY(EOMONTH($F$3,0)),"",$F$3+23)</f>
        <v>46289</v>
      </c>
      <c r="C63" s="22" t="n">
        <f aca="false">IF(B63="",0,SUMIFS(일일계획실적!$F$5:$F$2004,일일계획실적!$A$5:$A$2004,B63))</f>
        <v>122</v>
      </c>
      <c r="D63" s="22" t="n">
        <f aca="false">IF(B63="",0,SUMIFS(일일계획실적!$G$5:$G$2004,일일계획실적!$A$5:$A$2004,B63))</f>
        <v>113</v>
      </c>
      <c r="E63" s="21" t="n">
        <f aca="false">IF(C63=0,"",D63/C63)</f>
        <v>0.926229508196721</v>
      </c>
    </row>
    <row r="64" customFormat="false" ht="15" hidden="false" customHeight="false" outlineLevel="0" collapsed="false">
      <c r="A64" s="23" t="n">
        <v>25</v>
      </c>
      <c r="B64" s="26" t="n">
        <f aca="false">IF(25&gt;DAY(EOMONTH($F$3,0)),"",$F$3+24)</f>
        <v>46290</v>
      </c>
      <c r="C64" s="22" t="n">
        <f aca="false">IF(B64="",0,SUMIFS(일일계획실적!$F$5:$F$2004,일일계획실적!$A$5:$A$2004,B64))</f>
        <v>122</v>
      </c>
      <c r="D64" s="22" t="n">
        <f aca="false">IF(B64="",0,SUMIFS(일일계획실적!$G$5:$G$2004,일일계획실적!$A$5:$A$2004,B64))</f>
        <v>118</v>
      </c>
      <c r="E64" s="21" t="n">
        <f aca="false">IF(C64=0,"",D64/C64)</f>
        <v>0.967213114754098</v>
      </c>
    </row>
    <row r="65" customFormat="false" ht="15" hidden="false" customHeight="false" outlineLevel="0" collapsed="false">
      <c r="A65" s="23" t="n">
        <v>26</v>
      </c>
      <c r="B65" s="26" t="n">
        <f aca="false">IF(26&gt;DAY(EOMONTH($F$3,0)),"",$F$3+25)</f>
        <v>46291</v>
      </c>
      <c r="C65" s="22" t="n">
        <f aca="false">IF(B65="",0,SUMIFS(일일계획실적!$F$5:$F$2004,일일계획실적!$A$5:$A$2004,B65))</f>
        <v>0</v>
      </c>
      <c r="D65" s="22" t="n">
        <f aca="false">IF(B65="",0,SUMIFS(일일계획실적!$G$5:$G$2004,일일계획실적!$A$5:$A$2004,B65))</f>
        <v>0</v>
      </c>
      <c r="E65" s="21" t="str">
        <f aca="false">IF(C65=0,"",D65/C65)</f>
        <v/>
      </c>
    </row>
    <row r="66" customFormat="false" ht="15" hidden="false" customHeight="false" outlineLevel="0" collapsed="false">
      <c r="A66" s="23" t="n">
        <v>27</v>
      </c>
      <c r="B66" s="26" t="n">
        <f aca="false">IF(27&gt;DAY(EOMONTH($F$3,0)),"",$F$3+26)</f>
        <v>46292</v>
      </c>
      <c r="C66" s="22" t="n">
        <f aca="false">IF(B66="",0,SUMIFS(일일계획실적!$F$5:$F$2004,일일계획실적!$A$5:$A$2004,B66))</f>
        <v>0</v>
      </c>
      <c r="D66" s="22" t="n">
        <f aca="false">IF(B66="",0,SUMIFS(일일계획실적!$G$5:$G$2004,일일계획실적!$A$5:$A$2004,B66))</f>
        <v>0</v>
      </c>
      <c r="E66" s="21" t="str">
        <f aca="false">IF(C66=0,"",D66/C66)</f>
        <v/>
      </c>
    </row>
    <row r="67" customFormat="false" ht="15" hidden="false" customHeight="false" outlineLevel="0" collapsed="false">
      <c r="A67" s="23" t="n">
        <v>28</v>
      </c>
      <c r="B67" s="26" t="n">
        <f aca="false">IF(28&gt;DAY(EOMONTH($F$3,0)),"",$F$3+27)</f>
        <v>46293</v>
      </c>
      <c r="C67" s="22" t="n">
        <f aca="false">IF(B67="",0,SUMIFS(일일계획실적!$F$5:$F$2004,일일계획실적!$A$5:$A$2004,B67))</f>
        <v>0</v>
      </c>
      <c r="D67" s="22" t="n">
        <f aca="false">IF(B67="",0,SUMIFS(일일계획실적!$G$5:$G$2004,일일계획실적!$A$5:$A$2004,B67))</f>
        <v>0</v>
      </c>
      <c r="E67" s="21" t="str">
        <f aca="false">IF(C67=0,"",D67/C67)</f>
        <v/>
      </c>
    </row>
    <row r="68" customFormat="false" ht="15" hidden="false" customHeight="false" outlineLevel="0" collapsed="false">
      <c r="A68" s="23" t="n">
        <v>29</v>
      </c>
      <c r="B68" s="26" t="n">
        <f aca="false">IF(29&gt;DAY(EOMONTH($F$3,0)),"",$F$3+28)</f>
        <v>46294</v>
      </c>
      <c r="C68" s="22" t="n">
        <f aca="false">IF(B68="",0,SUMIFS(일일계획실적!$F$5:$F$2004,일일계획실적!$A$5:$A$2004,B68))</f>
        <v>0</v>
      </c>
      <c r="D68" s="22" t="n">
        <f aca="false">IF(B68="",0,SUMIFS(일일계획실적!$G$5:$G$2004,일일계획실적!$A$5:$A$2004,B68))</f>
        <v>0</v>
      </c>
      <c r="E68" s="21" t="str">
        <f aca="false">IF(C68=0,"",D68/C68)</f>
        <v/>
      </c>
    </row>
    <row r="69" customFormat="false" ht="15" hidden="false" customHeight="false" outlineLevel="0" collapsed="false">
      <c r="A69" s="23" t="n">
        <v>30</v>
      </c>
      <c r="B69" s="26" t="n">
        <f aca="false">IF(30&gt;DAY(EOMONTH($F$3,0)),"",$F$3+29)</f>
        <v>46295</v>
      </c>
      <c r="C69" s="22" t="n">
        <f aca="false">IF(B69="",0,SUMIFS(일일계획실적!$F$5:$F$2004,일일계획실적!$A$5:$A$2004,B69))</f>
        <v>0</v>
      </c>
      <c r="D69" s="22" t="n">
        <f aca="false">IF(B69="",0,SUMIFS(일일계획실적!$G$5:$G$2004,일일계획실적!$A$5:$A$2004,B69))</f>
        <v>0</v>
      </c>
      <c r="E69" s="21" t="str">
        <f aca="false">IF(C69=0,"",D69/C69)</f>
        <v/>
      </c>
    </row>
    <row r="70" customFormat="false" ht="15" hidden="false" customHeight="false" outlineLevel="0" collapsed="false">
      <c r="A70" s="23" t="n">
        <v>31</v>
      </c>
      <c r="B70" s="26" t="str">
        <f aca="false">IF(31&gt;DAY(EOMONTH($F$3,0)),"",$F$3+30)</f>
        <v/>
      </c>
      <c r="C70" s="22" t="n">
        <f aca="false">IF(B70="",0,SUMIFS(일일계획실적!$F$5:$F$2004,일일계획실적!$A$5:$A$2004,B70))</f>
        <v>0</v>
      </c>
      <c r="D70" s="22" t="n">
        <f aca="false">IF(B70="",0,SUMIFS(일일계획실적!$G$5:$G$2004,일일계획실적!$A$5:$A$2004,B70))</f>
        <v>0</v>
      </c>
      <c r="E70" s="21" t="str">
        <f aca="false">IF(C70=0,"",D70/C70)</f>
        <v/>
      </c>
    </row>
  </sheetData>
  <conditionalFormatting sqref="G6:G36">
    <cfRule type="expression" priority="2" aboveAverage="0" equalAverage="0" bottom="0" percent="0" rank="0" text="" dxfId="8">
      <formula>AND(ISNUMBER(G6),G6&lt;0.95)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30" t="s">
        <v>120</v>
      </c>
      <c r="B1" s="30" t="s">
        <v>121</v>
      </c>
      <c r="C1" s="30" t="s">
        <v>122</v>
      </c>
      <c r="D1" s="30" t="s">
        <v>123</v>
      </c>
      <c r="F1" s="11" t="s">
        <v>124</v>
      </c>
    </row>
    <row r="2" customFormat="false" ht="15" hidden="false" customHeight="false" outlineLevel="0" collapsed="false">
      <c r="A2" s="31" t="s">
        <v>93</v>
      </c>
      <c r="B2" s="31" t="s">
        <v>94</v>
      </c>
      <c r="C2" s="32" t="s">
        <v>42</v>
      </c>
      <c r="D2" s="31" t="s">
        <v>43</v>
      </c>
    </row>
    <row r="3" customFormat="false" ht="15" hidden="false" customHeight="false" outlineLevel="0" collapsed="false">
      <c r="A3" s="31" t="s">
        <v>99</v>
      </c>
      <c r="B3" s="31" t="s">
        <v>97</v>
      </c>
      <c r="C3" s="32" t="s">
        <v>52</v>
      </c>
      <c r="D3" s="31" t="s">
        <v>70</v>
      </c>
    </row>
    <row r="4" customFormat="false" ht="15" hidden="false" customHeight="false" outlineLevel="0" collapsed="false">
      <c r="A4" s="31" t="s">
        <v>96</v>
      </c>
      <c r="B4" s="32" t="s">
        <v>100</v>
      </c>
      <c r="D4" s="31" t="s">
        <v>53</v>
      </c>
    </row>
    <row r="5" customFormat="false" ht="15" hidden="false" customHeight="false" outlineLevel="0" collapsed="false">
      <c r="A5" s="31" t="s">
        <v>98</v>
      </c>
      <c r="B5" s="32" t="s">
        <v>125</v>
      </c>
      <c r="D5" s="31" t="s">
        <v>62</v>
      </c>
    </row>
    <row r="6" customFormat="false" ht="15" hidden="false" customHeight="false" outlineLevel="0" collapsed="false">
      <c r="A6" s="31" t="s">
        <v>126</v>
      </c>
    </row>
    <row r="7" customFormat="false" ht="15" hidden="false" customHeight="false" outlineLevel="0" collapsed="false">
      <c r="A7" s="31" t="s">
        <v>127</v>
      </c>
    </row>
    <row r="8" customFormat="false" ht="15" hidden="false" customHeight="false" outlineLevel="0" collapsed="false">
      <c r="A8" s="31" t="s">
        <v>49</v>
      </c>
    </row>
    <row r="9" customFormat="false" ht="15" hidden="false" customHeight="false" outlineLevel="0" collapsed="false">
      <c r="A9" s="3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2026-09-26T05:19:54Z</dcterms:created>
  <dc:creator>openpyxl</dc:creator>
  <dc:description/>
  <dc:language>en-US</dc:language>
  <cp:lastModifiedBy/>
  <dcterms:modified xsi:type="dcterms:W3CDTF">2026-09-26T05:20:02Z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